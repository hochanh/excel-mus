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3.xml" ContentType="application/vnd.openxmlformats-officedocument.drawing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H:\Dropbox\STUDY\PROJECT\MUS\"/>
    </mc:Choice>
  </mc:AlternateContent>
  <bookViews>
    <workbookView xWindow="1470" yWindow="180" windowWidth="9720" windowHeight="5520" activeTab="1"/>
  </bookViews>
  <sheets>
    <sheet name="Data Entry" sheetId="4" r:id="rId1"/>
    <sheet name="Worksheet" sheetId="1" r:id="rId2"/>
    <sheet name="SamplePrint" sheetId="3" r:id="rId3"/>
    <sheet name="Upper Limit" sheetId="2" r:id="rId4"/>
  </sheets>
  <definedNames>
    <definedName name="_atr1">'Upper Limit'!$F$51:$P$550</definedName>
    <definedName name="_atr10">'Upper Limit'!$O$51:$P$550</definedName>
    <definedName name="_atr2">'Upper Limit'!$G$51:$P$550</definedName>
    <definedName name="_atr3">'Upper Limit'!$H$51:$P$550</definedName>
    <definedName name="_atr4">'Upper Limit'!$I$51:$P$550</definedName>
    <definedName name="_atr5">'Upper Limit'!$J$51:$P$550</definedName>
    <definedName name="_atr6">'Upper Limit'!$K$51:$P$550</definedName>
    <definedName name="_atr7">'Upper Limit'!$L$51:$P$550</definedName>
    <definedName name="_atr8">'Upper Limit'!$M$51:$P$550</definedName>
    <definedName name="_atr9">'Upper Limit'!$N$51:$P$550</definedName>
    <definedName name="atr0">'Upper Limit'!$E$51:$P$550</definedName>
    <definedName name="_xlnm.Print_Area" localSheetId="1">Worksheet!$A$5:$F$54</definedName>
  </definedNames>
  <calcPr calcId="152511" calcMode="autoNoTable" iterate="1" iterateCount="999"/>
</workbook>
</file>

<file path=xl/calcChain.xml><?xml version="1.0" encoding="utf-8"?>
<calcChain xmlns="http://schemas.openxmlformats.org/spreadsheetml/2006/main">
  <c r="D14" i="4" l="1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13" i="4"/>
  <c r="D23" i="1"/>
  <c r="D25" i="1"/>
  <c r="D22" i="1"/>
  <c r="D24" i="1"/>
  <c r="D26" i="1"/>
  <c r="F26" i="1" s="1"/>
  <c r="D27" i="1"/>
  <c r="F27" i="1" s="1"/>
  <c r="D28" i="1"/>
  <c r="D29" i="1"/>
  <c r="D31" i="1"/>
  <c r="F31" i="1" s="1"/>
  <c r="D32" i="1"/>
  <c r="D38" i="1"/>
  <c r="D39" i="1"/>
  <c r="D40" i="1"/>
  <c r="D41" i="1"/>
  <c r="D42" i="1"/>
  <c r="F42" i="1" s="1"/>
  <c r="D43" i="1"/>
  <c r="D44" i="1"/>
  <c r="E44" i="1" s="1"/>
  <c r="D45" i="1"/>
  <c r="E46" i="1" s="1"/>
  <c r="D47" i="1"/>
  <c r="F47" i="1" s="1"/>
  <c r="D48" i="1"/>
  <c r="F48" i="1" s="1"/>
  <c r="E29" i="1"/>
  <c r="E31" i="1"/>
  <c r="E41" i="1"/>
  <c r="E43" i="1"/>
  <c r="E45" i="1"/>
  <c r="F46" i="1"/>
  <c r="E47" i="1"/>
  <c r="E48" i="1"/>
  <c r="E40" i="1"/>
  <c r="F44" i="1" l="1"/>
  <c r="E42" i="1"/>
  <c r="E27" i="1"/>
  <c r="F29" i="1"/>
  <c r="F40" i="1"/>
  <c r="F45" i="1"/>
  <c r="F43" i="1"/>
  <c r="F41" i="1"/>
  <c r="E26" i="1"/>
  <c r="E28" i="1"/>
  <c r="F28" i="1"/>
  <c r="F32" i="1"/>
  <c r="E32" i="1"/>
  <c r="E30" i="1"/>
  <c r="F30" i="1"/>
  <c r="E25" i="1"/>
  <c r="F25" i="1"/>
  <c r="E39" i="1"/>
  <c r="F39" i="1"/>
  <c r="E22" i="1"/>
  <c r="F22" i="1" s="1"/>
  <c r="E38" i="1"/>
  <c r="F38" i="1"/>
  <c r="F49" i="1" s="1"/>
  <c r="E51" i="2"/>
  <c r="F51" i="2"/>
  <c r="G51" i="2"/>
  <c r="H51" i="2"/>
  <c r="I51" i="2"/>
  <c r="J51" i="2"/>
  <c r="K51" i="2"/>
  <c r="L51" i="2"/>
  <c r="M51" i="2"/>
  <c r="N51" i="2"/>
  <c r="O51" i="2"/>
  <c r="E52" i="2"/>
  <c r="F52" i="2"/>
  <c r="G52" i="2"/>
  <c r="H52" i="2"/>
  <c r="I52" i="2"/>
  <c r="J52" i="2"/>
  <c r="K52" i="2"/>
  <c r="L52" i="2"/>
  <c r="M52" i="2"/>
  <c r="N52" i="2"/>
  <c r="O52" i="2"/>
  <c r="E53" i="2"/>
  <c r="F53" i="2"/>
  <c r="G53" i="2"/>
  <c r="H53" i="2"/>
  <c r="I53" i="2"/>
  <c r="J53" i="2"/>
  <c r="K53" i="2"/>
  <c r="L53" i="2"/>
  <c r="M53" i="2"/>
  <c r="N53" i="2"/>
  <c r="O53" i="2"/>
  <c r="E54" i="2"/>
  <c r="F54" i="2"/>
  <c r="G54" i="2"/>
  <c r="H54" i="2"/>
  <c r="I54" i="2"/>
  <c r="J54" i="2"/>
  <c r="K54" i="2"/>
  <c r="L54" i="2"/>
  <c r="M54" i="2"/>
  <c r="N54" i="2"/>
  <c r="O54" i="2"/>
  <c r="E55" i="2"/>
  <c r="F55" i="2"/>
  <c r="G55" i="2"/>
  <c r="H55" i="2"/>
  <c r="I55" i="2"/>
  <c r="J55" i="2"/>
  <c r="K55" i="2"/>
  <c r="L55" i="2"/>
  <c r="M55" i="2"/>
  <c r="N55" i="2"/>
  <c r="O55" i="2"/>
  <c r="E56" i="2"/>
  <c r="F56" i="2"/>
  <c r="G56" i="2"/>
  <c r="H56" i="2"/>
  <c r="I56" i="2"/>
  <c r="J56" i="2"/>
  <c r="K56" i="2"/>
  <c r="L56" i="2"/>
  <c r="M56" i="2"/>
  <c r="N56" i="2"/>
  <c r="O56" i="2"/>
  <c r="E57" i="2"/>
  <c r="F57" i="2"/>
  <c r="G57" i="2"/>
  <c r="H57" i="2"/>
  <c r="I57" i="2"/>
  <c r="J57" i="2"/>
  <c r="K57" i="2"/>
  <c r="L57" i="2"/>
  <c r="M57" i="2"/>
  <c r="N57" i="2"/>
  <c r="O57" i="2"/>
  <c r="E58" i="2"/>
  <c r="F58" i="2"/>
  <c r="G58" i="2"/>
  <c r="H58" i="2"/>
  <c r="I58" i="2"/>
  <c r="J58" i="2"/>
  <c r="K58" i="2"/>
  <c r="L58" i="2"/>
  <c r="M58" i="2"/>
  <c r="N58" i="2"/>
  <c r="O58" i="2"/>
  <c r="E59" i="2"/>
  <c r="F59" i="2"/>
  <c r="G59" i="2"/>
  <c r="H59" i="2"/>
  <c r="I59" i="2"/>
  <c r="J59" i="2"/>
  <c r="K59" i="2"/>
  <c r="L59" i="2"/>
  <c r="M59" i="2"/>
  <c r="N59" i="2"/>
  <c r="O59" i="2"/>
  <c r="E60" i="2"/>
  <c r="F60" i="2"/>
  <c r="G60" i="2"/>
  <c r="H60" i="2"/>
  <c r="I60" i="2"/>
  <c r="J60" i="2"/>
  <c r="K60" i="2"/>
  <c r="L60" i="2"/>
  <c r="M60" i="2"/>
  <c r="N60" i="2"/>
  <c r="O60" i="2"/>
  <c r="E61" i="2"/>
  <c r="F61" i="2"/>
  <c r="G61" i="2"/>
  <c r="H61" i="2"/>
  <c r="I61" i="2"/>
  <c r="J61" i="2"/>
  <c r="K61" i="2"/>
  <c r="L61" i="2"/>
  <c r="M61" i="2"/>
  <c r="N61" i="2"/>
  <c r="O61" i="2"/>
  <c r="E62" i="2"/>
  <c r="F62" i="2"/>
  <c r="G62" i="2"/>
  <c r="H62" i="2"/>
  <c r="I62" i="2"/>
  <c r="J62" i="2"/>
  <c r="K62" i="2"/>
  <c r="L62" i="2"/>
  <c r="M62" i="2"/>
  <c r="N62" i="2"/>
  <c r="O62" i="2"/>
  <c r="E63" i="2"/>
  <c r="F63" i="2"/>
  <c r="G63" i="2"/>
  <c r="H63" i="2"/>
  <c r="I63" i="2"/>
  <c r="J63" i="2"/>
  <c r="K63" i="2"/>
  <c r="L63" i="2"/>
  <c r="M63" i="2"/>
  <c r="N63" i="2"/>
  <c r="O63" i="2"/>
  <c r="E64" i="2"/>
  <c r="F64" i="2"/>
  <c r="G64" i="2"/>
  <c r="H64" i="2"/>
  <c r="I64" i="2"/>
  <c r="J64" i="2"/>
  <c r="K64" i="2"/>
  <c r="L64" i="2"/>
  <c r="M64" i="2"/>
  <c r="N64" i="2"/>
  <c r="O64" i="2"/>
  <c r="E65" i="2"/>
  <c r="F65" i="2"/>
  <c r="G65" i="2"/>
  <c r="H65" i="2"/>
  <c r="I65" i="2"/>
  <c r="J65" i="2"/>
  <c r="K65" i="2"/>
  <c r="L65" i="2"/>
  <c r="M65" i="2"/>
  <c r="N65" i="2"/>
  <c r="O65" i="2"/>
  <c r="E66" i="2"/>
  <c r="F66" i="2"/>
  <c r="G66" i="2"/>
  <c r="H66" i="2"/>
  <c r="I66" i="2"/>
  <c r="J66" i="2"/>
  <c r="K66" i="2"/>
  <c r="L66" i="2"/>
  <c r="M66" i="2"/>
  <c r="N66" i="2"/>
  <c r="O66" i="2"/>
  <c r="E67" i="2"/>
  <c r="F67" i="2"/>
  <c r="G67" i="2"/>
  <c r="H67" i="2"/>
  <c r="I67" i="2"/>
  <c r="J67" i="2"/>
  <c r="K67" i="2"/>
  <c r="L67" i="2"/>
  <c r="M67" i="2"/>
  <c r="N67" i="2"/>
  <c r="O67" i="2"/>
  <c r="E68" i="2"/>
  <c r="F68" i="2"/>
  <c r="G68" i="2"/>
  <c r="H68" i="2"/>
  <c r="I68" i="2"/>
  <c r="J68" i="2"/>
  <c r="K68" i="2"/>
  <c r="L68" i="2"/>
  <c r="M68" i="2"/>
  <c r="N68" i="2"/>
  <c r="O68" i="2"/>
  <c r="E69" i="2"/>
  <c r="F69" i="2"/>
  <c r="G69" i="2"/>
  <c r="H69" i="2"/>
  <c r="I69" i="2"/>
  <c r="J69" i="2"/>
  <c r="K69" i="2"/>
  <c r="L69" i="2"/>
  <c r="M69" i="2"/>
  <c r="N69" i="2"/>
  <c r="O69" i="2"/>
  <c r="E70" i="2"/>
  <c r="F70" i="2"/>
  <c r="G70" i="2"/>
  <c r="H70" i="2"/>
  <c r="I70" i="2"/>
  <c r="J70" i="2"/>
  <c r="K70" i="2"/>
  <c r="L70" i="2"/>
  <c r="M70" i="2"/>
  <c r="N70" i="2"/>
  <c r="O70" i="2"/>
  <c r="E71" i="2"/>
  <c r="F71" i="2"/>
  <c r="G71" i="2"/>
  <c r="H71" i="2"/>
  <c r="I71" i="2"/>
  <c r="J71" i="2"/>
  <c r="K71" i="2"/>
  <c r="L71" i="2"/>
  <c r="M71" i="2"/>
  <c r="N71" i="2"/>
  <c r="O71" i="2"/>
  <c r="E72" i="2"/>
  <c r="F72" i="2"/>
  <c r="G72" i="2"/>
  <c r="H72" i="2"/>
  <c r="I72" i="2"/>
  <c r="J72" i="2"/>
  <c r="K72" i="2"/>
  <c r="L72" i="2"/>
  <c r="M72" i="2"/>
  <c r="N72" i="2"/>
  <c r="O72" i="2"/>
  <c r="E73" i="2"/>
  <c r="F73" i="2"/>
  <c r="G73" i="2"/>
  <c r="H73" i="2"/>
  <c r="I73" i="2"/>
  <c r="J73" i="2"/>
  <c r="K73" i="2"/>
  <c r="L73" i="2"/>
  <c r="M73" i="2"/>
  <c r="N73" i="2"/>
  <c r="O73" i="2"/>
  <c r="E74" i="2"/>
  <c r="F74" i="2"/>
  <c r="G74" i="2"/>
  <c r="H74" i="2"/>
  <c r="I74" i="2"/>
  <c r="J74" i="2"/>
  <c r="K74" i="2"/>
  <c r="L74" i="2"/>
  <c r="M74" i="2"/>
  <c r="N74" i="2"/>
  <c r="O74" i="2"/>
  <c r="E75" i="2"/>
  <c r="F75" i="2"/>
  <c r="G75" i="2"/>
  <c r="H75" i="2"/>
  <c r="I75" i="2"/>
  <c r="J75" i="2"/>
  <c r="K75" i="2"/>
  <c r="L75" i="2"/>
  <c r="M75" i="2"/>
  <c r="N75" i="2"/>
  <c r="O75" i="2"/>
  <c r="E76" i="2"/>
  <c r="F76" i="2"/>
  <c r="G76" i="2"/>
  <c r="H76" i="2"/>
  <c r="I76" i="2"/>
  <c r="J76" i="2"/>
  <c r="K76" i="2"/>
  <c r="L76" i="2"/>
  <c r="M76" i="2"/>
  <c r="N76" i="2"/>
  <c r="O76" i="2"/>
  <c r="E77" i="2"/>
  <c r="F77" i="2"/>
  <c r="G77" i="2"/>
  <c r="H77" i="2"/>
  <c r="I77" i="2"/>
  <c r="J77" i="2"/>
  <c r="K77" i="2"/>
  <c r="L77" i="2"/>
  <c r="M77" i="2"/>
  <c r="N77" i="2"/>
  <c r="O77" i="2"/>
  <c r="E78" i="2"/>
  <c r="F78" i="2"/>
  <c r="G78" i="2"/>
  <c r="H78" i="2"/>
  <c r="I78" i="2"/>
  <c r="J78" i="2"/>
  <c r="K78" i="2"/>
  <c r="L78" i="2"/>
  <c r="M78" i="2"/>
  <c r="N78" i="2"/>
  <c r="O78" i="2"/>
  <c r="E79" i="2"/>
  <c r="F79" i="2"/>
  <c r="G79" i="2"/>
  <c r="H79" i="2"/>
  <c r="I79" i="2"/>
  <c r="J79" i="2"/>
  <c r="K79" i="2"/>
  <c r="L79" i="2"/>
  <c r="M79" i="2"/>
  <c r="N79" i="2"/>
  <c r="O79" i="2"/>
  <c r="E80" i="2"/>
  <c r="F80" i="2"/>
  <c r="G80" i="2"/>
  <c r="H80" i="2"/>
  <c r="I80" i="2"/>
  <c r="J80" i="2"/>
  <c r="K80" i="2"/>
  <c r="L80" i="2"/>
  <c r="M80" i="2"/>
  <c r="N80" i="2"/>
  <c r="O80" i="2"/>
  <c r="E81" i="2"/>
  <c r="F81" i="2"/>
  <c r="G81" i="2"/>
  <c r="H81" i="2"/>
  <c r="I81" i="2"/>
  <c r="J81" i="2"/>
  <c r="K81" i="2"/>
  <c r="L81" i="2"/>
  <c r="M81" i="2"/>
  <c r="N81" i="2"/>
  <c r="O81" i="2"/>
  <c r="E82" i="2"/>
  <c r="F82" i="2"/>
  <c r="G82" i="2"/>
  <c r="H82" i="2"/>
  <c r="I82" i="2"/>
  <c r="J82" i="2"/>
  <c r="K82" i="2"/>
  <c r="L82" i="2"/>
  <c r="M82" i="2"/>
  <c r="N82" i="2"/>
  <c r="O82" i="2"/>
  <c r="E83" i="2"/>
  <c r="F83" i="2"/>
  <c r="G83" i="2"/>
  <c r="H83" i="2"/>
  <c r="I83" i="2"/>
  <c r="J83" i="2"/>
  <c r="K83" i="2"/>
  <c r="L83" i="2"/>
  <c r="M83" i="2"/>
  <c r="N83" i="2"/>
  <c r="O83" i="2"/>
  <c r="E84" i="2"/>
  <c r="F84" i="2"/>
  <c r="G84" i="2"/>
  <c r="H84" i="2"/>
  <c r="I84" i="2"/>
  <c r="J84" i="2"/>
  <c r="K84" i="2"/>
  <c r="L84" i="2"/>
  <c r="M84" i="2"/>
  <c r="N84" i="2"/>
  <c r="O84" i="2"/>
  <c r="E85" i="2"/>
  <c r="F85" i="2"/>
  <c r="G85" i="2"/>
  <c r="H85" i="2"/>
  <c r="I85" i="2"/>
  <c r="J85" i="2"/>
  <c r="K85" i="2"/>
  <c r="L85" i="2"/>
  <c r="M85" i="2"/>
  <c r="N85" i="2"/>
  <c r="O85" i="2"/>
  <c r="E86" i="2"/>
  <c r="F86" i="2"/>
  <c r="G86" i="2"/>
  <c r="H86" i="2"/>
  <c r="I86" i="2"/>
  <c r="J86" i="2"/>
  <c r="K86" i="2"/>
  <c r="L86" i="2"/>
  <c r="M86" i="2"/>
  <c r="N86" i="2"/>
  <c r="O86" i="2"/>
  <c r="E87" i="2"/>
  <c r="F87" i="2"/>
  <c r="G87" i="2"/>
  <c r="H87" i="2"/>
  <c r="I87" i="2"/>
  <c r="J87" i="2"/>
  <c r="K87" i="2"/>
  <c r="L87" i="2"/>
  <c r="M87" i="2"/>
  <c r="N87" i="2"/>
  <c r="O87" i="2"/>
  <c r="E88" i="2"/>
  <c r="F88" i="2"/>
  <c r="G88" i="2"/>
  <c r="H88" i="2"/>
  <c r="I88" i="2"/>
  <c r="J88" i="2"/>
  <c r="K88" i="2"/>
  <c r="L88" i="2"/>
  <c r="M88" i="2"/>
  <c r="N88" i="2"/>
  <c r="O88" i="2"/>
  <c r="E89" i="2"/>
  <c r="F89" i="2"/>
  <c r="G89" i="2"/>
  <c r="H89" i="2"/>
  <c r="I89" i="2"/>
  <c r="J89" i="2"/>
  <c r="K89" i="2"/>
  <c r="L89" i="2"/>
  <c r="M89" i="2"/>
  <c r="N89" i="2"/>
  <c r="O89" i="2"/>
  <c r="E90" i="2"/>
  <c r="F90" i="2"/>
  <c r="G90" i="2"/>
  <c r="H90" i="2"/>
  <c r="I90" i="2"/>
  <c r="J90" i="2"/>
  <c r="K90" i="2"/>
  <c r="L90" i="2"/>
  <c r="M90" i="2"/>
  <c r="N90" i="2"/>
  <c r="O90" i="2"/>
  <c r="E91" i="2"/>
  <c r="F91" i="2"/>
  <c r="G91" i="2"/>
  <c r="H91" i="2"/>
  <c r="I91" i="2"/>
  <c r="J91" i="2"/>
  <c r="K91" i="2"/>
  <c r="L91" i="2"/>
  <c r="M91" i="2"/>
  <c r="N91" i="2"/>
  <c r="O91" i="2"/>
  <c r="E92" i="2"/>
  <c r="F92" i="2"/>
  <c r="G92" i="2"/>
  <c r="H92" i="2"/>
  <c r="I92" i="2"/>
  <c r="J92" i="2"/>
  <c r="K92" i="2"/>
  <c r="L92" i="2"/>
  <c r="M92" i="2"/>
  <c r="N92" i="2"/>
  <c r="O92" i="2"/>
  <c r="E93" i="2"/>
  <c r="F93" i="2"/>
  <c r="G93" i="2"/>
  <c r="H93" i="2"/>
  <c r="I93" i="2"/>
  <c r="J93" i="2"/>
  <c r="K93" i="2"/>
  <c r="L93" i="2"/>
  <c r="M93" i="2"/>
  <c r="N93" i="2"/>
  <c r="O93" i="2"/>
  <c r="E94" i="2"/>
  <c r="F94" i="2"/>
  <c r="G94" i="2"/>
  <c r="H94" i="2"/>
  <c r="I94" i="2"/>
  <c r="J94" i="2"/>
  <c r="K94" i="2"/>
  <c r="L94" i="2"/>
  <c r="M94" i="2"/>
  <c r="N94" i="2"/>
  <c r="O94" i="2"/>
  <c r="E95" i="2"/>
  <c r="F95" i="2"/>
  <c r="G95" i="2"/>
  <c r="H95" i="2"/>
  <c r="I95" i="2"/>
  <c r="J95" i="2"/>
  <c r="K95" i="2"/>
  <c r="L95" i="2"/>
  <c r="M95" i="2"/>
  <c r="N95" i="2"/>
  <c r="O95" i="2"/>
  <c r="E96" i="2"/>
  <c r="F96" i="2"/>
  <c r="G96" i="2"/>
  <c r="H96" i="2"/>
  <c r="I96" i="2"/>
  <c r="J96" i="2"/>
  <c r="K96" i="2"/>
  <c r="L96" i="2"/>
  <c r="M96" i="2"/>
  <c r="N96" i="2"/>
  <c r="O96" i="2"/>
  <c r="E97" i="2"/>
  <c r="F97" i="2"/>
  <c r="G97" i="2"/>
  <c r="H97" i="2"/>
  <c r="I97" i="2"/>
  <c r="J97" i="2"/>
  <c r="K97" i="2"/>
  <c r="L97" i="2"/>
  <c r="M97" i="2"/>
  <c r="N97" i="2"/>
  <c r="O97" i="2"/>
  <c r="E98" i="2"/>
  <c r="F98" i="2"/>
  <c r="G98" i="2"/>
  <c r="H98" i="2"/>
  <c r="I98" i="2"/>
  <c r="J98" i="2"/>
  <c r="K98" i="2"/>
  <c r="L98" i="2"/>
  <c r="M98" i="2"/>
  <c r="N98" i="2"/>
  <c r="O98" i="2"/>
  <c r="E99" i="2"/>
  <c r="F99" i="2"/>
  <c r="G99" i="2"/>
  <c r="H99" i="2"/>
  <c r="I99" i="2"/>
  <c r="J99" i="2"/>
  <c r="K99" i="2"/>
  <c r="L99" i="2"/>
  <c r="M99" i="2"/>
  <c r="N99" i="2"/>
  <c r="O99" i="2"/>
  <c r="E100" i="2"/>
  <c r="F100" i="2"/>
  <c r="G100" i="2"/>
  <c r="H100" i="2"/>
  <c r="I100" i="2"/>
  <c r="J100" i="2"/>
  <c r="K100" i="2"/>
  <c r="L100" i="2"/>
  <c r="M100" i="2"/>
  <c r="N100" i="2"/>
  <c r="O100" i="2"/>
  <c r="E101" i="2"/>
  <c r="F101" i="2"/>
  <c r="G101" i="2"/>
  <c r="H101" i="2"/>
  <c r="I101" i="2"/>
  <c r="J101" i="2"/>
  <c r="K101" i="2"/>
  <c r="L101" i="2"/>
  <c r="M101" i="2"/>
  <c r="N101" i="2"/>
  <c r="O101" i="2"/>
  <c r="E102" i="2"/>
  <c r="F102" i="2"/>
  <c r="G102" i="2"/>
  <c r="H102" i="2"/>
  <c r="I102" i="2"/>
  <c r="J102" i="2"/>
  <c r="K102" i="2"/>
  <c r="L102" i="2"/>
  <c r="M102" i="2"/>
  <c r="N102" i="2"/>
  <c r="O102" i="2"/>
  <c r="E103" i="2"/>
  <c r="F103" i="2"/>
  <c r="G103" i="2"/>
  <c r="H103" i="2"/>
  <c r="I103" i="2"/>
  <c r="J103" i="2"/>
  <c r="K103" i="2"/>
  <c r="L103" i="2"/>
  <c r="M103" i="2"/>
  <c r="N103" i="2"/>
  <c r="O103" i="2"/>
  <c r="E104" i="2"/>
  <c r="F104" i="2"/>
  <c r="G104" i="2"/>
  <c r="H104" i="2"/>
  <c r="I104" i="2"/>
  <c r="J104" i="2"/>
  <c r="K104" i="2"/>
  <c r="L104" i="2"/>
  <c r="M104" i="2"/>
  <c r="N104" i="2"/>
  <c r="O104" i="2"/>
  <c r="E105" i="2"/>
  <c r="F105" i="2"/>
  <c r="G105" i="2"/>
  <c r="H105" i="2"/>
  <c r="I105" i="2"/>
  <c r="J105" i="2"/>
  <c r="K105" i="2"/>
  <c r="L105" i="2"/>
  <c r="M105" i="2"/>
  <c r="N105" i="2"/>
  <c r="O105" i="2"/>
  <c r="E106" i="2"/>
  <c r="F106" i="2"/>
  <c r="G106" i="2"/>
  <c r="H106" i="2"/>
  <c r="I106" i="2"/>
  <c r="J106" i="2"/>
  <c r="K106" i="2"/>
  <c r="L106" i="2"/>
  <c r="M106" i="2"/>
  <c r="N106" i="2"/>
  <c r="O106" i="2"/>
  <c r="E107" i="2"/>
  <c r="F107" i="2"/>
  <c r="G107" i="2"/>
  <c r="H107" i="2"/>
  <c r="I107" i="2"/>
  <c r="J107" i="2"/>
  <c r="K107" i="2"/>
  <c r="L107" i="2"/>
  <c r="M107" i="2"/>
  <c r="N107" i="2"/>
  <c r="O107" i="2"/>
  <c r="E108" i="2"/>
  <c r="F108" i="2"/>
  <c r="G108" i="2"/>
  <c r="H108" i="2"/>
  <c r="I108" i="2"/>
  <c r="J108" i="2"/>
  <c r="K108" i="2"/>
  <c r="L108" i="2"/>
  <c r="M108" i="2"/>
  <c r="N108" i="2"/>
  <c r="O108" i="2"/>
  <c r="E109" i="2"/>
  <c r="F109" i="2"/>
  <c r="G109" i="2"/>
  <c r="H109" i="2"/>
  <c r="I109" i="2"/>
  <c r="J109" i="2"/>
  <c r="K109" i="2"/>
  <c r="L109" i="2"/>
  <c r="M109" i="2"/>
  <c r="N109" i="2"/>
  <c r="O109" i="2"/>
  <c r="E110" i="2"/>
  <c r="F110" i="2"/>
  <c r="G110" i="2"/>
  <c r="H110" i="2"/>
  <c r="I110" i="2"/>
  <c r="J110" i="2"/>
  <c r="K110" i="2"/>
  <c r="L110" i="2"/>
  <c r="M110" i="2"/>
  <c r="N110" i="2"/>
  <c r="O110" i="2"/>
  <c r="E111" i="2"/>
  <c r="F111" i="2"/>
  <c r="G111" i="2"/>
  <c r="H111" i="2"/>
  <c r="I111" i="2"/>
  <c r="J111" i="2"/>
  <c r="K111" i="2"/>
  <c r="L111" i="2"/>
  <c r="M111" i="2"/>
  <c r="N111" i="2"/>
  <c r="O111" i="2"/>
  <c r="E112" i="2"/>
  <c r="F112" i="2"/>
  <c r="G112" i="2"/>
  <c r="H112" i="2"/>
  <c r="I112" i="2"/>
  <c r="J112" i="2"/>
  <c r="K112" i="2"/>
  <c r="L112" i="2"/>
  <c r="M112" i="2"/>
  <c r="N112" i="2"/>
  <c r="O112" i="2"/>
  <c r="E113" i="2"/>
  <c r="F113" i="2"/>
  <c r="G113" i="2"/>
  <c r="H113" i="2"/>
  <c r="I113" i="2"/>
  <c r="J113" i="2"/>
  <c r="K113" i="2"/>
  <c r="L113" i="2"/>
  <c r="M113" i="2"/>
  <c r="N113" i="2"/>
  <c r="O113" i="2"/>
  <c r="E114" i="2"/>
  <c r="F114" i="2"/>
  <c r="G114" i="2"/>
  <c r="H114" i="2"/>
  <c r="I114" i="2"/>
  <c r="J114" i="2"/>
  <c r="K114" i="2"/>
  <c r="L114" i="2"/>
  <c r="M114" i="2"/>
  <c r="N114" i="2"/>
  <c r="O114" i="2"/>
  <c r="E115" i="2"/>
  <c r="F115" i="2"/>
  <c r="G115" i="2"/>
  <c r="H115" i="2"/>
  <c r="I115" i="2"/>
  <c r="J115" i="2"/>
  <c r="K115" i="2"/>
  <c r="L115" i="2"/>
  <c r="M115" i="2"/>
  <c r="N115" i="2"/>
  <c r="O115" i="2"/>
  <c r="E116" i="2"/>
  <c r="F116" i="2"/>
  <c r="G116" i="2"/>
  <c r="H116" i="2"/>
  <c r="I116" i="2"/>
  <c r="J116" i="2"/>
  <c r="K116" i="2"/>
  <c r="L116" i="2"/>
  <c r="M116" i="2"/>
  <c r="N116" i="2"/>
  <c r="O116" i="2"/>
  <c r="E117" i="2"/>
  <c r="F117" i="2"/>
  <c r="G117" i="2"/>
  <c r="H117" i="2"/>
  <c r="I117" i="2"/>
  <c r="J117" i="2"/>
  <c r="K117" i="2"/>
  <c r="L117" i="2"/>
  <c r="M117" i="2"/>
  <c r="N117" i="2"/>
  <c r="O117" i="2"/>
  <c r="E118" i="2"/>
  <c r="F118" i="2"/>
  <c r="G118" i="2"/>
  <c r="H118" i="2"/>
  <c r="I118" i="2"/>
  <c r="J118" i="2"/>
  <c r="K118" i="2"/>
  <c r="L118" i="2"/>
  <c r="M118" i="2"/>
  <c r="N118" i="2"/>
  <c r="O118" i="2"/>
  <c r="E119" i="2"/>
  <c r="F119" i="2"/>
  <c r="G119" i="2"/>
  <c r="H119" i="2"/>
  <c r="I119" i="2"/>
  <c r="J119" i="2"/>
  <c r="K119" i="2"/>
  <c r="L119" i="2"/>
  <c r="M119" i="2"/>
  <c r="N119" i="2"/>
  <c r="O119" i="2"/>
  <c r="E120" i="2"/>
  <c r="F120" i="2"/>
  <c r="G120" i="2"/>
  <c r="H120" i="2"/>
  <c r="I120" i="2"/>
  <c r="J120" i="2"/>
  <c r="K120" i="2"/>
  <c r="L120" i="2"/>
  <c r="M120" i="2"/>
  <c r="N120" i="2"/>
  <c r="O120" i="2"/>
  <c r="E121" i="2"/>
  <c r="F121" i="2"/>
  <c r="G121" i="2"/>
  <c r="H121" i="2"/>
  <c r="I121" i="2"/>
  <c r="J121" i="2"/>
  <c r="K121" i="2"/>
  <c r="L121" i="2"/>
  <c r="M121" i="2"/>
  <c r="N121" i="2"/>
  <c r="O121" i="2"/>
  <c r="E122" i="2"/>
  <c r="F122" i="2"/>
  <c r="G122" i="2"/>
  <c r="H122" i="2"/>
  <c r="I122" i="2"/>
  <c r="J122" i="2"/>
  <c r="K122" i="2"/>
  <c r="L122" i="2"/>
  <c r="M122" i="2"/>
  <c r="N122" i="2"/>
  <c r="O122" i="2"/>
  <c r="E123" i="2"/>
  <c r="F123" i="2"/>
  <c r="G123" i="2"/>
  <c r="H123" i="2"/>
  <c r="I123" i="2"/>
  <c r="J123" i="2"/>
  <c r="K123" i="2"/>
  <c r="L123" i="2"/>
  <c r="M123" i="2"/>
  <c r="N123" i="2"/>
  <c r="O123" i="2"/>
  <c r="E124" i="2"/>
  <c r="F124" i="2"/>
  <c r="G124" i="2"/>
  <c r="H124" i="2"/>
  <c r="I124" i="2"/>
  <c r="J124" i="2"/>
  <c r="K124" i="2"/>
  <c r="L124" i="2"/>
  <c r="M124" i="2"/>
  <c r="N124" i="2"/>
  <c r="O124" i="2"/>
  <c r="E125" i="2"/>
  <c r="F125" i="2"/>
  <c r="G125" i="2"/>
  <c r="H125" i="2"/>
  <c r="I125" i="2"/>
  <c r="J125" i="2"/>
  <c r="K125" i="2"/>
  <c r="L125" i="2"/>
  <c r="M125" i="2"/>
  <c r="N125" i="2"/>
  <c r="O125" i="2"/>
  <c r="E126" i="2"/>
  <c r="F126" i="2"/>
  <c r="G126" i="2"/>
  <c r="H126" i="2"/>
  <c r="I126" i="2"/>
  <c r="J126" i="2"/>
  <c r="K126" i="2"/>
  <c r="L126" i="2"/>
  <c r="M126" i="2"/>
  <c r="N126" i="2"/>
  <c r="O126" i="2"/>
  <c r="E127" i="2"/>
  <c r="F127" i="2"/>
  <c r="G127" i="2"/>
  <c r="H127" i="2"/>
  <c r="I127" i="2"/>
  <c r="J127" i="2"/>
  <c r="K127" i="2"/>
  <c r="L127" i="2"/>
  <c r="M127" i="2"/>
  <c r="N127" i="2"/>
  <c r="O127" i="2"/>
  <c r="E128" i="2"/>
  <c r="F128" i="2"/>
  <c r="G128" i="2"/>
  <c r="H128" i="2"/>
  <c r="I128" i="2"/>
  <c r="J128" i="2"/>
  <c r="K128" i="2"/>
  <c r="L128" i="2"/>
  <c r="M128" i="2"/>
  <c r="N128" i="2"/>
  <c r="O128" i="2"/>
  <c r="E129" i="2"/>
  <c r="F129" i="2"/>
  <c r="G129" i="2"/>
  <c r="H129" i="2"/>
  <c r="I129" i="2"/>
  <c r="J129" i="2"/>
  <c r="K129" i="2"/>
  <c r="L129" i="2"/>
  <c r="M129" i="2"/>
  <c r="N129" i="2"/>
  <c r="O129" i="2"/>
  <c r="E130" i="2"/>
  <c r="F130" i="2"/>
  <c r="G130" i="2"/>
  <c r="H130" i="2"/>
  <c r="I130" i="2"/>
  <c r="J130" i="2"/>
  <c r="K130" i="2"/>
  <c r="L130" i="2"/>
  <c r="M130" i="2"/>
  <c r="N130" i="2"/>
  <c r="O130" i="2"/>
  <c r="E131" i="2"/>
  <c r="F131" i="2"/>
  <c r="G131" i="2"/>
  <c r="H131" i="2"/>
  <c r="I131" i="2"/>
  <c r="J131" i="2"/>
  <c r="K131" i="2"/>
  <c r="L131" i="2"/>
  <c r="M131" i="2"/>
  <c r="N131" i="2"/>
  <c r="O131" i="2"/>
  <c r="E132" i="2"/>
  <c r="F132" i="2"/>
  <c r="G132" i="2"/>
  <c r="H132" i="2"/>
  <c r="I132" i="2"/>
  <c r="J132" i="2"/>
  <c r="K132" i="2"/>
  <c r="L132" i="2"/>
  <c r="M132" i="2"/>
  <c r="N132" i="2"/>
  <c r="O132" i="2"/>
  <c r="E133" i="2"/>
  <c r="F133" i="2"/>
  <c r="G133" i="2"/>
  <c r="H133" i="2"/>
  <c r="I133" i="2"/>
  <c r="J133" i="2"/>
  <c r="K133" i="2"/>
  <c r="L133" i="2"/>
  <c r="M133" i="2"/>
  <c r="N133" i="2"/>
  <c r="O133" i="2"/>
  <c r="E134" i="2"/>
  <c r="F134" i="2"/>
  <c r="G134" i="2"/>
  <c r="H134" i="2"/>
  <c r="I134" i="2"/>
  <c r="J134" i="2"/>
  <c r="K134" i="2"/>
  <c r="L134" i="2"/>
  <c r="M134" i="2"/>
  <c r="N134" i="2"/>
  <c r="O134" i="2"/>
  <c r="E135" i="2"/>
  <c r="F135" i="2"/>
  <c r="G135" i="2"/>
  <c r="H135" i="2"/>
  <c r="I135" i="2"/>
  <c r="J135" i="2"/>
  <c r="K135" i="2"/>
  <c r="L135" i="2"/>
  <c r="M135" i="2"/>
  <c r="N135" i="2"/>
  <c r="O135" i="2"/>
  <c r="E136" i="2"/>
  <c r="F136" i="2"/>
  <c r="G136" i="2"/>
  <c r="H136" i="2"/>
  <c r="I136" i="2"/>
  <c r="J136" i="2"/>
  <c r="K136" i="2"/>
  <c r="L136" i="2"/>
  <c r="M136" i="2"/>
  <c r="N136" i="2"/>
  <c r="O136" i="2"/>
  <c r="E137" i="2"/>
  <c r="F137" i="2"/>
  <c r="G137" i="2"/>
  <c r="H137" i="2"/>
  <c r="I137" i="2"/>
  <c r="J137" i="2"/>
  <c r="K137" i="2"/>
  <c r="L137" i="2"/>
  <c r="M137" i="2"/>
  <c r="N137" i="2"/>
  <c r="O137" i="2"/>
  <c r="E138" i="2"/>
  <c r="F138" i="2"/>
  <c r="G138" i="2"/>
  <c r="H138" i="2"/>
  <c r="I138" i="2"/>
  <c r="J138" i="2"/>
  <c r="K138" i="2"/>
  <c r="L138" i="2"/>
  <c r="M138" i="2"/>
  <c r="N138" i="2"/>
  <c r="O138" i="2"/>
  <c r="E139" i="2"/>
  <c r="F139" i="2"/>
  <c r="G139" i="2"/>
  <c r="H139" i="2"/>
  <c r="I139" i="2"/>
  <c r="J139" i="2"/>
  <c r="K139" i="2"/>
  <c r="L139" i="2"/>
  <c r="M139" i="2"/>
  <c r="N139" i="2"/>
  <c r="O139" i="2"/>
  <c r="E140" i="2"/>
  <c r="F140" i="2"/>
  <c r="G140" i="2"/>
  <c r="H140" i="2"/>
  <c r="I140" i="2"/>
  <c r="J140" i="2"/>
  <c r="K140" i="2"/>
  <c r="L140" i="2"/>
  <c r="M140" i="2"/>
  <c r="N140" i="2"/>
  <c r="O140" i="2"/>
  <c r="E141" i="2"/>
  <c r="F141" i="2"/>
  <c r="G141" i="2"/>
  <c r="H141" i="2"/>
  <c r="I141" i="2"/>
  <c r="J141" i="2"/>
  <c r="K141" i="2"/>
  <c r="L141" i="2"/>
  <c r="M141" i="2"/>
  <c r="N141" i="2"/>
  <c r="O141" i="2"/>
  <c r="E142" i="2"/>
  <c r="F142" i="2"/>
  <c r="G142" i="2"/>
  <c r="H142" i="2"/>
  <c r="I142" i="2"/>
  <c r="J142" i="2"/>
  <c r="K142" i="2"/>
  <c r="L142" i="2"/>
  <c r="M142" i="2"/>
  <c r="N142" i="2"/>
  <c r="O142" i="2"/>
  <c r="E143" i="2"/>
  <c r="F143" i="2"/>
  <c r="G143" i="2"/>
  <c r="H143" i="2"/>
  <c r="I143" i="2"/>
  <c r="J143" i="2"/>
  <c r="K143" i="2"/>
  <c r="L143" i="2"/>
  <c r="M143" i="2"/>
  <c r="N143" i="2"/>
  <c r="O143" i="2"/>
  <c r="E144" i="2"/>
  <c r="F144" i="2"/>
  <c r="G144" i="2"/>
  <c r="H144" i="2"/>
  <c r="I144" i="2"/>
  <c r="J144" i="2"/>
  <c r="K144" i="2"/>
  <c r="L144" i="2"/>
  <c r="M144" i="2"/>
  <c r="N144" i="2"/>
  <c r="O144" i="2"/>
  <c r="E145" i="2"/>
  <c r="F145" i="2"/>
  <c r="G145" i="2"/>
  <c r="H145" i="2"/>
  <c r="I145" i="2"/>
  <c r="J145" i="2"/>
  <c r="K145" i="2"/>
  <c r="L145" i="2"/>
  <c r="M145" i="2"/>
  <c r="N145" i="2"/>
  <c r="O145" i="2"/>
  <c r="E146" i="2"/>
  <c r="F146" i="2"/>
  <c r="G146" i="2"/>
  <c r="H146" i="2"/>
  <c r="I146" i="2"/>
  <c r="J146" i="2"/>
  <c r="K146" i="2"/>
  <c r="L146" i="2"/>
  <c r="M146" i="2"/>
  <c r="N146" i="2"/>
  <c r="O146" i="2"/>
  <c r="E147" i="2"/>
  <c r="F147" i="2"/>
  <c r="G147" i="2"/>
  <c r="H147" i="2"/>
  <c r="I147" i="2"/>
  <c r="J147" i="2"/>
  <c r="K147" i="2"/>
  <c r="L147" i="2"/>
  <c r="M147" i="2"/>
  <c r="N147" i="2"/>
  <c r="O147" i="2"/>
  <c r="E148" i="2"/>
  <c r="F148" i="2"/>
  <c r="G148" i="2"/>
  <c r="H148" i="2"/>
  <c r="I148" i="2"/>
  <c r="J148" i="2"/>
  <c r="K148" i="2"/>
  <c r="L148" i="2"/>
  <c r="M148" i="2"/>
  <c r="N148" i="2"/>
  <c r="O148" i="2"/>
  <c r="E149" i="2"/>
  <c r="F149" i="2"/>
  <c r="G149" i="2"/>
  <c r="H149" i="2"/>
  <c r="I149" i="2"/>
  <c r="J149" i="2"/>
  <c r="K149" i="2"/>
  <c r="L149" i="2"/>
  <c r="M149" i="2"/>
  <c r="N149" i="2"/>
  <c r="O149" i="2"/>
  <c r="E150" i="2"/>
  <c r="F150" i="2"/>
  <c r="G150" i="2"/>
  <c r="H150" i="2"/>
  <c r="I150" i="2"/>
  <c r="J150" i="2"/>
  <c r="K150" i="2"/>
  <c r="L150" i="2"/>
  <c r="M150" i="2"/>
  <c r="N150" i="2"/>
  <c r="O150" i="2"/>
  <c r="E151" i="2"/>
  <c r="F151" i="2"/>
  <c r="G151" i="2"/>
  <c r="H151" i="2"/>
  <c r="I151" i="2"/>
  <c r="J151" i="2"/>
  <c r="K151" i="2"/>
  <c r="L151" i="2"/>
  <c r="M151" i="2"/>
  <c r="N151" i="2"/>
  <c r="O151" i="2"/>
  <c r="E152" i="2"/>
  <c r="F152" i="2"/>
  <c r="G152" i="2"/>
  <c r="H152" i="2"/>
  <c r="I152" i="2"/>
  <c r="J152" i="2"/>
  <c r="K152" i="2"/>
  <c r="L152" i="2"/>
  <c r="M152" i="2"/>
  <c r="N152" i="2"/>
  <c r="O152" i="2"/>
  <c r="E153" i="2"/>
  <c r="F153" i="2"/>
  <c r="G153" i="2"/>
  <c r="H153" i="2"/>
  <c r="I153" i="2"/>
  <c r="J153" i="2"/>
  <c r="K153" i="2"/>
  <c r="L153" i="2"/>
  <c r="M153" i="2"/>
  <c r="N153" i="2"/>
  <c r="O153" i="2"/>
  <c r="E154" i="2"/>
  <c r="F154" i="2"/>
  <c r="G154" i="2"/>
  <c r="H154" i="2"/>
  <c r="I154" i="2"/>
  <c r="J154" i="2"/>
  <c r="K154" i="2"/>
  <c r="L154" i="2"/>
  <c r="M154" i="2"/>
  <c r="N154" i="2"/>
  <c r="O154" i="2"/>
  <c r="E155" i="2"/>
  <c r="F155" i="2"/>
  <c r="G155" i="2"/>
  <c r="H155" i="2"/>
  <c r="I155" i="2"/>
  <c r="J155" i="2"/>
  <c r="K155" i="2"/>
  <c r="L155" i="2"/>
  <c r="M155" i="2"/>
  <c r="N155" i="2"/>
  <c r="O155" i="2"/>
  <c r="E156" i="2"/>
  <c r="F156" i="2"/>
  <c r="G156" i="2"/>
  <c r="H156" i="2"/>
  <c r="I156" i="2"/>
  <c r="J156" i="2"/>
  <c r="K156" i="2"/>
  <c r="L156" i="2"/>
  <c r="M156" i="2"/>
  <c r="N156" i="2"/>
  <c r="O156" i="2"/>
  <c r="E157" i="2"/>
  <c r="F157" i="2"/>
  <c r="G157" i="2"/>
  <c r="H157" i="2"/>
  <c r="I157" i="2"/>
  <c r="J157" i="2"/>
  <c r="K157" i="2"/>
  <c r="L157" i="2"/>
  <c r="M157" i="2"/>
  <c r="N157" i="2"/>
  <c r="O157" i="2"/>
  <c r="E158" i="2"/>
  <c r="F158" i="2"/>
  <c r="G158" i="2"/>
  <c r="H158" i="2"/>
  <c r="I158" i="2"/>
  <c r="J158" i="2"/>
  <c r="K158" i="2"/>
  <c r="L158" i="2"/>
  <c r="M158" i="2"/>
  <c r="N158" i="2"/>
  <c r="O158" i="2"/>
  <c r="E159" i="2"/>
  <c r="F159" i="2"/>
  <c r="G159" i="2"/>
  <c r="H159" i="2"/>
  <c r="I159" i="2"/>
  <c r="J159" i="2"/>
  <c r="K159" i="2"/>
  <c r="L159" i="2"/>
  <c r="M159" i="2"/>
  <c r="N159" i="2"/>
  <c r="O159" i="2"/>
  <c r="E160" i="2"/>
  <c r="F160" i="2"/>
  <c r="G160" i="2"/>
  <c r="H160" i="2"/>
  <c r="I160" i="2"/>
  <c r="J160" i="2"/>
  <c r="K160" i="2"/>
  <c r="L160" i="2"/>
  <c r="M160" i="2"/>
  <c r="N160" i="2"/>
  <c r="O160" i="2"/>
  <c r="E161" i="2"/>
  <c r="F161" i="2"/>
  <c r="G161" i="2"/>
  <c r="H161" i="2"/>
  <c r="I161" i="2"/>
  <c r="J161" i="2"/>
  <c r="K161" i="2"/>
  <c r="L161" i="2"/>
  <c r="M161" i="2"/>
  <c r="N161" i="2"/>
  <c r="O161" i="2"/>
  <c r="E162" i="2"/>
  <c r="F162" i="2"/>
  <c r="G162" i="2"/>
  <c r="H162" i="2"/>
  <c r="I162" i="2"/>
  <c r="J162" i="2"/>
  <c r="K162" i="2"/>
  <c r="L162" i="2"/>
  <c r="M162" i="2"/>
  <c r="N162" i="2"/>
  <c r="O162" i="2"/>
  <c r="E163" i="2"/>
  <c r="F163" i="2"/>
  <c r="G163" i="2"/>
  <c r="H163" i="2"/>
  <c r="I163" i="2"/>
  <c r="J163" i="2"/>
  <c r="K163" i="2"/>
  <c r="L163" i="2"/>
  <c r="M163" i="2"/>
  <c r="N163" i="2"/>
  <c r="O163" i="2"/>
  <c r="E164" i="2"/>
  <c r="F164" i="2"/>
  <c r="G164" i="2"/>
  <c r="H164" i="2"/>
  <c r="I164" i="2"/>
  <c r="J164" i="2"/>
  <c r="K164" i="2"/>
  <c r="L164" i="2"/>
  <c r="M164" i="2"/>
  <c r="N164" i="2"/>
  <c r="O164" i="2"/>
  <c r="E165" i="2"/>
  <c r="F165" i="2"/>
  <c r="G165" i="2"/>
  <c r="H165" i="2"/>
  <c r="I165" i="2"/>
  <c r="J165" i="2"/>
  <c r="K165" i="2"/>
  <c r="L165" i="2"/>
  <c r="M165" i="2"/>
  <c r="N165" i="2"/>
  <c r="O165" i="2"/>
  <c r="E166" i="2"/>
  <c r="F166" i="2"/>
  <c r="G166" i="2"/>
  <c r="H166" i="2"/>
  <c r="I166" i="2"/>
  <c r="J166" i="2"/>
  <c r="K166" i="2"/>
  <c r="L166" i="2"/>
  <c r="M166" i="2"/>
  <c r="N166" i="2"/>
  <c r="O166" i="2"/>
  <c r="E167" i="2"/>
  <c r="F167" i="2"/>
  <c r="G167" i="2"/>
  <c r="H167" i="2"/>
  <c r="I167" i="2"/>
  <c r="J167" i="2"/>
  <c r="K167" i="2"/>
  <c r="L167" i="2"/>
  <c r="M167" i="2"/>
  <c r="N167" i="2"/>
  <c r="O167" i="2"/>
  <c r="E168" i="2"/>
  <c r="F168" i="2"/>
  <c r="G168" i="2"/>
  <c r="H168" i="2"/>
  <c r="I168" i="2"/>
  <c r="J168" i="2"/>
  <c r="K168" i="2"/>
  <c r="L168" i="2"/>
  <c r="M168" i="2"/>
  <c r="N168" i="2"/>
  <c r="O168" i="2"/>
  <c r="E169" i="2"/>
  <c r="F169" i="2"/>
  <c r="G169" i="2"/>
  <c r="H169" i="2"/>
  <c r="I169" i="2"/>
  <c r="J169" i="2"/>
  <c r="K169" i="2"/>
  <c r="L169" i="2"/>
  <c r="M169" i="2"/>
  <c r="N169" i="2"/>
  <c r="O169" i="2"/>
  <c r="E170" i="2"/>
  <c r="F170" i="2"/>
  <c r="G170" i="2"/>
  <c r="H170" i="2"/>
  <c r="I170" i="2"/>
  <c r="J170" i="2"/>
  <c r="K170" i="2"/>
  <c r="L170" i="2"/>
  <c r="M170" i="2"/>
  <c r="N170" i="2"/>
  <c r="O170" i="2"/>
  <c r="E171" i="2"/>
  <c r="F171" i="2"/>
  <c r="G171" i="2"/>
  <c r="H171" i="2"/>
  <c r="I171" i="2"/>
  <c r="J171" i="2"/>
  <c r="K171" i="2"/>
  <c r="L171" i="2"/>
  <c r="M171" i="2"/>
  <c r="N171" i="2"/>
  <c r="O171" i="2"/>
  <c r="E172" i="2"/>
  <c r="F172" i="2"/>
  <c r="G172" i="2"/>
  <c r="H172" i="2"/>
  <c r="I172" i="2"/>
  <c r="J172" i="2"/>
  <c r="K172" i="2"/>
  <c r="L172" i="2"/>
  <c r="M172" i="2"/>
  <c r="N172" i="2"/>
  <c r="O172" i="2"/>
  <c r="E173" i="2"/>
  <c r="F173" i="2"/>
  <c r="G173" i="2"/>
  <c r="H173" i="2"/>
  <c r="I173" i="2"/>
  <c r="J173" i="2"/>
  <c r="K173" i="2"/>
  <c r="L173" i="2"/>
  <c r="M173" i="2"/>
  <c r="N173" i="2"/>
  <c r="O173" i="2"/>
  <c r="E174" i="2"/>
  <c r="F174" i="2"/>
  <c r="G174" i="2"/>
  <c r="H174" i="2"/>
  <c r="I174" i="2"/>
  <c r="J174" i="2"/>
  <c r="K174" i="2"/>
  <c r="L174" i="2"/>
  <c r="M174" i="2"/>
  <c r="N174" i="2"/>
  <c r="O174" i="2"/>
  <c r="E175" i="2"/>
  <c r="F175" i="2"/>
  <c r="G175" i="2"/>
  <c r="H175" i="2"/>
  <c r="I175" i="2"/>
  <c r="J175" i="2"/>
  <c r="K175" i="2"/>
  <c r="L175" i="2"/>
  <c r="M175" i="2"/>
  <c r="N175" i="2"/>
  <c r="O175" i="2"/>
  <c r="E176" i="2"/>
  <c r="F176" i="2"/>
  <c r="G176" i="2"/>
  <c r="H176" i="2"/>
  <c r="I176" i="2"/>
  <c r="J176" i="2"/>
  <c r="K176" i="2"/>
  <c r="L176" i="2"/>
  <c r="M176" i="2"/>
  <c r="N176" i="2"/>
  <c r="O176" i="2"/>
  <c r="E177" i="2"/>
  <c r="F177" i="2"/>
  <c r="G177" i="2"/>
  <c r="H177" i="2"/>
  <c r="I177" i="2"/>
  <c r="J177" i="2"/>
  <c r="K177" i="2"/>
  <c r="L177" i="2"/>
  <c r="M177" i="2"/>
  <c r="N177" i="2"/>
  <c r="O177" i="2"/>
  <c r="E178" i="2"/>
  <c r="F178" i="2"/>
  <c r="G178" i="2"/>
  <c r="H178" i="2"/>
  <c r="I178" i="2"/>
  <c r="J178" i="2"/>
  <c r="K178" i="2"/>
  <c r="L178" i="2"/>
  <c r="M178" i="2"/>
  <c r="N178" i="2"/>
  <c r="O178" i="2"/>
  <c r="E179" i="2"/>
  <c r="F179" i="2"/>
  <c r="G179" i="2"/>
  <c r="H179" i="2"/>
  <c r="I179" i="2"/>
  <c r="J179" i="2"/>
  <c r="K179" i="2"/>
  <c r="L179" i="2"/>
  <c r="M179" i="2"/>
  <c r="N179" i="2"/>
  <c r="O179" i="2"/>
  <c r="E180" i="2"/>
  <c r="F180" i="2"/>
  <c r="G180" i="2"/>
  <c r="H180" i="2"/>
  <c r="I180" i="2"/>
  <c r="J180" i="2"/>
  <c r="K180" i="2"/>
  <c r="L180" i="2"/>
  <c r="M180" i="2"/>
  <c r="N180" i="2"/>
  <c r="O180" i="2"/>
  <c r="E181" i="2"/>
  <c r="F181" i="2"/>
  <c r="G181" i="2"/>
  <c r="H181" i="2"/>
  <c r="I181" i="2"/>
  <c r="J181" i="2"/>
  <c r="K181" i="2"/>
  <c r="L181" i="2"/>
  <c r="M181" i="2"/>
  <c r="N181" i="2"/>
  <c r="O181" i="2"/>
  <c r="E182" i="2"/>
  <c r="F182" i="2"/>
  <c r="G182" i="2"/>
  <c r="H182" i="2"/>
  <c r="I182" i="2"/>
  <c r="J182" i="2"/>
  <c r="K182" i="2"/>
  <c r="L182" i="2"/>
  <c r="M182" i="2"/>
  <c r="N182" i="2"/>
  <c r="O182" i="2"/>
  <c r="E183" i="2"/>
  <c r="F183" i="2"/>
  <c r="G183" i="2"/>
  <c r="H183" i="2"/>
  <c r="I183" i="2"/>
  <c r="J183" i="2"/>
  <c r="K183" i="2"/>
  <c r="L183" i="2"/>
  <c r="M183" i="2"/>
  <c r="N183" i="2"/>
  <c r="O183" i="2"/>
  <c r="E184" i="2"/>
  <c r="F184" i="2"/>
  <c r="G184" i="2"/>
  <c r="H184" i="2"/>
  <c r="I184" i="2"/>
  <c r="J184" i="2"/>
  <c r="K184" i="2"/>
  <c r="L184" i="2"/>
  <c r="M184" i="2"/>
  <c r="N184" i="2"/>
  <c r="O184" i="2"/>
  <c r="E185" i="2"/>
  <c r="F185" i="2"/>
  <c r="G185" i="2"/>
  <c r="H185" i="2"/>
  <c r="I185" i="2"/>
  <c r="J185" i="2"/>
  <c r="K185" i="2"/>
  <c r="L185" i="2"/>
  <c r="M185" i="2"/>
  <c r="N185" i="2"/>
  <c r="O185" i="2"/>
  <c r="E186" i="2"/>
  <c r="F186" i="2"/>
  <c r="G186" i="2"/>
  <c r="H186" i="2"/>
  <c r="I186" i="2"/>
  <c r="J186" i="2"/>
  <c r="K186" i="2"/>
  <c r="L186" i="2"/>
  <c r="M186" i="2"/>
  <c r="N186" i="2"/>
  <c r="O186" i="2"/>
  <c r="E187" i="2"/>
  <c r="F187" i="2"/>
  <c r="G187" i="2"/>
  <c r="H187" i="2"/>
  <c r="I187" i="2"/>
  <c r="J187" i="2"/>
  <c r="K187" i="2"/>
  <c r="L187" i="2"/>
  <c r="M187" i="2"/>
  <c r="N187" i="2"/>
  <c r="O187" i="2"/>
  <c r="E188" i="2"/>
  <c r="F188" i="2"/>
  <c r="G188" i="2"/>
  <c r="H188" i="2"/>
  <c r="I188" i="2"/>
  <c r="J188" i="2"/>
  <c r="K188" i="2"/>
  <c r="L188" i="2"/>
  <c r="M188" i="2"/>
  <c r="N188" i="2"/>
  <c r="O188" i="2"/>
  <c r="E189" i="2"/>
  <c r="F189" i="2"/>
  <c r="G189" i="2"/>
  <c r="H189" i="2"/>
  <c r="I189" i="2"/>
  <c r="J189" i="2"/>
  <c r="K189" i="2"/>
  <c r="L189" i="2"/>
  <c r="M189" i="2"/>
  <c r="N189" i="2"/>
  <c r="O189" i="2"/>
  <c r="E190" i="2"/>
  <c r="F190" i="2"/>
  <c r="G190" i="2"/>
  <c r="H190" i="2"/>
  <c r="I190" i="2"/>
  <c r="J190" i="2"/>
  <c r="K190" i="2"/>
  <c r="L190" i="2"/>
  <c r="M190" i="2"/>
  <c r="N190" i="2"/>
  <c r="O190" i="2"/>
  <c r="E191" i="2"/>
  <c r="F191" i="2"/>
  <c r="G191" i="2"/>
  <c r="H191" i="2"/>
  <c r="I191" i="2"/>
  <c r="J191" i="2"/>
  <c r="K191" i="2"/>
  <c r="L191" i="2"/>
  <c r="M191" i="2"/>
  <c r="N191" i="2"/>
  <c r="O191" i="2"/>
  <c r="E192" i="2"/>
  <c r="F192" i="2"/>
  <c r="G192" i="2"/>
  <c r="H192" i="2"/>
  <c r="I192" i="2"/>
  <c r="J192" i="2"/>
  <c r="K192" i="2"/>
  <c r="L192" i="2"/>
  <c r="M192" i="2"/>
  <c r="N192" i="2"/>
  <c r="O192" i="2"/>
  <c r="E193" i="2"/>
  <c r="F193" i="2"/>
  <c r="G193" i="2"/>
  <c r="H193" i="2"/>
  <c r="I193" i="2"/>
  <c r="J193" i="2"/>
  <c r="K193" i="2"/>
  <c r="L193" i="2"/>
  <c r="M193" i="2"/>
  <c r="N193" i="2"/>
  <c r="O193" i="2"/>
  <c r="E194" i="2"/>
  <c r="F194" i="2"/>
  <c r="G194" i="2"/>
  <c r="H194" i="2"/>
  <c r="I194" i="2"/>
  <c r="J194" i="2"/>
  <c r="K194" i="2"/>
  <c r="L194" i="2"/>
  <c r="M194" i="2"/>
  <c r="N194" i="2"/>
  <c r="O194" i="2"/>
  <c r="E195" i="2"/>
  <c r="F195" i="2"/>
  <c r="G195" i="2"/>
  <c r="H195" i="2"/>
  <c r="I195" i="2"/>
  <c r="J195" i="2"/>
  <c r="K195" i="2"/>
  <c r="L195" i="2"/>
  <c r="M195" i="2"/>
  <c r="N195" i="2"/>
  <c r="O195" i="2"/>
  <c r="E196" i="2"/>
  <c r="F196" i="2"/>
  <c r="G196" i="2"/>
  <c r="H196" i="2"/>
  <c r="I196" i="2"/>
  <c r="J196" i="2"/>
  <c r="K196" i="2"/>
  <c r="L196" i="2"/>
  <c r="M196" i="2"/>
  <c r="N196" i="2"/>
  <c r="O196" i="2"/>
  <c r="E197" i="2"/>
  <c r="F197" i="2"/>
  <c r="G197" i="2"/>
  <c r="H197" i="2"/>
  <c r="I197" i="2"/>
  <c r="J197" i="2"/>
  <c r="K197" i="2"/>
  <c r="L197" i="2"/>
  <c r="M197" i="2"/>
  <c r="N197" i="2"/>
  <c r="O197" i="2"/>
  <c r="E198" i="2"/>
  <c r="F198" i="2"/>
  <c r="G198" i="2"/>
  <c r="H198" i="2"/>
  <c r="I198" i="2"/>
  <c r="J198" i="2"/>
  <c r="K198" i="2"/>
  <c r="L198" i="2"/>
  <c r="M198" i="2"/>
  <c r="N198" i="2"/>
  <c r="O198" i="2"/>
  <c r="E199" i="2"/>
  <c r="F199" i="2"/>
  <c r="G199" i="2"/>
  <c r="H199" i="2"/>
  <c r="I199" i="2"/>
  <c r="J199" i="2"/>
  <c r="K199" i="2"/>
  <c r="L199" i="2"/>
  <c r="M199" i="2"/>
  <c r="N199" i="2"/>
  <c r="O199" i="2"/>
  <c r="E200" i="2"/>
  <c r="F200" i="2"/>
  <c r="G200" i="2"/>
  <c r="H200" i="2"/>
  <c r="I200" i="2"/>
  <c r="J200" i="2"/>
  <c r="K200" i="2"/>
  <c r="L200" i="2"/>
  <c r="M200" i="2"/>
  <c r="N200" i="2"/>
  <c r="O200" i="2"/>
  <c r="E201" i="2"/>
  <c r="F201" i="2"/>
  <c r="G201" i="2"/>
  <c r="H201" i="2"/>
  <c r="I201" i="2"/>
  <c r="J201" i="2"/>
  <c r="K201" i="2"/>
  <c r="L201" i="2"/>
  <c r="M201" i="2"/>
  <c r="N201" i="2"/>
  <c r="O201" i="2"/>
  <c r="E202" i="2"/>
  <c r="F202" i="2"/>
  <c r="G202" i="2"/>
  <c r="H202" i="2"/>
  <c r="I202" i="2"/>
  <c r="J202" i="2"/>
  <c r="K202" i="2"/>
  <c r="L202" i="2"/>
  <c r="M202" i="2"/>
  <c r="N202" i="2"/>
  <c r="O202" i="2"/>
  <c r="E203" i="2"/>
  <c r="F203" i="2"/>
  <c r="G203" i="2"/>
  <c r="H203" i="2"/>
  <c r="I203" i="2"/>
  <c r="J203" i="2"/>
  <c r="K203" i="2"/>
  <c r="L203" i="2"/>
  <c r="M203" i="2"/>
  <c r="N203" i="2"/>
  <c r="O203" i="2"/>
  <c r="E204" i="2"/>
  <c r="F204" i="2"/>
  <c r="G204" i="2"/>
  <c r="H204" i="2"/>
  <c r="I204" i="2"/>
  <c r="J204" i="2"/>
  <c r="K204" i="2"/>
  <c r="L204" i="2"/>
  <c r="M204" i="2"/>
  <c r="N204" i="2"/>
  <c r="O204" i="2"/>
  <c r="E205" i="2"/>
  <c r="F205" i="2"/>
  <c r="G205" i="2"/>
  <c r="H205" i="2"/>
  <c r="I205" i="2"/>
  <c r="J205" i="2"/>
  <c r="K205" i="2"/>
  <c r="L205" i="2"/>
  <c r="M205" i="2"/>
  <c r="N205" i="2"/>
  <c r="O205" i="2"/>
  <c r="E206" i="2"/>
  <c r="F206" i="2"/>
  <c r="G206" i="2"/>
  <c r="H206" i="2"/>
  <c r="I206" i="2"/>
  <c r="J206" i="2"/>
  <c r="K206" i="2"/>
  <c r="L206" i="2"/>
  <c r="M206" i="2"/>
  <c r="N206" i="2"/>
  <c r="O206" i="2"/>
  <c r="E207" i="2"/>
  <c r="F207" i="2"/>
  <c r="G207" i="2"/>
  <c r="H207" i="2"/>
  <c r="I207" i="2"/>
  <c r="J207" i="2"/>
  <c r="K207" i="2"/>
  <c r="L207" i="2"/>
  <c r="M207" i="2"/>
  <c r="N207" i="2"/>
  <c r="O207" i="2"/>
  <c r="E208" i="2"/>
  <c r="F208" i="2"/>
  <c r="G208" i="2"/>
  <c r="H208" i="2"/>
  <c r="I208" i="2"/>
  <c r="J208" i="2"/>
  <c r="K208" i="2"/>
  <c r="L208" i="2"/>
  <c r="M208" i="2"/>
  <c r="N208" i="2"/>
  <c r="O208" i="2"/>
  <c r="E209" i="2"/>
  <c r="F209" i="2"/>
  <c r="G209" i="2"/>
  <c r="H209" i="2"/>
  <c r="I209" i="2"/>
  <c r="J209" i="2"/>
  <c r="K209" i="2"/>
  <c r="L209" i="2"/>
  <c r="M209" i="2"/>
  <c r="N209" i="2"/>
  <c r="O209" i="2"/>
  <c r="E210" i="2"/>
  <c r="F210" i="2"/>
  <c r="G210" i="2"/>
  <c r="H210" i="2"/>
  <c r="I210" i="2"/>
  <c r="J210" i="2"/>
  <c r="K210" i="2"/>
  <c r="L210" i="2"/>
  <c r="M210" i="2"/>
  <c r="N210" i="2"/>
  <c r="O210" i="2"/>
  <c r="E211" i="2"/>
  <c r="F211" i="2"/>
  <c r="G211" i="2"/>
  <c r="H211" i="2"/>
  <c r="I211" i="2"/>
  <c r="J211" i="2"/>
  <c r="K211" i="2"/>
  <c r="L211" i="2"/>
  <c r="M211" i="2"/>
  <c r="N211" i="2"/>
  <c r="O211" i="2"/>
  <c r="E212" i="2"/>
  <c r="F212" i="2"/>
  <c r="G212" i="2"/>
  <c r="H212" i="2"/>
  <c r="I212" i="2"/>
  <c r="J212" i="2"/>
  <c r="K212" i="2"/>
  <c r="L212" i="2"/>
  <c r="M212" i="2"/>
  <c r="N212" i="2"/>
  <c r="O212" i="2"/>
  <c r="E213" i="2"/>
  <c r="F213" i="2"/>
  <c r="G213" i="2"/>
  <c r="H213" i="2"/>
  <c r="I213" i="2"/>
  <c r="J213" i="2"/>
  <c r="K213" i="2"/>
  <c r="L213" i="2"/>
  <c r="M213" i="2"/>
  <c r="N213" i="2"/>
  <c r="O213" i="2"/>
  <c r="E214" i="2"/>
  <c r="F214" i="2"/>
  <c r="G214" i="2"/>
  <c r="H214" i="2"/>
  <c r="I214" i="2"/>
  <c r="J214" i="2"/>
  <c r="K214" i="2"/>
  <c r="L214" i="2"/>
  <c r="M214" i="2"/>
  <c r="N214" i="2"/>
  <c r="O214" i="2"/>
  <c r="E215" i="2"/>
  <c r="F215" i="2"/>
  <c r="G215" i="2"/>
  <c r="H215" i="2"/>
  <c r="I215" i="2"/>
  <c r="J215" i="2"/>
  <c r="K215" i="2"/>
  <c r="L215" i="2"/>
  <c r="M215" i="2"/>
  <c r="N215" i="2"/>
  <c r="O215" i="2"/>
  <c r="E216" i="2"/>
  <c r="F216" i="2"/>
  <c r="G216" i="2"/>
  <c r="H216" i="2"/>
  <c r="I216" i="2"/>
  <c r="J216" i="2"/>
  <c r="K216" i="2"/>
  <c r="L216" i="2"/>
  <c r="M216" i="2"/>
  <c r="N216" i="2"/>
  <c r="O216" i="2"/>
  <c r="E217" i="2"/>
  <c r="F217" i="2"/>
  <c r="G217" i="2"/>
  <c r="H217" i="2"/>
  <c r="I217" i="2"/>
  <c r="J217" i="2"/>
  <c r="K217" i="2"/>
  <c r="L217" i="2"/>
  <c r="M217" i="2"/>
  <c r="N217" i="2"/>
  <c r="O217" i="2"/>
  <c r="E218" i="2"/>
  <c r="F218" i="2"/>
  <c r="G218" i="2"/>
  <c r="H218" i="2"/>
  <c r="I218" i="2"/>
  <c r="J218" i="2"/>
  <c r="K218" i="2"/>
  <c r="L218" i="2"/>
  <c r="M218" i="2"/>
  <c r="N218" i="2"/>
  <c r="O218" i="2"/>
  <c r="E219" i="2"/>
  <c r="F219" i="2"/>
  <c r="G219" i="2"/>
  <c r="H219" i="2"/>
  <c r="I219" i="2"/>
  <c r="J219" i="2"/>
  <c r="K219" i="2"/>
  <c r="L219" i="2"/>
  <c r="M219" i="2"/>
  <c r="N219" i="2"/>
  <c r="O219" i="2"/>
  <c r="E220" i="2"/>
  <c r="F220" i="2"/>
  <c r="G220" i="2"/>
  <c r="H220" i="2"/>
  <c r="I220" i="2"/>
  <c r="J220" i="2"/>
  <c r="K220" i="2"/>
  <c r="L220" i="2"/>
  <c r="M220" i="2"/>
  <c r="N220" i="2"/>
  <c r="O220" i="2"/>
  <c r="E221" i="2"/>
  <c r="F221" i="2"/>
  <c r="G221" i="2"/>
  <c r="H221" i="2"/>
  <c r="I221" i="2"/>
  <c r="J221" i="2"/>
  <c r="K221" i="2"/>
  <c r="L221" i="2"/>
  <c r="M221" i="2"/>
  <c r="N221" i="2"/>
  <c r="O221" i="2"/>
  <c r="E222" i="2"/>
  <c r="F222" i="2"/>
  <c r="G222" i="2"/>
  <c r="H222" i="2"/>
  <c r="I222" i="2"/>
  <c r="J222" i="2"/>
  <c r="K222" i="2"/>
  <c r="L222" i="2"/>
  <c r="M222" i="2"/>
  <c r="N222" i="2"/>
  <c r="O222" i="2"/>
  <c r="E223" i="2"/>
  <c r="F223" i="2"/>
  <c r="G223" i="2"/>
  <c r="H223" i="2"/>
  <c r="I223" i="2"/>
  <c r="J223" i="2"/>
  <c r="K223" i="2"/>
  <c r="L223" i="2"/>
  <c r="M223" i="2"/>
  <c r="N223" i="2"/>
  <c r="O223" i="2"/>
  <c r="E224" i="2"/>
  <c r="F224" i="2"/>
  <c r="G224" i="2"/>
  <c r="H224" i="2"/>
  <c r="I224" i="2"/>
  <c r="J224" i="2"/>
  <c r="K224" i="2"/>
  <c r="L224" i="2"/>
  <c r="M224" i="2"/>
  <c r="N224" i="2"/>
  <c r="O224" i="2"/>
  <c r="E225" i="2"/>
  <c r="F225" i="2"/>
  <c r="G225" i="2"/>
  <c r="H225" i="2"/>
  <c r="I225" i="2"/>
  <c r="J225" i="2"/>
  <c r="K225" i="2"/>
  <c r="L225" i="2"/>
  <c r="M225" i="2"/>
  <c r="N225" i="2"/>
  <c r="O225" i="2"/>
  <c r="E226" i="2"/>
  <c r="F226" i="2"/>
  <c r="G226" i="2"/>
  <c r="H226" i="2"/>
  <c r="I226" i="2"/>
  <c r="J226" i="2"/>
  <c r="K226" i="2"/>
  <c r="L226" i="2"/>
  <c r="M226" i="2"/>
  <c r="N226" i="2"/>
  <c r="O226" i="2"/>
  <c r="E227" i="2"/>
  <c r="F227" i="2"/>
  <c r="G227" i="2"/>
  <c r="H227" i="2"/>
  <c r="I227" i="2"/>
  <c r="J227" i="2"/>
  <c r="K227" i="2"/>
  <c r="L227" i="2"/>
  <c r="M227" i="2"/>
  <c r="N227" i="2"/>
  <c r="O227" i="2"/>
  <c r="E228" i="2"/>
  <c r="F228" i="2"/>
  <c r="G228" i="2"/>
  <c r="H228" i="2"/>
  <c r="I228" i="2"/>
  <c r="J228" i="2"/>
  <c r="K228" i="2"/>
  <c r="L228" i="2"/>
  <c r="M228" i="2"/>
  <c r="N228" i="2"/>
  <c r="O228" i="2"/>
  <c r="E229" i="2"/>
  <c r="F229" i="2"/>
  <c r="G229" i="2"/>
  <c r="H229" i="2"/>
  <c r="I229" i="2"/>
  <c r="J229" i="2"/>
  <c r="K229" i="2"/>
  <c r="L229" i="2"/>
  <c r="M229" i="2"/>
  <c r="N229" i="2"/>
  <c r="O229" i="2"/>
  <c r="E230" i="2"/>
  <c r="F230" i="2"/>
  <c r="G230" i="2"/>
  <c r="H230" i="2"/>
  <c r="I230" i="2"/>
  <c r="J230" i="2"/>
  <c r="K230" i="2"/>
  <c r="L230" i="2"/>
  <c r="M230" i="2"/>
  <c r="N230" i="2"/>
  <c r="O230" i="2"/>
  <c r="E231" i="2"/>
  <c r="F231" i="2"/>
  <c r="G231" i="2"/>
  <c r="H231" i="2"/>
  <c r="I231" i="2"/>
  <c r="J231" i="2"/>
  <c r="K231" i="2"/>
  <c r="L231" i="2"/>
  <c r="M231" i="2"/>
  <c r="N231" i="2"/>
  <c r="O231" i="2"/>
  <c r="E232" i="2"/>
  <c r="F232" i="2"/>
  <c r="G232" i="2"/>
  <c r="H232" i="2"/>
  <c r="I232" i="2"/>
  <c r="J232" i="2"/>
  <c r="K232" i="2"/>
  <c r="L232" i="2"/>
  <c r="M232" i="2"/>
  <c r="N232" i="2"/>
  <c r="O232" i="2"/>
  <c r="E233" i="2"/>
  <c r="F233" i="2"/>
  <c r="G233" i="2"/>
  <c r="H233" i="2"/>
  <c r="I233" i="2"/>
  <c r="J233" i="2"/>
  <c r="K233" i="2"/>
  <c r="L233" i="2"/>
  <c r="M233" i="2"/>
  <c r="N233" i="2"/>
  <c r="O233" i="2"/>
  <c r="E234" i="2"/>
  <c r="F234" i="2"/>
  <c r="G234" i="2"/>
  <c r="H234" i="2"/>
  <c r="I234" i="2"/>
  <c r="J234" i="2"/>
  <c r="K234" i="2"/>
  <c r="L234" i="2"/>
  <c r="M234" i="2"/>
  <c r="N234" i="2"/>
  <c r="O234" i="2"/>
  <c r="E235" i="2"/>
  <c r="F235" i="2"/>
  <c r="G235" i="2"/>
  <c r="H235" i="2"/>
  <c r="I235" i="2"/>
  <c r="J235" i="2"/>
  <c r="K235" i="2"/>
  <c r="L235" i="2"/>
  <c r="M235" i="2"/>
  <c r="N235" i="2"/>
  <c r="O235" i="2"/>
  <c r="E236" i="2"/>
  <c r="F236" i="2"/>
  <c r="G236" i="2"/>
  <c r="H236" i="2"/>
  <c r="I236" i="2"/>
  <c r="J236" i="2"/>
  <c r="K236" i="2"/>
  <c r="L236" i="2"/>
  <c r="M236" i="2"/>
  <c r="N236" i="2"/>
  <c r="O236" i="2"/>
  <c r="E237" i="2"/>
  <c r="F237" i="2"/>
  <c r="G237" i="2"/>
  <c r="H237" i="2"/>
  <c r="I237" i="2"/>
  <c r="J237" i="2"/>
  <c r="K237" i="2"/>
  <c r="L237" i="2"/>
  <c r="M237" i="2"/>
  <c r="N237" i="2"/>
  <c r="O237" i="2"/>
  <c r="E238" i="2"/>
  <c r="F238" i="2"/>
  <c r="G238" i="2"/>
  <c r="H238" i="2"/>
  <c r="I238" i="2"/>
  <c r="J238" i="2"/>
  <c r="K238" i="2"/>
  <c r="L238" i="2"/>
  <c r="M238" i="2"/>
  <c r="N238" i="2"/>
  <c r="O238" i="2"/>
  <c r="E239" i="2"/>
  <c r="F239" i="2"/>
  <c r="G239" i="2"/>
  <c r="H239" i="2"/>
  <c r="I239" i="2"/>
  <c r="J239" i="2"/>
  <c r="K239" i="2"/>
  <c r="L239" i="2"/>
  <c r="M239" i="2"/>
  <c r="N239" i="2"/>
  <c r="O239" i="2"/>
  <c r="E240" i="2"/>
  <c r="F240" i="2"/>
  <c r="G240" i="2"/>
  <c r="H240" i="2"/>
  <c r="I240" i="2"/>
  <c r="J240" i="2"/>
  <c r="K240" i="2"/>
  <c r="L240" i="2"/>
  <c r="M240" i="2"/>
  <c r="N240" i="2"/>
  <c r="O240" i="2"/>
  <c r="E241" i="2"/>
  <c r="F241" i="2"/>
  <c r="G241" i="2"/>
  <c r="H241" i="2"/>
  <c r="I241" i="2"/>
  <c r="J241" i="2"/>
  <c r="K241" i="2"/>
  <c r="L241" i="2"/>
  <c r="M241" i="2"/>
  <c r="N241" i="2"/>
  <c r="O241" i="2"/>
  <c r="E242" i="2"/>
  <c r="F242" i="2"/>
  <c r="G242" i="2"/>
  <c r="H242" i="2"/>
  <c r="I242" i="2"/>
  <c r="J242" i="2"/>
  <c r="K242" i="2"/>
  <c r="L242" i="2"/>
  <c r="M242" i="2"/>
  <c r="N242" i="2"/>
  <c r="O242" i="2"/>
  <c r="E243" i="2"/>
  <c r="F243" i="2"/>
  <c r="G243" i="2"/>
  <c r="H243" i="2"/>
  <c r="I243" i="2"/>
  <c r="J243" i="2"/>
  <c r="K243" i="2"/>
  <c r="L243" i="2"/>
  <c r="M243" i="2"/>
  <c r="N243" i="2"/>
  <c r="O243" i="2"/>
  <c r="E244" i="2"/>
  <c r="F244" i="2"/>
  <c r="G244" i="2"/>
  <c r="H244" i="2"/>
  <c r="I244" i="2"/>
  <c r="J244" i="2"/>
  <c r="K244" i="2"/>
  <c r="L244" i="2"/>
  <c r="M244" i="2"/>
  <c r="N244" i="2"/>
  <c r="O244" i="2"/>
  <c r="E245" i="2"/>
  <c r="F245" i="2"/>
  <c r="G245" i="2"/>
  <c r="H245" i="2"/>
  <c r="I245" i="2"/>
  <c r="J245" i="2"/>
  <c r="K245" i="2"/>
  <c r="L245" i="2"/>
  <c r="M245" i="2"/>
  <c r="N245" i="2"/>
  <c r="O245" i="2"/>
  <c r="E246" i="2"/>
  <c r="F246" i="2"/>
  <c r="G246" i="2"/>
  <c r="H246" i="2"/>
  <c r="I246" i="2"/>
  <c r="J246" i="2"/>
  <c r="K246" i="2"/>
  <c r="L246" i="2"/>
  <c r="M246" i="2"/>
  <c r="N246" i="2"/>
  <c r="O246" i="2"/>
  <c r="E247" i="2"/>
  <c r="F247" i="2"/>
  <c r="G247" i="2"/>
  <c r="H247" i="2"/>
  <c r="I247" i="2"/>
  <c r="J247" i="2"/>
  <c r="K247" i="2"/>
  <c r="L247" i="2"/>
  <c r="M247" i="2"/>
  <c r="N247" i="2"/>
  <c r="O247" i="2"/>
  <c r="E248" i="2"/>
  <c r="F248" i="2"/>
  <c r="G248" i="2"/>
  <c r="H248" i="2"/>
  <c r="I248" i="2"/>
  <c r="J248" i="2"/>
  <c r="K248" i="2"/>
  <c r="L248" i="2"/>
  <c r="M248" i="2"/>
  <c r="N248" i="2"/>
  <c r="O248" i="2"/>
  <c r="E249" i="2"/>
  <c r="F249" i="2"/>
  <c r="G249" i="2"/>
  <c r="H249" i="2"/>
  <c r="I249" i="2"/>
  <c r="J249" i="2"/>
  <c r="K249" i="2"/>
  <c r="L249" i="2"/>
  <c r="M249" i="2"/>
  <c r="N249" i="2"/>
  <c r="O249" i="2"/>
  <c r="E250" i="2"/>
  <c r="F250" i="2"/>
  <c r="G250" i="2"/>
  <c r="H250" i="2"/>
  <c r="I250" i="2"/>
  <c r="J250" i="2"/>
  <c r="K250" i="2"/>
  <c r="L250" i="2"/>
  <c r="M250" i="2"/>
  <c r="N250" i="2"/>
  <c r="O250" i="2"/>
  <c r="E251" i="2"/>
  <c r="F251" i="2"/>
  <c r="G251" i="2"/>
  <c r="H251" i="2"/>
  <c r="I251" i="2"/>
  <c r="J251" i="2"/>
  <c r="K251" i="2"/>
  <c r="L251" i="2"/>
  <c r="M251" i="2"/>
  <c r="N251" i="2"/>
  <c r="O251" i="2"/>
  <c r="E252" i="2"/>
  <c r="F252" i="2"/>
  <c r="G252" i="2"/>
  <c r="H252" i="2"/>
  <c r="I252" i="2"/>
  <c r="J252" i="2"/>
  <c r="K252" i="2"/>
  <c r="L252" i="2"/>
  <c r="M252" i="2"/>
  <c r="N252" i="2"/>
  <c r="O252" i="2"/>
  <c r="E253" i="2"/>
  <c r="F253" i="2"/>
  <c r="G253" i="2"/>
  <c r="H253" i="2"/>
  <c r="I253" i="2"/>
  <c r="J253" i="2"/>
  <c r="K253" i="2"/>
  <c r="L253" i="2"/>
  <c r="M253" i="2"/>
  <c r="N253" i="2"/>
  <c r="O253" i="2"/>
  <c r="E254" i="2"/>
  <c r="F254" i="2"/>
  <c r="G254" i="2"/>
  <c r="H254" i="2"/>
  <c r="I254" i="2"/>
  <c r="J254" i="2"/>
  <c r="K254" i="2"/>
  <c r="L254" i="2"/>
  <c r="M254" i="2"/>
  <c r="N254" i="2"/>
  <c r="O254" i="2"/>
  <c r="E255" i="2"/>
  <c r="F255" i="2"/>
  <c r="G255" i="2"/>
  <c r="H255" i="2"/>
  <c r="I255" i="2"/>
  <c r="J255" i="2"/>
  <c r="K255" i="2"/>
  <c r="L255" i="2"/>
  <c r="M255" i="2"/>
  <c r="N255" i="2"/>
  <c r="O255" i="2"/>
  <c r="E256" i="2"/>
  <c r="F256" i="2"/>
  <c r="G256" i="2"/>
  <c r="H256" i="2"/>
  <c r="I256" i="2"/>
  <c r="J256" i="2"/>
  <c r="K256" i="2"/>
  <c r="L256" i="2"/>
  <c r="M256" i="2"/>
  <c r="N256" i="2"/>
  <c r="O256" i="2"/>
  <c r="E257" i="2"/>
  <c r="F257" i="2"/>
  <c r="G257" i="2"/>
  <c r="H257" i="2"/>
  <c r="I257" i="2"/>
  <c r="J257" i="2"/>
  <c r="K257" i="2"/>
  <c r="L257" i="2"/>
  <c r="M257" i="2"/>
  <c r="N257" i="2"/>
  <c r="O257" i="2"/>
  <c r="E258" i="2"/>
  <c r="F258" i="2"/>
  <c r="G258" i="2"/>
  <c r="H258" i="2"/>
  <c r="I258" i="2"/>
  <c r="J258" i="2"/>
  <c r="K258" i="2"/>
  <c r="L258" i="2"/>
  <c r="M258" i="2"/>
  <c r="N258" i="2"/>
  <c r="O258" i="2"/>
  <c r="E259" i="2"/>
  <c r="F259" i="2"/>
  <c r="G259" i="2"/>
  <c r="H259" i="2"/>
  <c r="I259" i="2"/>
  <c r="J259" i="2"/>
  <c r="K259" i="2"/>
  <c r="L259" i="2"/>
  <c r="M259" i="2"/>
  <c r="N259" i="2"/>
  <c r="O259" i="2"/>
  <c r="E260" i="2"/>
  <c r="F260" i="2"/>
  <c r="G260" i="2"/>
  <c r="H260" i="2"/>
  <c r="I260" i="2"/>
  <c r="J260" i="2"/>
  <c r="K260" i="2"/>
  <c r="L260" i="2"/>
  <c r="M260" i="2"/>
  <c r="N260" i="2"/>
  <c r="O260" i="2"/>
  <c r="E261" i="2"/>
  <c r="F261" i="2"/>
  <c r="G261" i="2"/>
  <c r="H261" i="2"/>
  <c r="I261" i="2"/>
  <c r="J261" i="2"/>
  <c r="K261" i="2"/>
  <c r="L261" i="2"/>
  <c r="M261" i="2"/>
  <c r="N261" i="2"/>
  <c r="O261" i="2"/>
  <c r="E262" i="2"/>
  <c r="F262" i="2"/>
  <c r="G262" i="2"/>
  <c r="H262" i="2"/>
  <c r="I262" i="2"/>
  <c r="J262" i="2"/>
  <c r="K262" i="2"/>
  <c r="L262" i="2"/>
  <c r="M262" i="2"/>
  <c r="N262" i="2"/>
  <c r="O262" i="2"/>
  <c r="E263" i="2"/>
  <c r="F263" i="2"/>
  <c r="G263" i="2"/>
  <c r="H263" i="2"/>
  <c r="I263" i="2"/>
  <c r="J263" i="2"/>
  <c r="K263" i="2"/>
  <c r="L263" i="2"/>
  <c r="M263" i="2"/>
  <c r="N263" i="2"/>
  <c r="O263" i="2"/>
  <c r="E264" i="2"/>
  <c r="F264" i="2"/>
  <c r="G264" i="2"/>
  <c r="H264" i="2"/>
  <c r="I264" i="2"/>
  <c r="J264" i="2"/>
  <c r="K264" i="2"/>
  <c r="L264" i="2"/>
  <c r="M264" i="2"/>
  <c r="N264" i="2"/>
  <c r="O264" i="2"/>
  <c r="E265" i="2"/>
  <c r="F265" i="2"/>
  <c r="G265" i="2"/>
  <c r="H265" i="2"/>
  <c r="I265" i="2"/>
  <c r="J265" i="2"/>
  <c r="K265" i="2"/>
  <c r="L265" i="2"/>
  <c r="M265" i="2"/>
  <c r="N265" i="2"/>
  <c r="O265" i="2"/>
  <c r="E266" i="2"/>
  <c r="F266" i="2"/>
  <c r="G266" i="2"/>
  <c r="H266" i="2"/>
  <c r="I266" i="2"/>
  <c r="J266" i="2"/>
  <c r="K266" i="2"/>
  <c r="L266" i="2"/>
  <c r="M266" i="2"/>
  <c r="N266" i="2"/>
  <c r="O266" i="2"/>
  <c r="E267" i="2"/>
  <c r="F267" i="2"/>
  <c r="G267" i="2"/>
  <c r="H267" i="2"/>
  <c r="I267" i="2"/>
  <c r="J267" i="2"/>
  <c r="K267" i="2"/>
  <c r="L267" i="2"/>
  <c r="M267" i="2"/>
  <c r="N267" i="2"/>
  <c r="O267" i="2"/>
  <c r="E268" i="2"/>
  <c r="F268" i="2"/>
  <c r="G268" i="2"/>
  <c r="H268" i="2"/>
  <c r="I268" i="2"/>
  <c r="J268" i="2"/>
  <c r="K268" i="2"/>
  <c r="L268" i="2"/>
  <c r="M268" i="2"/>
  <c r="N268" i="2"/>
  <c r="O268" i="2"/>
  <c r="E269" i="2"/>
  <c r="F269" i="2"/>
  <c r="G269" i="2"/>
  <c r="H269" i="2"/>
  <c r="I269" i="2"/>
  <c r="J269" i="2"/>
  <c r="K269" i="2"/>
  <c r="L269" i="2"/>
  <c r="M269" i="2"/>
  <c r="N269" i="2"/>
  <c r="O269" i="2"/>
  <c r="E270" i="2"/>
  <c r="F270" i="2"/>
  <c r="G270" i="2"/>
  <c r="H270" i="2"/>
  <c r="I270" i="2"/>
  <c r="J270" i="2"/>
  <c r="K270" i="2"/>
  <c r="L270" i="2"/>
  <c r="M270" i="2"/>
  <c r="N270" i="2"/>
  <c r="O270" i="2"/>
  <c r="E271" i="2"/>
  <c r="F271" i="2"/>
  <c r="G271" i="2"/>
  <c r="H271" i="2"/>
  <c r="I271" i="2"/>
  <c r="J271" i="2"/>
  <c r="K271" i="2"/>
  <c r="L271" i="2"/>
  <c r="M271" i="2"/>
  <c r="N271" i="2"/>
  <c r="O271" i="2"/>
  <c r="E272" i="2"/>
  <c r="F272" i="2"/>
  <c r="G272" i="2"/>
  <c r="H272" i="2"/>
  <c r="I272" i="2"/>
  <c r="J272" i="2"/>
  <c r="K272" i="2"/>
  <c r="L272" i="2"/>
  <c r="M272" i="2"/>
  <c r="N272" i="2"/>
  <c r="O272" i="2"/>
  <c r="E273" i="2"/>
  <c r="F273" i="2"/>
  <c r="G273" i="2"/>
  <c r="H273" i="2"/>
  <c r="I273" i="2"/>
  <c r="J273" i="2"/>
  <c r="K273" i="2"/>
  <c r="L273" i="2"/>
  <c r="M273" i="2"/>
  <c r="N273" i="2"/>
  <c r="O273" i="2"/>
  <c r="E274" i="2"/>
  <c r="F274" i="2"/>
  <c r="G274" i="2"/>
  <c r="H274" i="2"/>
  <c r="I274" i="2"/>
  <c r="J274" i="2"/>
  <c r="K274" i="2"/>
  <c r="L274" i="2"/>
  <c r="M274" i="2"/>
  <c r="N274" i="2"/>
  <c r="O274" i="2"/>
  <c r="E275" i="2"/>
  <c r="F275" i="2"/>
  <c r="G275" i="2"/>
  <c r="H275" i="2"/>
  <c r="I275" i="2"/>
  <c r="J275" i="2"/>
  <c r="K275" i="2"/>
  <c r="L275" i="2"/>
  <c r="M275" i="2"/>
  <c r="N275" i="2"/>
  <c r="O275" i="2"/>
  <c r="E276" i="2"/>
  <c r="F276" i="2"/>
  <c r="G276" i="2"/>
  <c r="H276" i="2"/>
  <c r="I276" i="2"/>
  <c r="J276" i="2"/>
  <c r="K276" i="2"/>
  <c r="L276" i="2"/>
  <c r="M276" i="2"/>
  <c r="N276" i="2"/>
  <c r="O276" i="2"/>
  <c r="E277" i="2"/>
  <c r="F277" i="2"/>
  <c r="G277" i="2"/>
  <c r="H277" i="2"/>
  <c r="I277" i="2"/>
  <c r="J277" i="2"/>
  <c r="K277" i="2"/>
  <c r="L277" i="2"/>
  <c r="M277" i="2"/>
  <c r="N277" i="2"/>
  <c r="O277" i="2"/>
  <c r="E278" i="2"/>
  <c r="F278" i="2"/>
  <c r="G278" i="2"/>
  <c r="H278" i="2"/>
  <c r="I278" i="2"/>
  <c r="J278" i="2"/>
  <c r="K278" i="2"/>
  <c r="L278" i="2"/>
  <c r="M278" i="2"/>
  <c r="N278" i="2"/>
  <c r="O278" i="2"/>
  <c r="E279" i="2"/>
  <c r="F279" i="2"/>
  <c r="G279" i="2"/>
  <c r="H279" i="2"/>
  <c r="I279" i="2"/>
  <c r="J279" i="2"/>
  <c r="K279" i="2"/>
  <c r="L279" i="2"/>
  <c r="M279" i="2"/>
  <c r="N279" i="2"/>
  <c r="O279" i="2"/>
  <c r="E280" i="2"/>
  <c r="F280" i="2"/>
  <c r="G280" i="2"/>
  <c r="H280" i="2"/>
  <c r="I280" i="2"/>
  <c r="J280" i="2"/>
  <c r="K280" i="2"/>
  <c r="L280" i="2"/>
  <c r="M280" i="2"/>
  <c r="N280" i="2"/>
  <c r="O280" i="2"/>
  <c r="E281" i="2"/>
  <c r="F281" i="2"/>
  <c r="G281" i="2"/>
  <c r="H281" i="2"/>
  <c r="I281" i="2"/>
  <c r="J281" i="2"/>
  <c r="K281" i="2"/>
  <c r="L281" i="2"/>
  <c r="M281" i="2"/>
  <c r="N281" i="2"/>
  <c r="O281" i="2"/>
  <c r="E282" i="2"/>
  <c r="F282" i="2"/>
  <c r="G282" i="2"/>
  <c r="H282" i="2"/>
  <c r="I282" i="2"/>
  <c r="J282" i="2"/>
  <c r="K282" i="2"/>
  <c r="L282" i="2"/>
  <c r="M282" i="2"/>
  <c r="N282" i="2"/>
  <c r="O282" i="2"/>
  <c r="E283" i="2"/>
  <c r="F283" i="2"/>
  <c r="G283" i="2"/>
  <c r="H283" i="2"/>
  <c r="I283" i="2"/>
  <c r="J283" i="2"/>
  <c r="K283" i="2"/>
  <c r="L283" i="2"/>
  <c r="M283" i="2"/>
  <c r="N283" i="2"/>
  <c r="O283" i="2"/>
  <c r="E284" i="2"/>
  <c r="F284" i="2"/>
  <c r="G284" i="2"/>
  <c r="H284" i="2"/>
  <c r="I284" i="2"/>
  <c r="J284" i="2"/>
  <c r="K284" i="2"/>
  <c r="L284" i="2"/>
  <c r="M284" i="2"/>
  <c r="N284" i="2"/>
  <c r="O284" i="2"/>
  <c r="E285" i="2"/>
  <c r="F285" i="2"/>
  <c r="G285" i="2"/>
  <c r="H285" i="2"/>
  <c r="I285" i="2"/>
  <c r="J285" i="2"/>
  <c r="K285" i="2"/>
  <c r="L285" i="2"/>
  <c r="M285" i="2"/>
  <c r="N285" i="2"/>
  <c r="O285" i="2"/>
  <c r="E286" i="2"/>
  <c r="F286" i="2"/>
  <c r="G286" i="2"/>
  <c r="H286" i="2"/>
  <c r="I286" i="2"/>
  <c r="J286" i="2"/>
  <c r="K286" i="2"/>
  <c r="L286" i="2"/>
  <c r="M286" i="2"/>
  <c r="N286" i="2"/>
  <c r="O286" i="2"/>
  <c r="E287" i="2"/>
  <c r="F287" i="2"/>
  <c r="G287" i="2"/>
  <c r="H287" i="2"/>
  <c r="I287" i="2"/>
  <c r="J287" i="2"/>
  <c r="K287" i="2"/>
  <c r="L287" i="2"/>
  <c r="M287" i="2"/>
  <c r="N287" i="2"/>
  <c r="O287" i="2"/>
  <c r="E288" i="2"/>
  <c r="F288" i="2"/>
  <c r="G288" i="2"/>
  <c r="H288" i="2"/>
  <c r="I288" i="2"/>
  <c r="J288" i="2"/>
  <c r="K288" i="2"/>
  <c r="L288" i="2"/>
  <c r="M288" i="2"/>
  <c r="N288" i="2"/>
  <c r="O288" i="2"/>
  <c r="E289" i="2"/>
  <c r="F289" i="2"/>
  <c r="G289" i="2"/>
  <c r="H289" i="2"/>
  <c r="I289" i="2"/>
  <c r="J289" i="2"/>
  <c r="K289" i="2"/>
  <c r="L289" i="2"/>
  <c r="M289" i="2"/>
  <c r="N289" i="2"/>
  <c r="O289" i="2"/>
  <c r="E290" i="2"/>
  <c r="F290" i="2"/>
  <c r="G290" i="2"/>
  <c r="H290" i="2"/>
  <c r="I290" i="2"/>
  <c r="J290" i="2"/>
  <c r="K290" i="2"/>
  <c r="L290" i="2"/>
  <c r="M290" i="2"/>
  <c r="N290" i="2"/>
  <c r="O290" i="2"/>
  <c r="E291" i="2"/>
  <c r="F291" i="2"/>
  <c r="G291" i="2"/>
  <c r="H291" i="2"/>
  <c r="I291" i="2"/>
  <c r="J291" i="2"/>
  <c r="K291" i="2"/>
  <c r="L291" i="2"/>
  <c r="M291" i="2"/>
  <c r="N291" i="2"/>
  <c r="O291" i="2"/>
  <c r="E292" i="2"/>
  <c r="F292" i="2"/>
  <c r="G292" i="2"/>
  <c r="H292" i="2"/>
  <c r="I292" i="2"/>
  <c r="J292" i="2"/>
  <c r="K292" i="2"/>
  <c r="L292" i="2"/>
  <c r="M292" i="2"/>
  <c r="N292" i="2"/>
  <c r="O292" i="2"/>
  <c r="E293" i="2"/>
  <c r="F293" i="2"/>
  <c r="G293" i="2"/>
  <c r="H293" i="2"/>
  <c r="I293" i="2"/>
  <c r="J293" i="2"/>
  <c r="K293" i="2"/>
  <c r="L293" i="2"/>
  <c r="M293" i="2"/>
  <c r="N293" i="2"/>
  <c r="O293" i="2"/>
  <c r="E294" i="2"/>
  <c r="F294" i="2"/>
  <c r="G294" i="2"/>
  <c r="H294" i="2"/>
  <c r="I294" i="2"/>
  <c r="J294" i="2"/>
  <c r="K294" i="2"/>
  <c r="L294" i="2"/>
  <c r="M294" i="2"/>
  <c r="N294" i="2"/>
  <c r="O294" i="2"/>
  <c r="E295" i="2"/>
  <c r="F295" i="2"/>
  <c r="G295" i="2"/>
  <c r="H295" i="2"/>
  <c r="I295" i="2"/>
  <c r="J295" i="2"/>
  <c r="K295" i="2"/>
  <c r="L295" i="2"/>
  <c r="M295" i="2"/>
  <c r="N295" i="2"/>
  <c r="O295" i="2"/>
  <c r="E296" i="2"/>
  <c r="F296" i="2"/>
  <c r="G296" i="2"/>
  <c r="H296" i="2"/>
  <c r="I296" i="2"/>
  <c r="J296" i="2"/>
  <c r="K296" i="2"/>
  <c r="L296" i="2"/>
  <c r="M296" i="2"/>
  <c r="N296" i="2"/>
  <c r="O296" i="2"/>
  <c r="E297" i="2"/>
  <c r="F297" i="2"/>
  <c r="G297" i="2"/>
  <c r="H297" i="2"/>
  <c r="I297" i="2"/>
  <c r="J297" i="2"/>
  <c r="K297" i="2"/>
  <c r="L297" i="2"/>
  <c r="M297" i="2"/>
  <c r="N297" i="2"/>
  <c r="O297" i="2"/>
  <c r="E298" i="2"/>
  <c r="F298" i="2"/>
  <c r="G298" i="2"/>
  <c r="H298" i="2"/>
  <c r="I298" i="2"/>
  <c r="J298" i="2"/>
  <c r="K298" i="2"/>
  <c r="L298" i="2"/>
  <c r="M298" i="2"/>
  <c r="N298" i="2"/>
  <c r="O298" i="2"/>
  <c r="E299" i="2"/>
  <c r="F299" i="2"/>
  <c r="G299" i="2"/>
  <c r="H299" i="2"/>
  <c r="I299" i="2"/>
  <c r="J299" i="2"/>
  <c r="K299" i="2"/>
  <c r="L299" i="2"/>
  <c r="M299" i="2"/>
  <c r="N299" i="2"/>
  <c r="O299" i="2"/>
  <c r="E300" i="2"/>
  <c r="F300" i="2"/>
  <c r="G300" i="2"/>
  <c r="H300" i="2"/>
  <c r="I300" i="2"/>
  <c r="J300" i="2"/>
  <c r="K300" i="2"/>
  <c r="L300" i="2"/>
  <c r="M300" i="2"/>
  <c r="N300" i="2"/>
  <c r="O300" i="2"/>
  <c r="E301" i="2"/>
  <c r="F301" i="2"/>
  <c r="G301" i="2"/>
  <c r="H301" i="2"/>
  <c r="I301" i="2"/>
  <c r="J301" i="2"/>
  <c r="K301" i="2"/>
  <c r="L301" i="2"/>
  <c r="M301" i="2"/>
  <c r="N301" i="2"/>
  <c r="O301" i="2"/>
  <c r="E302" i="2"/>
  <c r="F302" i="2"/>
  <c r="G302" i="2"/>
  <c r="H302" i="2"/>
  <c r="I302" i="2"/>
  <c r="J302" i="2"/>
  <c r="K302" i="2"/>
  <c r="L302" i="2"/>
  <c r="M302" i="2"/>
  <c r="N302" i="2"/>
  <c r="O302" i="2"/>
  <c r="E303" i="2"/>
  <c r="F303" i="2"/>
  <c r="G303" i="2"/>
  <c r="H303" i="2"/>
  <c r="I303" i="2"/>
  <c r="J303" i="2"/>
  <c r="K303" i="2"/>
  <c r="L303" i="2"/>
  <c r="M303" i="2"/>
  <c r="N303" i="2"/>
  <c r="O303" i="2"/>
  <c r="E304" i="2"/>
  <c r="F304" i="2"/>
  <c r="G304" i="2"/>
  <c r="H304" i="2"/>
  <c r="I304" i="2"/>
  <c r="J304" i="2"/>
  <c r="K304" i="2"/>
  <c r="L304" i="2"/>
  <c r="M304" i="2"/>
  <c r="N304" i="2"/>
  <c r="O304" i="2"/>
  <c r="E305" i="2"/>
  <c r="F305" i="2"/>
  <c r="G305" i="2"/>
  <c r="H305" i="2"/>
  <c r="I305" i="2"/>
  <c r="J305" i="2"/>
  <c r="K305" i="2"/>
  <c r="L305" i="2"/>
  <c r="M305" i="2"/>
  <c r="N305" i="2"/>
  <c r="O305" i="2"/>
  <c r="E306" i="2"/>
  <c r="F306" i="2"/>
  <c r="G306" i="2"/>
  <c r="H306" i="2"/>
  <c r="I306" i="2"/>
  <c r="J306" i="2"/>
  <c r="K306" i="2"/>
  <c r="L306" i="2"/>
  <c r="M306" i="2"/>
  <c r="N306" i="2"/>
  <c r="O306" i="2"/>
  <c r="E307" i="2"/>
  <c r="F307" i="2"/>
  <c r="G307" i="2"/>
  <c r="H307" i="2"/>
  <c r="I307" i="2"/>
  <c r="J307" i="2"/>
  <c r="K307" i="2"/>
  <c r="L307" i="2"/>
  <c r="M307" i="2"/>
  <c r="N307" i="2"/>
  <c r="O307" i="2"/>
  <c r="E308" i="2"/>
  <c r="F308" i="2"/>
  <c r="G308" i="2"/>
  <c r="H308" i="2"/>
  <c r="I308" i="2"/>
  <c r="J308" i="2"/>
  <c r="K308" i="2"/>
  <c r="L308" i="2"/>
  <c r="M308" i="2"/>
  <c r="N308" i="2"/>
  <c r="O308" i="2"/>
  <c r="E309" i="2"/>
  <c r="F309" i="2"/>
  <c r="G309" i="2"/>
  <c r="H309" i="2"/>
  <c r="I309" i="2"/>
  <c r="J309" i="2"/>
  <c r="K309" i="2"/>
  <c r="L309" i="2"/>
  <c r="M309" i="2"/>
  <c r="N309" i="2"/>
  <c r="O309" i="2"/>
  <c r="E310" i="2"/>
  <c r="F310" i="2"/>
  <c r="G310" i="2"/>
  <c r="H310" i="2"/>
  <c r="I310" i="2"/>
  <c r="J310" i="2"/>
  <c r="K310" i="2"/>
  <c r="L310" i="2"/>
  <c r="M310" i="2"/>
  <c r="N310" i="2"/>
  <c r="O310" i="2"/>
  <c r="E311" i="2"/>
  <c r="F311" i="2"/>
  <c r="G311" i="2"/>
  <c r="H311" i="2"/>
  <c r="I311" i="2"/>
  <c r="J311" i="2"/>
  <c r="K311" i="2"/>
  <c r="L311" i="2"/>
  <c r="M311" i="2"/>
  <c r="N311" i="2"/>
  <c r="O311" i="2"/>
  <c r="E312" i="2"/>
  <c r="F312" i="2"/>
  <c r="G312" i="2"/>
  <c r="H312" i="2"/>
  <c r="I312" i="2"/>
  <c r="J312" i="2"/>
  <c r="K312" i="2"/>
  <c r="L312" i="2"/>
  <c r="M312" i="2"/>
  <c r="N312" i="2"/>
  <c r="O312" i="2"/>
  <c r="E313" i="2"/>
  <c r="F313" i="2"/>
  <c r="G313" i="2"/>
  <c r="H313" i="2"/>
  <c r="I313" i="2"/>
  <c r="J313" i="2"/>
  <c r="K313" i="2"/>
  <c r="L313" i="2"/>
  <c r="M313" i="2"/>
  <c r="N313" i="2"/>
  <c r="O313" i="2"/>
  <c r="E314" i="2"/>
  <c r="F314" i="2"/>
  <c r="G314" i="2"/>
  <c r="H314" i="2"/>
  <c r="I314" i="2"/>
  <c r="J314" i="2"/>
  <c r="K314" i="2"/>
  <c r="L314" i="2"/>
  <c r="M314" i="2"/>
  <c r="N314" i="2"/>
  <c r="O314" i="2"/>
  <c r="E315" i="2"/>
  <c r="F315" i="2"/>
  <c r="G315" i="2"/>
  <c r="H315" i="2"/>
  <c r="I315" i="2"/>
  <c r="J315" i="2"/>
  <c r="K315" i="2"/>
  <c r="L315" i="2"/>
  <c r="M315" i="2"/>
  <c r="N315" i="2"/>
  <c r="O315" i="2"/>
  <c r="E316" i="2"/>
  <c r="F316" i="2"/>
  <c r="G316" i="2"/>
  <c r="H316" i="2"/>
  <c r="I316" i="2"/>
  <c r="J316" i="2"/>
  <c r="K316" i="2"/>
  <c r="L316" i="2"/>
  <c r="M316" i="2"/>
  <c r="N316" i="2"/>
  <c r="O316" i="2"/>
  <c r="E317" i="2"/>
  <c r="F317" i="2"/>
  <c r="G317" i="2"/>
  <c r="H317" i="2"/>
  <c r="I317" i="2"/>
  <c r="J317" i="2"/>
  <c r="K317" i="2"/>
  <c r="L317" i="2"/>
  <c r="M317" i="2"/>
  <c r="N317" i="2"/>
  <c r="O317" i="2"/>
  <c r="E318" i="2"/>
  <c r="F318" i="2"/>
  <c r="G318" i="2"/>
  <c r="H318" i="2"/>
  <c r="I318" i="2"/>
  <c r="J318" i="2"/>
  <c r="K318" i="2"/>
  <c r="L318" i="2"/>
  <c r="M318" i="2"/>
  <c r="N318" i="2"/>
  <c r="O318" i="2"/>
  <c r="E319" i="2"/>
  <c r="F319" i="2"/>
  <c r="G319" i="2"/>
  <c r="H319" i="2"/>
  <c r="I319" i="2"/>
  <c r="J319" i="2"/>
  <c r="K319" i="2"/>
  <c r="L319" i="2"/>
  <c r="M319" i="2"/>
  <c r="N319" i="2"/>
  <c r="O319" i="2"/>
  <c r="E320" i="2"/>
  <c r="F320" i="2"/>
  <c r="G320" i="2"/>
  <c r="H320" i="2"/>
  <c r="I320" i="2"/>
  <c r="J320" i="2"/>
  <c r="K320" i="2"/>
  <c r="L320" i="2"/>
  <c r="M320" i="2"/>
  <c r="N320" i="2"/>
  <c r="O320" i="2"/>
  <c r="E321" i="2"/>
  <c r="F321" i="2"/>
  <c r="G321" i="2"/>
  <c r="H321" i="2"/>
  <c r="I321" i="2"/>
  <c r="J321" i="2"/>
  <c r="K321" i="2"/>
  <c r="L321" i="2"/>
  <c r="M321" i="2"/>
  <c r="N321" i="2"/>
  <c r="O321" i="2"/>
  <c r="E322" i="2"/>
  <c r="F322" i="2"/>
  <c r="G322" i="2"/>
  <c r="H322" i="2"/>
  <c r="I322" i="2"/>
  <c r="J322" i="2"/>
  <c r="K322" i="2"/>
  <c r="L322" i="2"/>
  <c r="M322" i="2"/>
  <c r="N322" i="2"/>
  <c r="O322" i="2"/>
  <c r="E323" i="2"/>
  <c r="F323" i="2"/>
  <c r="G323" i="2"/>
  <c r="H323" i="2"/>
  <c r="I323" i="2"/>
  <c r="J323" i="2"/>
  <c r="K323" i="2"/>
  <c r="L323" i="2"/>
  <c r="M323" i="2"/>
  <c r="N323" i="2"/>
  <c r="O323" i="2"/>
  <c r="E324" i="2"/>
  <c r="F324" i="2"/>
  <c r="G324" i="2"/>
  <c r="H324" i="2"/>
  <c r="I324" i="2"/>
  <c r="J324" i="2"/>
  <c r="K324" i="2"/>
  <c r="L324" i="2"/>
  <c r="M324" i="2"/>
  <c r="N324" i="2"/>
  <c r="O324" i="2"/>
  <c r="E325" i="2"/>
  <c r="F325" i="2"/>
  <c r="G325" i="2"/>
  <c r="H325" i="2"/>
  <c r="I325" i="2"/>
  <c r="J325" i="2"/>
  <c r="K325" i="2"/>
  <c r="L325" i="2"/>
  <c r="M325" i="2"/>
  <c r="N325" i="2"/>
  <c r="O325" i="2"/>
  <c r="E326" i="2"/>
  <c r="F326" i="2"/>
  <c r="G326" i="2"/>
  <c r="H326" i="2"/>
  <c r="I326" i="2"/>
  <c r="J326" i="2"/>
  <c r="K326" i="2"/>
  <c r="L326" i="2"/>
  <c r="M326" i="2"/>
  <c r="N326" i="2"/>
  <c r="O326" i="2"/>
  <c r="E327" i="2"/>
  <c r="F327" i="2"/>
  <c r="G327" i="2"/>
  <c r="H327" i="2"/>
  <c r="I327" i="2"/>
  <c r="J327" i="2"/>
  <c r="K327" i="2"/>
  <c r="L327" i="2"/>
  <c r="M327" i="2"/>
  <c r="N327" i="2"/>
  <c r="O327" i="2"/>
  <c r="E328" i="2"/>
  <c r="F328" i="2"/>
  <c r="G328" i="2"/>
  <c r="H328" i="2"/>
  <c r="I328" i="2"/>
  <c r="J328" i="2"/>
  <c r="K328" i="2"/>
  <c r="L328" i="2"/>
  <c r="M328" i="2"/>
  <c r="N328" i="2"/>
  <c r="O328" i="2"/>
  <c r="E329" i="2"/>
  <c r="F329" i="2"/>
  <c r="G329" i="2"/>
  <c r="H329" i="2"/>
  <c r="I329" i="2"/>
  <c r="J329" i="2"/>
  <c r="K329" i="2"/>
  <c r="L329" i="2"/>
  <c r="M329" i="2"/>
  <c r="N329" i="2"/>
  <c r="O329" i="2"/>
  <c r="E330" i="2"/>
  <c r="F330" i="2"/>
  <c r="G330" i="2"/>
  <c r="H330" i="2"/>
  <c r="I330" i="2"/>
  <c r="J330" i="2"/>
  <c r="K330" i="2"/>
  <c r="L330" i="2"/>
  <c r="M330" i="2"/>
  <c r="N330" i="2"/>
  <c r="O330" i="2"/>
  <c r="E331" i="2"/>
  <c r="F331" i="2"/>
  <c r="G331" i="2"/>
  <c r="H331" i="2"/>
  <c r="I331" i="2"/>
  <c r="J331" i="2"/>
  <c r="K331" i="2"/>
  <c r="L331" i="2"/>
  <c r="M331" i="2"/>
  <c r="N331" i="2"/>
  <c r="O331" i="2"/>
  <c r="E332" i="2"/>
  <c r="F332" i="2"/>
  <c r="G332" i="2"/>
  <c r="H332" i="2"/>
  <c r="I332" i="2"/>
  <c r="J332" i="2"/>
  <c r="K332" i="2"/>
  <c r="L332" i="2"/>
  <c r="M332" i="2"/>
  <c r="N332" i="2"/>
  <c r="O332" i="2"/>
  <c r="E333" i="2"/>
  <c r="F333" i="2"/>
  <c r="G333" i="2"/>
  <c r="H333" i="2"/>
  <c r="I333" i="2"/>
  <c r="J333" i="2"/>
  <c r="K333" i="2"/>
  <c r="L333" i="2"/>
  <c r="M333" i="2"/>
  <c r="N333" i="2"/>
  <c r="O333" i="2"/>
  <c r="E334" i="2"/>
  <c r="F334" i="2"/>
  <c r="G334" i="2"/>
  <c r="H334" i="2"/>
  <c r="I334" i="2"/>
  <c r="J334" i="2"/>
  <c r="K334" i="2"/>
  <c r="L334" i="2"/>
  <c r="M334" i="2"/>
  <c r="N334" i="2"/>
  <c r="O334" i="2"/>
  <c r="E335" i="2"/>
  <c r="F335" i="2"/>
  <c r="G335" i="2"/>
  <c r="H335" i="2"/>
  <c r="I335" i="2"/>
  <c r="J335" i="2"/>
  <c r="K335" i="2"/>
  <c r="L335" i="2"/>
  <c r="M335" i="2"/>
  <c r="N335" i="2"/>
  <c r="O335" i="2"/>
  <c r="E336" i="2"/>
  <c r="F336" i="2"/>
  <c r="G336" i="2"/>
  <c r="H336" i="2"/>
  <c r="I336" i="2"/>
  <c r="J336" i="2"/>
  <c r="K336" i="2"/>
  <c r="L336" i="2"/>
  <c r="M336" i="2"/>
  <c r="N336" i="2"/>
  <c r="O336" i="2"/>
  <c r="E337" i="2"/>
  <c r="F337" i="2"/>
  <c r="G337" i="2"/>
  <c r="H337" i="2"/>
  <c r="I337" i="2"/>
  <c r="J337" i="2"/>
  <c r="K337" i="2"/>
  <c r="L337" i="2"/>
  <c r="M337" i="2"/>
  <c r="N337" i="2"/>
  <c r="O337" i="2"/>
  <c r="E338" i="2"/>
  <c r="F338" i="2"/>
  <c r="G338" i="2"/>
  <c r="H338" i="2"/>
  <c r="I338" i="2"/>
  <c r="J338" i="2"/>
  <c r="K338" i="2"/>
  <c r="L338" i="2"/>
  <c r="M338" i="2"/>
  <c r="N338" i="2"/>
  <c r="O338" i="2"/>
  <c r="E339" i="2"/>
  <c r="F339" i="2"/>
  <c r="G339" i="2"/>
  <c r="H339" i="2"/>
  <c r="I339" i="2"/>
  <c r="J339" i="2"/>
  <c r="K339" i="2"/>
  <c r="L339" i="2"/>
  <c r="M339" i="2"/>
  <c r="N339" i="2"/>
  <c r="O339" i="2"/>
  <c r="E340" i="2"/>
  <c r="F340" i="2"/>
  <c r="G340" i="2"/>
  <c r="H340" i="2"/>
  <c r="I340" i="2"/>
  <c r="J340" i="2"/>
  <c r="K340" i="2"/>
  <c r="L340" i="2"/>
  <c r="M340" i="2"/>
  <c r="N340" i="2"/>
  <c r="O340" i="2"/>
  <c r="E341" i="2"/>
  <c r="F341" i="2"/>
  <c r="G341" i="2"/>
  <c r="H341" i="2"/>
  <c r="I341" i="2"/>
  <c r="J341" i="2"/>
  <c r="K341" i="2"/>
  <c r="L341" i="2"/>
  <c r="M341" i="2"/>
  <c r="N341" i="2"/>
  <c r="O341" i="2"/>
  <c r="E342" i="2"/>
  <c r="F342" i="2"/>
  <c r="G342" i="2"/>
  <c r="H342" i="2"/>
  <c r="I342" i="2"/>
  <c r="J342" i="2"/>
  <c r="K342" i="2"/>
  <c r="L342" i="2"/>
  <c r="M342" i="2"/>
  <c r="N342" i="2"/>
  <c r="O342" i="2"/>
  <c r="E343" i="2"/>
  <c r="F343" i="2"/>
  <c r="G343" i="2"/>
  <c r="H343" i="2"/>
  <c r="I343" i="2"/>
  <c r="J343" i="2"/>
  <c r="K343" i="2"/>
  <c r="L343" i="2"/>
  <c r="M343" i="2"/>
  <c r="N343" i="2"/>
  <c r="O343" i="2"/>
  <c r="E344" i="2"/>
  <c r="F344" i="2"/>
  <c r="G344" i="2"/>
  <c r="H344" i="2"/>
  <c r="I344" i="2"/>
  <c r="J344" i="2"/>
  <c r="K344" i="2"/>
  <c r="L344" i="2"/>
  <c r="M344" i="2"/>
  <c r="N344" i="2"/>
  <c r="O344" i="2"/>
  <c r="E345" i="2"/>
  <c r="F345" i="2"/>
  <c r="G345" i="2"/>
  <c r="H345" i="2"/>
  <c r="I345" i="2"/>
  <c r="J345" i="2"/>
  <c r="K345" i="2"/>
  <c r="L345" i="2"/>
  <c r="M345" i="2"/>
  <c r="N345" i="2"/>
  <c r="O345" i="2"/>
  <c r="E346" i="2"/>
  <c r="F346" i="2"/>
  <c r="G346" i="2"/>
  <c r="H346" i="2"/>
  <c r="I346" i="2"/>
  <c r="J346" i="2"/>
  <c r="K346" i="2"/>
  <c r="L346" i="2"/>
  <c r="M346" i="2"/>
  <c r="N346" i="2"/>
  <c r="O346" i="2"/>
  <c r="E347" i="2"/>
  <c r="F347" i="2"/>
  <c r="G347" i="2"/>
  <c r="H347" i="2"/>
  <c r="I347" i="2"/>
  <c r="J347" i="2"/>
  <c r="K347" i="2"/>
  <c r="L347" i="2"/>
  <c r="M347" i="2"/>
  <c r="N347" i="2"/>
  <c r="O347" i="2"/>
  <c r="E348" i="2"/>
  <c r="F348" i="2"/>
  <c r="G348" i="2"/>
  <c r="H348" i="2"/>
  <c r="I348" i="2"/>
  <c r="J348" i="2"/>
  <c r="K348" i="2"/>
  <c r="L348" i="2"/>
  <c r="M348" i="2"/>
  <c r="N348" i="2"/>
  <c r="O348" i="2"/>
  <c r="E349" i="2"/>
  <c r="F349" i="2"/>
  <c r="G349" i="2"/>
  <c r="H349" i="2"/>
  <c r="I349" i="2"/>
  <c r="J349" i="2"/>
  <c r="K349" i="2"/>
  <c r="L349" i="2"/>
  <c r="M349" i="2"/>
  <c r="N349" i="2"/>
  <c r="O349" i="2"/>
  <c r="E350" i="2"/>
  <c r="F350" i="2"/>
  <c r="G350" i="2"/>
  <c r="H350" i="2"/>
  <c r="I350" i="2"/>
  <c r="J350" i="2"/>
  <c r="K350" i="2"/>
  <c r="L350" i="2"/>
  <c r="M350" i="2"/>
  <c r="N350" i="2"/>
  <c r="O350" i="2"/>
  <c r="E351" i="2"/>
  <c r="F351" i="2"/>
  <c r="G351" i="2"/>
  <c r="H351" i="2"/>
  <c r="I351" i="2"/>
  <c r="J351" i="2"/>
  <c r="K351" i="2"/>
  <c r="L351" i="2"/>
  <c r="M351" i="2"/>
  <c r="N351" i="2"/>
  <c r="O351" i="2"/>
  <c r="E352" i="2"/>
  <c r="F352" i="2"/>
  <c r="G352" i="2"/>
  <c r="H352" i="2"/>
  <c r="I352" i="2"/>
  <c r="J352" i="2"/>
  <c r="K352" i="2"/>
  <c r="L352" i="2"/>
  <c r="M352" i="2"/>
  <c r="N352" i="2"/>
  <c r="O352" i="2"/>
  <c r="E353" i="2"/>
  <c r="F353" i="2"/>
  <c r="G353" i="2"/>
  <c r="H353" i="2"/>
  <c r="I353" i="2"/>
  <c r="J353" i="2"/>
  <c r="K353" i="2"/>
  <c r="L353" i="2"/>
  <c r="M353" i="2"/>
  <c r="N353" i="2"/>
  <c r="O353" i="2"/>
  <c r="E354" i="2"/>
  <c r="F354" i="2"/>
  <c r="G354" i="2"/>
  <c r="H354" i="2"/>
  <c r="I354" i="2"/>
  <c r="J354" i="2"/>
  <c r="K354" i="2"/>
  <c r="L354" i="2"/>
  <c r="M354" i="2"/>
  <c r="N354" i="2"/>
  <c r="O354" i="2"/>
  <c r="E355" i="2"/>
  <c r="F355" i="2"/>
  <c r="G355" i="2"/>
  <c r="H355" i="2"/>
  <c r="I355" i="2"/>
  <c r="J355" i="2"/>
  <c r="K355" i="2"/>
  <c r="L355" i="2"/>
  <c r="M355" i="2"/>
  <c r="N355" i="2"/>
  <c r="O355" i="2"/>
  <c r="E356" i="2"/>
  <c r="F356" i="2"/>
  <c r="G356" i="2"/>
  <c r="H356" i="2"/>
  <c r="I356" i="2"/>
  <c r="J356" i="2"/>
  <c r="K356" i="2"/>
  <c r="L356" i="2"/>
  <c r="M356" i="2"/>
  <c r="N356" i="2"/>
  <c r="O356" i="2"/>
  <c r="E357" i="2"/>
  <c r="F357" i="2"/>
  <c r="G357" i="2"/>
  <c r="H357" i="2"/>
  <c r="I357" i="2"/>
  <c r="J357" i="2"/>
  <c r="K357" i="2"/>
  <c r="L357" i="2"/>
  <c r="M357" i="2"/>
  <c r="N357" i="2"/>
  <c r="O357" i="2"/>
  <c r="E358" i="2"/>
  <c r="F358" i="2"/>
  <c r="G358" i="2"/>
  <c r="H358" i="2"/>
  <c r="I358" i="2"/>
  <c r="J358" i="2"/>
  <c r="K358" i="2"/>
  <c r="L358" i="2"/>
  <c r="M358" i="2"/>
  <c r="N358" i="2"/>
  <c r="O358" i="2"/>
  <c r="E359" i="2"/>
  <c r="F359" i="2"/>
  <c r="G359" i="2"/>
  <c r="H359" i="2"/>
  <c r="I359" i="2"/>
  <c r="J359" i="2"/>
  <c r="K359" i="2"/>
  <c r="L359" i="2"/>
  <c r="M359" i="2"/>
  <c r="N359" i="2"/>
  <c r="O359" i="2"/>
  <c r="E360" i="2"/>
  <c r="F360" i="2"/>
  <c r="G360" i="2"/>
  <c r="H360" i="2"/>
  <c r="I360" i="2"/>
  <c r="J360" i="2"/>
  <c r="K360" i="2"/>
  <c r="L360" i="2"/>
  <c r="M360" i="2"/>
  <c r="N360" i="2"/>
  <c r="O360" i="2"/>
  <c r="E361" i="2"/>
  <c r="F361" i="2"/>
  <c r="G361" i="2"/>
  <c r="H361" i="2"/>
  <c r="I361" i="2"/>
  <c r="J361" i="2"/>
  <c r="K361" i="2"/>
  <c r="L361" i="2"/>
  <c r="M361" i="2"/>
  <c r="N361" i="2"/>
  <c r="O361" i="2"/>
  <c r="E362" i="2"/>
  <c r="F362" i="2"/>
  <c r="G362" i="2"/>
  <c r="H362" i="2"/>
  <c r="I362" i="2"/>
  <c r="J362" i="2"/>
  <c r="K362" i="2"/>
  <c r="L362" i="2"/>
  <c r="M362" i="2"/>
  <c r="N362" i="2"/>
  <c r="O362" i="2"/>
  <c r="E363" i="2"/>
  <c r="F363" i="2"/>
  <c r="G363" i="2"/>
  <c r="H363" i="2"/>
  <c r="I363" i="2"/>
  <c r="J363" i="2"/>
  <c r="K363" i="2"/>
  <c r="L363" i="2"/>
  <c r="M363" i="2"/>
  <c r="N363" i="2"/>
  <c r="O363" i="2"/>
  <c r="E364" i="2"/>
  <c r="F364" i="2"/>
  <c r="G364" i="2"/>
  <c r="H364" i="2"/>
  <c r="I364" i="2"/>
  <c r="J364" i="2"/>
  <c r="K364" i="2"/>
  <c r="L364" i="2"/>
  <c r="M364" i="2"/>
  <c r="N364" i="2"/>
  <c r="O364" i="2"/>
  <c r="E365" i="2"/>
  <c r="F365" i="2"/>
  <c r="G365" i="2"/>
  <c r="H365" i="2"/>
  <c r="I365" i="2"/>
  <c r="J365" i="2"/>
  <c r="K365" i="2"/>
  <c r="L365" i="2"/>
  <c r="M365" i="2"/>
  <c r="N365" i="2"/>
  <c r="O365" i="2"/>
  <c r="E366" i="2"/>
  <c r="F366" i="2"/>
  <c r="G366" i="2"/>
  <c r="H366" i="2"/>
  <c r="I366" i="2"/>
  <c r="J366" i="2"/>
  <c r="K366" i="2"/>
  <c r="L366" i="2"/>
  <c r="M366" i="2"/>
  <c r="N366" i="2"/>
  <c r="O366" i="2"/>
  <c r="E367" i="2"/>
  <c r="F367" i="2"/>
  <c r="G367" i="2"/>
  <c r="H367" i="2"/>
  <c r="I367" i="2"/>
  <c r="J367" i="2"/>
  <c r="K367" i="2"/>
  <c r="L367" i="2"/>
  <c r="M367" i="2"/>
  <c r="N367" i="2"/>
  <c r="O367" i="2"/>
  <c r="E368" i="2"/>
  <c r="F368" i="2"/>
  <c r="G368" i="2"/>
  <c r="H368" i="2"/>
  <c r="I368" i="2"/>
  <c r="J368" i="2"/>
  <c r="K368" i="2"/>
  <c r="L368" i="2"/>
  <c r="M368" i="2"/>
  <c r="N368" i="2"/>
  <c r="O368" i="2"/>
  <c r="E369" i="2"/>
  <c r="F369" i="2"/>
  <c r="G369" i="2"/>
  <c r="H369" i="2"/>
  <c r="I369" i="2"/>
  <c r="J369" i="2"/>
  <c r="K369" i="2"/>
  <c r="L369" i="2"/>
  <c r="M369" i="2"/>
  <c r="N369" i="2"/>
  <c r="O369" i="2"/>
  <c r="E370" i="2"/>
  <c r="F370" i="2"/>
  <c r="G370" i="2"/>
  <c r="H370" i="2"/>
  <c r="I370" i="2"/>
  <c r="J370" i="2"/>
  <c r="K370" i="2"/>
  <c r="L370" i="2"/>
  <c r="M370" i="2"/>
  <c r="N370" i="2"/>
  <c r="O370" i="2"/>
  <c r="E371" i="2"/>
  <c r="F371" i="2"/>
  <c r="G371" i="2"/>
  <c r="H371" i="2"/>
  <c r="I371" i="2"/>
  <c r="J371" i="2"/>
  <c r="K371" i="2"/>
  <c r="L371" i="2"/>
  <c r="M371" i="2"/>
  <c r="N371" i="2"/>
  <c r="O371" i="2"/>
  <c r="E372" i="2"/>
  <c r="F372" i="2"/>
  <c r="G372" i="2"/>
  <c r="H372" i="2"/>
  <c r="I372" i="2"/>
  <c r="J372" i="2"/>
  <c r="K372" i="2"/>
  <c r="L372" i="2"/>
  <c r="M372" i="2"/>
  <c r="N372" i="2"/>
  <c r="O372" i="2"/>
  <c r="E373" i="2"/>
  <c r="F373" i="2"/>
  <c r="G373" i="2"/>
  <c r="H373" i="2"/>
  <c r="I373" i="2"/>
  <c r="J373" i="2"/>
  <c r="K373" i="2"/>
  <c r="L373" i="2"/>
  <c r="M373" i="2"/>
  <c r="N373" i="2"/>
  <c r="O373" i="2"/>
  <c r="E374" i="2"/>
  <c r="F374" i="2"/>
  <c r="G374" i="2"/>
  <c r="H374" i="2"/>
  <c r="I374" i="2"/>
  <c r="J374" i="2"/>
  <c r="K374" i="2"/>
  <c r="L374" i="2"/>
  <c r="M374" i="2"/>
  <c r="N374" i="2"/>
  <c r="O374" i="2"/>
  <c r="E375" i="2"/>
  <c r="F375" i="2"/>
  <c r="G375" i="2"/>
  <c r="H375" i="2"/>
  <c r="I375" i="2"/>
  <c r="J375" i="2"/>
  <c r="K375" i="2"/>
  <c r="L375" i="2"/>
  <c r="M375" i="2"/>
  <c r="N375" i="2"/>
  <c r="O375" i="2"/>
  <c r="E376" i="2"/>
  <c r="F376" i="2"/>
  <c r="G376" i="2"/>
  <c r="H376" i="2"/>
  <c r="I376" i="2"/>
  <c r="J376" i="2"/>
  <c r="K376" i="2"/>
  <c r="L376" i="2"/>
  <c r="M376" i="2"/>
  <c r="N376" i="2"/>
  <c r="O376" i="2"/>
  <c r="E377" i="2"/>
  <c r="F377" i="2"/>
  <c r="G377" i="2"/>
  <c r="H377" i="2"/>
  <c r="I377" i="2"/>
  <c r="J377" i="2"/>
  <c r="K377" i="2"/>
  <c r="L377" i="2"/>
  <c r="M377" i="2"/>
  <c r="N377" i="2"/>
  <c r="O377" i="2"/>
  <c r="E378" i="2"/>
  <c r="F378" i="2"/>
  <c r="G378" i="2"/>
  <c r="H378" i="2"/>
  <c r="I378" i="2"/>
  <c r="J378" i="2"/>
  <c r="K378" i="2"/>
  <c r="L378" i="2"/>
  <c r="M378" i="2"/>
  <c r="N378" i="2"/>
  <c r="O378" i="2"/>
  <c r="E379" i="2"/>
  <c r="F379" i="2"/>
  <c r="G379" i="2"/>
  <c r="H379" i="2"/>
  <c r="I379" i="2"/>
  <c r="J379" i="2"/>
  <c r="K379" i="2"/>
  <c r="L379" i="2"/>
  <c r="M379" i="2"/>
  <c r="N379" i="2"/>
  <c r="O379" i="2"/>
  <c r="E380" i="2"/>
  <c r="F380" i="2"/>
  <c r="G380" i="2"/>
  <c r="H380" i="2"/>
  <c r="I380" i="2"/>
  <c r="J380" i="2"/>
  <c r="K380" i="2"/>
  <c r="L380" i="2"/>
  <c r="M380" i="2"/>
  <c r="N380" i="2"/>
  <c r="O380" i="2"/>
  <c r="E381" i="2"/>
  <c r="F381" i="2"/>
  <c r="G381" i="2"/>
  <c r="H381" i="2"/>
  <c r="I381" i="2"/>
  <c r="J381" i="2"/>
  <c r="K381" i="2"/>
  <c r="L381" i="2"/>
  <c r="M381" i="2"/>
  <c r="N381" i="2"/>
  <c r="O381" i="2"/>
  <c r="E382" i="2"/>
  <c r="F382" i="2"/>
  <c r="G382" i="2"/>
  <c r="H382" i="2"/>
  <c r="I382" i="2"/>
  <c r="J382" i="2"/>
  <c r="K382" i="2"/>
  <c r="L382" i="2"/>
  <c r="M382" i="2"/>
  <c r="N382" i="2"/>
  <c r="O382" i="2"/>
  <c r="E383" i="2"/>
  <c r="F383" i="2"/>
  <c r="G383" i="2"/>
  <c r="H383" i="2"/>
  <c r="I383" i="2"/>
  <c r="J383" i="2"/>
  <c r="K383" i="2"/>
  <c r="L383" i="2"/>
  <c r="M383" i="2"/>
  <c r="N383" i="2"/>
  <c r="O383" i="2"/>
  <c r="E384" i="2"/>
  <c r="F384" i="2"/>
  <c r="G384" i="2"/>
  <c r="H384" i="2"/>
  <c r="I384" i="2"/>
  <c r="J384" i="2"/>
  <c r="K384" i="2"/>
  <c r="L384" i="2"/>
  <c r="M384" i="2"/>
  <c r="N384" i="2"/>
  <c r="O384" i="2"/>
  <c r="E385" i="2"/>
  <c r="F385" i="2"/>
  <c r="G385" i="2"/>
  <c r="H385" i="2"/>
  <c r="I385" i="2"/>
  <c r="J385" i="2"/>
  <c r="K385" i="2"/>
  <c r="L385" i="2"/>
  <c r="M385" i="2"/>
  <c r="N385" i="2"/>
  <c r="O385" i="2"/>
  <c r="E386" i="2"/>
  <c r="F386" i="2"/>
  <c r="G386" i="2"/>
  <c r="H386" i="2"/>
  <c r="I386" i="2"/>
  <c r="J386" i="2"/>
  <c r="K386" i="2"/>
  <c r="L386" i="2"/>
  <c r="M386" i="2"/>
  <c r="N386" i="2"/>
  <c r="O386" i="2"/>
  <c r="E387" i="2"/>
  <c r="F387" i="2"/>
  <c r="G387" i="2"/>
  <c r="H387" i="2"/>
  <c r="I387" i="2"/>
  <c r="J387" i="2"/>
  <c r="K387" i="2"/>
  <c r="L387" i="2"/>
  <c r="M387" i="2"/>
  <c r="N387" i="2"/>
  <c r="O387" i="2"/>
  <c r="E388" i="2"/>
  <c r="F388" i="2"/>
  <c r="G388" i="2"/>
  <c r="H388" i="2"/>
  <c r="I388" i="2"/>
  <c r="J388" i="2"/>
  <c r="K388" i="2"/>
  <c r="L388" i="2"/>
  <c r="M388" i="2"/>
  <c r="N388" i="2"/>
  <c r="O388" i="2"/>
  <c r="E389" i="2"/>
  <c r="F389" i="2"/>
  <c r="G389" i="2"/>
  <c r="H389" i="2"/>
  <c r="I389" i="2"/>
  <c r="J389" i="2"/>
  <c r="K389" i="2"/>
  <c r="L389" i="2"/>
  <c r="M389" i="2"/>
  <c r="N389" i="2"/>
  <c r="O389" i="2"/>
  <c r="E390" i="2"/>
  <c r="F390" i="2"/>
  <c r="G390" i="2"/>
  <c r="H390" i="2"/>
  <c r="I390" i="2"/>
  <c r="J390" i="2"/>
  <c r="K390" i="2"/>
  <c r="L390" i="2"/>
  <c r="M390" i="2"/>
  <c r="N390" i="2"/>
  <c r="O390" i="2"/>
  <c r="E391" i="2"/>
  <c r="F391" i="2"/>
  <c r="G391" i="2"/>
  <c r="H391" i="2"/>
  <c r="I391" i="2"/>
  <c r="J391" i="2"/>
  <c r="K391" i="2"/>
  <c r="L391" i="2"/>
  <c r="M391" i="2"/>
  <c r="N391" i="2"/>
  <c r="O391" i="2"/>
  <c r="E392" i="2"/>
  <c r="F392" i="2"/>
  <c r="G392" i="2"/>
  <c r="H392" i="2"/>
  <c r="I392" i="2"/>
  <c r="J392" i="2"/>
  <c r="K392" i="2"/>
  <c r="L392" i="2"/>
  <c r="M392" i="2"/>
  <c r="N392" i="2"/>
  <c r="O392" i="2"/>
  <c r="E393" i="2"/>
  <c r="F393" i="2"/>
  <c r="G393" i="2"/>
  <c r="H393" i="2"/>
  <c r="I393" i="2"/>
  <c r="J393" i="2"/>
  <c r="K393" i="2"/>
  <c r="L393" i="2"/>
  <c r="M393" i="2"/>
  <c r="N393" i="2"/>
  <c r="O393" i="2"/>
  <c r="E394" i="2"/>
  <c r="F394" i="2"/>
  <c r="G394" i="2"/>
  <c r="H394" i="2"/>
  <c r="I394" i="2"/>
  <c r="J394" i="2"/>
  <c r="K394" i="2"/>
  <c r="L394" i="2"/>
  <c r="M394" i="2"/>
  <c r="N394" i="2"/>
  <c r="O394" i="2"/>
  <c r="E395" i="2"/>
  <c r="F395" i="2"/>
  <c r="G395" i="2"/>
  <c r="H395" i="2"/>
  <c r="I395" i="2"/>
  <c r="J395" i="2"/>
  <c r="K395" i="2"/>
  <c r="L395" i="2"/>
  <c r="M395" i="2"/>
  <c r="N395" i="2"/>
  <c r="O395" i="2"/>
  <c r="E396" i="2"/>
  <c r="F396" i="2"/>
  <c r="G396" i="2"/>
  <c r="H396" i="2"/>
  <c r="I396" i="2"/>
  <c r="J396" i="2"/>
  <c r="K396" i="2"/>
  <c r="L396" i="2"/>
  <c r="M396" i="2"/>
  <c r="N396" i="2"/>
  <c r="O396" i="2"/>
  <c r="E397" i="2"/>
  <c r="F397" i="2"/>
  <c r="G397" i="2"/>
  <c r="H397" i="2"/>
  <c r="I397" i="2"/>
  <c r="J397" i="2"/>
  <c r="K397" i="2"/>
  <c r="L397" i="2"/>
  <c r="M397" i="2"/>
  <c r="N397" i="2"/>
  <c r="O397" i="2"/>
  <c r="E398" i="2"/>
  <c r="F398" i="2"/>
  <c r="G398" i="2"/>
  <c r="H398" i="2"/>
  <c r="I398" i="2"/>
  <c r="J398" i="2"/>
  <c r="K398" i="2"/>
  <c r="L398" i="2"/>
  <c r="M398" i="2"/>
  <c r="N398" i="2"/>
  <c r="O398" i="2"/>
  <c r="E399" i="2"/>
  <c r="F399" i="2"/>
  <c r="G399" i="2"/>
  <c r="H399" i="2"/>
  <c r="I399" i="2"/>
  <c r="J399" i="2"/>
  <c r="K399" i="2"/>
  <c r="L399" i="2"/>
  <c r="M399" i="2"/>
  <c r="N399" i="2"/>
  <c r="O399" i="2"/>
  <c r="E400" i="2"/>
  <c r="F400" i="2"/>
  <c r="G400" i="2"/>
  <c r="H400" i="2"/>
  <c r="I400" i="2"/>
  <c r="J400" i="2"/>
  <c r="K400" i="2"/>
  <c r="L400" i="2"/>
  <c r="M400" i="2"/>
  <c r="N400" i="2"/>
  <c r="O400" i="2"/>
  <c r="E401" i="2"/>
  <c r="F401" i="2"/>
  <c r="G401" i="2"/>
  <c r="H401" i="2"/>
  <c r="I401" i="2"/>
  <c r="J401" i="2"/>
  <c r="K401" i="2"/>
  <c r="L401" i="2"/>
  <c r="M401" i="2"/>
  <c r="N401" i="2"/>
  <c r="O401" i="2"/>
  <c r="E402" i="2"/>
  <c r="F402" i="2"/>
  <c r="G402" i="2"/>
  <c r="H402" i="2"/>
  <c r="I402" i="2"/>
  <c r="J402" i="2"/>
  <c r="K402" i="2"/>
  <c r="L402" i="2"/>
  <c r="M402" i="2"/>
  <c r="N402" i="2"/>
  <c r="O402" i="2"/>
  <c r="E403" i="2"/>
  <c r="F403" i="2"/>
  <c r="G403" i="2"/>
  <c r="H403" i="2"/>
  <c r="I403" i="2"/>
  <c r="J403" i="2"/>
  <c r="K403" i="2"/>
  <c r="L403" i="2"/>
  <c r="M403" i="2"/>
  <c r="N403" i="2"/>
  <c r="O403" i="2"/>
  <c r="E404" i="2"/>
  <c r="F404" i="2"/>
  <c r="G404" i="2"/>
  <c r="H404" i="2"/>
  <c r="I404" i="2"/>
  <c r="J404" i="2"/>
  <c r="K404" i="2"/>
  <c r="L404" i="2"/>
  <c r="M404" i="2"/>
  <c r="N404" i="2"/>
  <c r="O404" i="2"/>
  <c r="E405" i="2"/>
  <c r="F405" i="2"/>
  <c r="G405" i="2"/>
  <c r="H405" i="2"/>
  <c r="I405" i="2"/>
  <c r="J405" i="2"/>
  <c r="K405" i="2"/>
  <c r="L405" i="2"/>
  <c r="M405" i="2"/>
  <c r="N405" i="2"/>
  <c r="O405" i="2"/>
  <c r="E406" i="2"/>
  <c r="F406" i="2"/>
  <c r="G406" i="2"/>
  <c r="H406" i="2"/>
  <c r="I406" i="2"/>
  <c r="J406" i="2"/>
  <c r="K406" i="2"/>
  <c r="L406" i="2"/>
  <c r="M406" i="2"/>
  <c r="N406" i="2"/>
  <c r="O406" i="2"/>
  <c r="E407" i="2"/>
  <c r="F407" i="2"/>
  <c r="G407" i="2"/>
  <c r="H407" i="2"/>
  <c r="I407" i="2"/>
  <c r="J407" i="2"/>
  <c r="K407" i="2"/>
  <c r="L407" i="2"/>
  <c r="M407" i="2"/>
  <c r="N407" i="2"/>
  <c r="O407" i="2"/>
  <c r="E408" i="2"/>
  <c r="F408" i="2"/>
  <c r="G408" i="2"/>
  <c r="H408" i="2"/>
  <c r="I408" i="2"/>
  <c r="J408" i="2"/>
  <c r="K408" i="2"/>
  <c r="L408" i="2"/>
  <c r="M408" i="2"/>
  <c r="N408" i="2"/>
  <c r="O408" i="2"/>
  <c r="E409" i="2"/>
  <c r="F409" i="2"/>
  <c r="G409" i="2"/>
  <c r="H409" i="2"/>
  <c r="I409" i="2"/>
  <c r="J409" i="2"/>
  <c r="K409" i="2"/>
  <c r="L409" i="2"/>
  <c r="M409" i="2"/>
  <c r="N409" i="2"/>
  <c r="O409" i="2"/>
  <c r="E410" i="2"/>
  <c r="F410" i="2"/>
  <c r="G410" i="2"/>
  <c r="H410" i="2"/>
  <c r="I410" i="2"/>
  <c r="J410" i="2"/>
  <c r="K410" i="2"/>
  <c r="L410" i="2"/>
  <c r="M410" i="2"/>
  <c r="N410" i="2"/>
  <c r="O410" i="2"/>
  <c r="E411" i="2"/>
  <c r="F411" i="2"/>
  <c r="G411" i="2"/>
  <c r="H411" i="2"/>
  <c r="I411" i="2"/>
  <c r="J411" i="2"/>
  <c r="K411" i="2"/>
  <c r="L411" i="2"/>
  <c r="M411" i="2"/>
  <c r="N411" i="2"/>
  <c r="O411" i="2"/>
  <c r="E412" i="2"/>
  <c r="F412" i="2"/>
  <c r="G412" i="2"/>
  <c r="H412" i="2"/>
  <c r="I412" i="2"/>
  <c r="J412" i="2"/>
  <c r="K412" i="2"/>
  <c r="L412" i="2"/>
  <c r="M412" i="2"/>
  <c r="N412" i="2"/>
  <c r="O412" i="2"/>
  <c r="E413" i="2"/>
  <c r="F413" i="2"/>
  <c r="G413" i="2"/>
  <c r="H413" i="2"/>
  <c r="I413" i="2"/>
  <c r="J413" i="2"/>
  <c r="K413" i="2"/>
  <c r="L413" i="2"/>
  <c r="M413" i="2"/>
  <c r="N413" i="2"/>
  <c r="O413" i="2"/>
  <c r="E414" i="2"/>
  <c r="F414" i="2"/>
  <c r="G414" i="2"/>
  <c r="H414" i="2"/>
  <c r="I414" i="2"/>
  <c r="J414" i="2"/>
  <c r="K414" i="2"/>
  <c r="L414" i="2"/>
  <c r="M414" i="2"/>
  <c r="N414" i="2"/>
  <c r="O414" i="2"/>
  <c r="E415" i="2"/>
  <c r="F415" i="2"/>
  <c r="G415" i="2"/>
  <c r="H415" i="2"/>
  <c r="I415" i="2"/>
  <c r="J415" i="2"/>
  <c r="K415" i="2"/>
  <c r="L415" i="2"/>
  <c r="M415" i="2"/>
  <c r="N415" i="2"/>
  <c r="O415" i="2"/>
  <c r="E416" i="2"/>
  <c r="F416" i="2"/>
  <c r="G416" i="2"/>
  <c r="H416" i="2"/>
  <c r="I416" i="2"/>
  <c r="J416" i="2"/>
  <c r="K416" i="2"/>
  <c r="L416" i="2"/>
  <c r="M416" i="2"/>
  <c r="N416" i="2"/>
  <c r="O416" i="2"/>
  <c r="E417" i="2"/>
  <c r="F417" i="2"/>
  <c r="G417" i="2"/>
  <c r="H417" i="2"/>
  <c r="I417" i="2"/>
  <c r="J417" i="2"/>
  <c r="K417" i="2"/>
  <c r="L417" i="2"/>
  <c r="M417" i="2"/>
  <c r="N417" i="2"/>
  <c r="O417" i="2"/>
  <c r="E418" i="2"/>
  <c r="F418" i="2"/>
  <c r="G418" i="2"/>
  <c r="H418" i="2"/>
  <c r="I418" i="2"/>
  <c r="J418" i="2"/>
  <c r="K418" i="2"/>
  <c r="L418" i="2"/>
  <c r="M418" i="2"/>
  <c r="N418" i="2"/>
  <c r="O418" i="2"/>
  <c r="E419" i="2"/>
  <c r="F419" i="2"/>
  <c r="G419" i="2"/>
  <c r="H419" i="2"/>
  <c r="I419" i="2"/>
  <c r="J419" i="2"/>
  <c r="K419" i="2"/>
  <c r="L419" i="2"/>
  <c r="M419" i="2"/>
  <c r="N419" i="2"/>
  <c r="O419" i="2"/>
  <c r="E420" i="2"/>
  <c r="F420" i="2"/>
  <c r="G420" i="2"/>
  <c r="H420" i="2"/>
  <c r="I420" i="2"/>
  <c r="J420" i="2"/>
  <c r="K420" i="2"/>
  <c r="L420" i="2"/>
  <c r="M420" i="2"/>
  <c r="N420" i="2"/>
  <c r="O420" i="2"/>
  <c r="E421" i="2"/>
  <c r="F421" i="2"/>
  <c r="G421" i="2"/>
  <c r="H421" i="2"/>
  <c r="I421" i="2"/>
  <c r="J421" i="2"/>
  <c r="K421" i="2"/>
  <c r="L421" i="2"/>
  <c r="M421" i="2"/>
  <c r="N421" i="2"/>
  <c r="O421" i="2"/>
  <c r="E422" i="2"/>
  <c r="F422" i="2"/>
  <c r="G422" i="2"/>
  <c r="H422" i="2"/>
  <c r="I422" i="2"/>
  <c r="J422" i="2"/>
  <c r="K422" i="2"/>
  <c r="L422" i="2"/>
  <c r="M422" i="2"/>
  <c r="N422" i="2"/>
  <c r="O422" i="2"/>
  <c r="E423" i="2"/>
  <c r="F423" i="2"/>
  <c r="G423" i="2"/>
  <c r="H423" i="2"/>
  <c r="I423" i="2"/>
  <c r="J423" i="2"/>
  <c r="K423" i="2"/>
  <c r="L423" i="2"/>
  <c r="M423" i="2"/>
  <c r="N423" i="2"/>
  <c r="O423" i="2"/>
  <c r="E424" i="2"/>
  <c r="F424" i="2"/>
  <c r="G424" i="2"/>
  <c r="H424" i="2"/>
  <c r="I424" i="2"/>
  <c r="J424" i="2"/>
  <c r="K424" i="2"/>
  <c r="L424" i="2"/>
  <c r="M424" i="2"/>
  <c r="N424" i="2"/>
  <c r="O424" i="2"/>
  <c r="E425" i="2"/>
  <c r="F425" i="2"/>
  <c r="G425" i="2"/>
  <c r="H425" i="2"/>
  <c r="I425" i="2"/>
  <c r="J425" i="2"/>
  <c r="K425" i="2"/>
  <c r="L425" i="2"/>
  <c r="M425" i="2"/>
  <c r="N425" i="2"/>
  <c r="O425" i="2"/>
  <c r="E426" i="2"/>
  <c r="F426" i="2"/>
  <c r="G426" i="2"/>
  <c r="H426" i="2"/>
  <c r="I426" i="2"/>
  <c r="J426" i="2"/>
  <c r="K426" i="2"/>
  <c r="L426" i="2"/>
  <c r="M426" i="2"/>
  <c r="N426" i="2"/>
  <c r="O426" i="2"/>
  <c r="E427" i="2"/>
  <c r="F427" i="2"/>
  <c r="G427" i="2"/>
  <c r="H427" i="2"/>
  <c r="I427" i="2"/>
  <c r="J427" i="2"/>
  <c r="K427" i="2"/>
  <c r="L427" i="2"/>
  <c r="M427" i="2"/>
  <c r="N427" i="2"/>
  <c r="O427" i="2"/>
  <c r="E428" i="2"/>
  <c r="F428" i="2"/>
  <c r="G428" i="2"/>
  <c r="H428" i="2"/>
  <c r="I428" i="2"/>
  <c r="J428" i="2"/>
  <c r="K428" i="2"/>
  <c r="L428" i="2"/>
  <c r="M428" i="2"/>
  <c r="N428" i="2"/>
  <c r="O428" i="2"/>
  <c r="E429" i="2"/>
  <c r="F429" i="2"/>
  <c r="G429" i="2"/>
  <c r="H429" i="2"/>
  <c r="I429" i="2"/>
  <c r="J429" i="2"/>
  <c r="K429" i="2"/>
  <c r="L429" i="2"/>
  <c r="M429" i="2"/>
  <c r="N429" i="2"/>
  <c r="O429" i="2"/>
  <c r="E430" i="2"/>
  <c r="F430" i="2"/>
  <c r="G430" i="2"/>
  <c r="H430" i="2"/>
  <c r="I430" i="2"/>
  <c r="J430" i="2"/>
  <c r="K430" i="2"/>
  <c r="L430" i="2"/>
  <c r="M430" i="2"/>
  <c r="N430" i="2"/>
  <c r="O430" i="2"/>
  <c r="E431" i="2"/>
  <c r="F431" i="2"/>
  <c r="G431" i="2"/>
  <c r="H431" i="2"/>
  <c r="I431" i="2"/>
  <c r="J431" i="2"/>
  <c r="K431" i="2"/>
  <c r="L431" i="2"/>
  <c r="M431" i="2"/>
  <c r="N431" i="2"/>
  <c r="O431" i="2"/>
  <c r="E432" i="2"/>
  <c r="F432" i="2"/>
  <c r="G432" i="2"/>
  <c r="H432" i="2"/>
  <c r="I432" i="2"/>
  <c r="J432" i="2"/>
  <c r="K432" i="2"/>
  <c r="L432" i="2"/>
  <c r="M432" i="2"/>
  <c r="N432" i="2"/>
  <c r="O432" i="2"/>
  <c r="E433" i="2"/>
  <c r="F433" i="2"/>
  <c r="G433" i="2"/>
  <c r="H433" i="2"/>
  <c r="I433" i="2"/>
  <c r="J433" i="2"/>
  <c r="K433" i="2"/>
  <c r="L433" i="2"/>
  <c r="M433" i="2"/>
  <c r="N433" i="2"/>
  <c r="O433" i="2"/>
  <c r="E434" i="2"/>
  <c r="F434" i="2"/>
  <c r="G434" i="2"/>
  <c r="H434" i="2"/>
  <c r="I434" i="2"/>
  <c r="J434" i="2"/>
  <c r="K434" i="2"/>
  <c r="L434" i="2"/>
  <c r="M434" i="2"/>
  <c r="N434" i="2"/>
  <c r="O434" i="2"/>
  <c r="E435" i="2"/>
  <c r="F435" i="2"/>
  <c r="G435" i="2"/>
  <c r="H435" i="2"/>
  <c r="I435" i="2"/>
  <c r="J435" i="2"/>
  <c r="K435" i="2"/>
  <c r="L435" i="2"/>
  <c r="M435" i="2"/>
  <c r="N435" i="2"/>
  <c r="O435" i="2"/>
  <c r="E436" i="2"/>
  <c r="F436" i="2"/>
  <c r="G436" i="2"/>
  <c r="H436" i="2"/>
  <c r="I436" i="2"/>
  <c r="J436" i="2"/>
  <c r="K436" i="2"/>
  <c r="L436" i="2"/>
  <c r="M436" i="2"/>
  <c r="N436" i="2"/>
  <c r="O436" i="2"/>
  <c r="E437" i="2"/>
  <c r="F437" i="2"/>
  <c r="G437" i="2"/>
  <c r="H437" i="2"/>
  <c r="I437" i="2"/>
  <c r="J437" i="2"/>
  <c r="K437" i="2"/>
  <c r="L437" i="2"/>
  <c r="M437" i="2"/>
  <c r="N437" i="2"/>
  <c r="O437" i="2"/>
  <c r="E438" i="2"/>
  <c r="F438" i="2"/>
  <c r="G438" i="2"/>
  <c r="H438" i="2"/>
  <c r="I438" i="2"/>
  <c r="J438" i="2"/>
  <c r="K438" i="2"/>
  <c r="L438" i="2"/>
  <c r="M438" i="2"/>
  <c r="N438" i="2"/>
  <c r="O438" i="2"/>
  <c r="E439" i="2"/>
  <c r="F439" i="2"/>
  <c r="G439" i="2"/>
  <c r="H439" i="2"/>
  <c r="I439" i="2"/>
  <c r="J439" i="2"/>
  <c r="K439" i="2"/>
  <c r="L439" i="2"/>
  <c r="M439" i="2"/>
  <c r="N439" i="2"/>
  <c r="O439" i="2"/>
  <c r="E440" i="2"/>
  <c r="F440" i="2"/>
  <c r="G440" i="2"/>
  <c r="H440" i="2"/>
  <c r="I440" i="2"/>
  <c r="J440" i="2"/>
  <c r="K440" i="2"/>
  <c r="L440" i="2"/>
  <c r="M440" i="2"/>
  <c r="N440" i="2"/>
  <c r="O440" i="2"/>
  <c r="E441" i="2"/>
  <c r="F441" i="2"/>
  <c r="G441" i="2"/>
  <c r="H441" i="2"/>
  <c r="I441" i="2"/>
  <c r="J441" i="2"/>
  <c r="K441" i="2"/>
  <c r="L441" i="2"/>
  <c r="M441" i="2"/>
  <c r="N441" i="2"/>
  <c r="O441" i="2"/>
  <c r="E442" i="2"/>
  <c r="F442" i="2"/>
  <c r="G442" i="2"/>
  <c r="H442" i="2"/>
  <c r="I442" i="2"/>
  <c r="J442" i="2"/>
  <c r="K442" i="2"/>
  <c r="L442" i="2"/>
  <c r="M442" i="2"/>
  <c r="N442" i="2"/>
  <c r="O442" i="2"/>
  <c r="E443" i="2"/>
  <c r="F443" i="2"/>
  <c r="G443" i="2"/>
  <c r="H443" i="2"/>
  <c r="I443" i="2"/>
  <c r="J443" i="2"/>
  <c r="K443" i="2"/>
  <c r="L443" i="2"/>
  <c r="M443" i="2"/>
  <c r="N443" i="2"/>
  <c r="O443" i="2"/>
  <c r="E444" i="2"/>
  <c r="F444" i="2"/>
  <c r="G444" i="2"/>
  <c r="H444" i="2"/>
  <c r="I444" i="2"/>
  <c r="J444" i="2"/>
  <c r="K444" i="2"/>
  <c r="L444" i="2"/>
  <c r="M444" i="2"/>
  <c r="N444" i="2"/>
  <c r="O444" i="2"/>
  <c r="E445" i="2"/>
  <c r="F445" i="2"/>
  <c r="G445" i="2"/>
  <c r="H445" i="2"/>
  <c r="I445" i="2"/>
  <c r="J445" i="2"/>
  <c r="K445" i="2"/>
  <c r="L445" i="2"/>
  <c r="M445" i="2"/>
  <c r="N445" i="2"/>
  <c r="O445" i="2"/>
  <c r="E446" i="2"/>
  <c r="F446" i="2"/>
  <c r="G446" i="2"/>
  <c r="H446" i="2"/>
  <c r="I446" i="2"/>
  <c r="J446" i="2"/>
  <c r="K446" i="2"/>
  <c r="L446" i="2"/>
  <c r="M446" i="2"/>
  <c r="N446" i="2"/>
  <c r="O446" i="2"/>
  <c r="E447" i="2"/>
  <c r="F447" i="2"/>
  <c r="G447" i="2"/>
  <c r="H447" i="2"/>
  <c r="I447" i="2"/>
  <c r="J447" i="2"/>
  <c r="K447" i="2"/>
  <c r="L447" i="2"/>
  <c r="M447" i="2"/>
  <c r="N447" i="2"/>
  <c r="O447" i="2"/>
  <c r="E448" i="2"/>
  <c r="F448" i="2"/>
  <c r="G448" i="2"/>
  <c r="H448" i="2"/>
  <c r="I448" i="2"/>
  <c r="J448" i="2"/>
  <c r="K448" i="2"/>
  <c r="L448" i="2"/>
  <c r="M448" i="2"/>
  <c r="N448" i="2"/>
  <c r="O448" i="2"/>
  <c r="E449" i="2"/>
  <c r="F449" i="2"/>
  <c r="G449" i="2"/>
  <c r="H449" i="2"/>
  <c r="I449" i="2"/>
  <c r="J449" i="2"/>
  <c r="K449" i="2"/>
  <c r="L449" i="2"/>
  <c r="M449" i="2"/>
  <c r="N449" i="2"/>
  <c r="O449" i="2"/>
  <c r="E450" i="2"/>
  <c r="F450" i="2"/>
  <c r="G450" i="2"/>
  <c r="H450" i="2"/>
  <c r="I450" i="2"/>
  <c r="J450" i="2"/>
  <c r="K450" i="2"/>
  <c r="L450" i="2"/>
  <c r="M450" i="2"/>
  <c r="N450" i="2"/>
  <c r="O450" i="2"/>
  <c r="E451" i="2"/>
  <c r="F451" i="2"/>
  <c r="G451" i="2"/>
  <c r="H451" i="2"/>
  <c r="I451" i="2"/>
  <c r="J451" i="2"/>
  <c r="K451" i="2"/>
  <c r="L451" i="2"/>
  <c r="M451" i="2"/>
  <c r="N451" i="2"/>
  <c r="O451" i="2"/>
  <c r="E452" i="2"/>
  <c r="F452" i="2"/>
  <c r="G452" i="2"/>
  <c r="H452" i="2"/>
  <c r="I452" i="2"/>
  <c r="J452" i="2"/>
  <c r="K452" i="2"/>
  <c r="L452" i="2"/>
  <c r="M452" i="2"/>
  <c r="N452" i="2"/>
  <c r="O452" i="2"/>
  <c r="E453" i="2"/>
  <c r="F453" i="2"/>
  <c r="G453" i="2"/>
  <c r="H453" i="2"/>
  <c r="I453" i="2"/>
  <c r="J453" i="2"/>
  <c r="K453" i="2"/>
  <c r="L453" i="2"/>
  <c r="M453" i="2"/>
  <c r="N453" i="2"/>
  <c r="O453" i="2"/>
  <c r="E454" i="2"/>
  <c r="F454" i="2"/>
  <c r="G454" i="2"/>
  <c r="H454" i="2"/>
  <c r="I454" i="2"/>
  <c r="J454" i="2"/>
  <c r="K454" i="2"/>
  <c r="L454" i="2"/>
  <c r="M454" i="2"/>
  <c r="N454" i="2"/>
  <c r="O454" i="2"/>
  <c r="E455" i="2"/>
  <c r="F455" i="2"/>
  <c r="G455" i="2"/>
  <c r="H455" i="2"/>
  <c r="I455" i="2"/>
  <c r="J455" i="2"/>
  <c r="K455" i="2"/>
  <c r="L455" i="2"/>
  <c r="M455" i="2"/>
  <c r="N455" i="2"/>
  <c r="O455" i="2"/>
  <c r="E456" i="2"/>
  <c r="F456" i="2"/>
  <c r="G456" i="2"/>
  <c r="H456" i="2"/>
  <c r="I456" i="2"/>
  <c r="J456" i="2"/>
  <c r="K456" i="2"/>
  <c r="L456" i="2"/>
  <c r="M456" i="2"/>
  <c r="N456" i="2"/>
  <c r="O456" i="2"/>
  <c r="E457" i="2"/>
  <c r="F457" i="2"/>
  <c r="G457" i="2"/>
  <c r="H457" i="2"/>
  <c r="I457" i="2"/>
  <c r="J457" i="2"/>
  <c r="K457" i="2"/>
  <c r="L457" i="2"/>
  <c r="M457" i="2"/>
  <c r="N457" i="2"/>
  <c r="O457" i="2"/>
  <c r="E458" i="2"/>
  <c r="F458" i="2"/>
  <c r="G458" i="2"/>
  <c r="H458" i="2"/>
  <c r="I458" i="2"/>
  <c r="J458" i="2"/>
  <c r="K458" i="2"/>
  <c r="L458" i="2"/>
  <c r="M458" i="2"/>
  <c r="N458" i="2"/>
  <c r="O458" i="2"/>
  <c r="E459" i="2"/>
  <c r="F459" i="2"/>
  <c r="G459" i="2"/>
  <c r="H459" i="2"/>
  <c r="I459" i="2"/>
  <c r="J459" i="2"/>
  <c r="K459" i="2"/>
  <c r="L459" i="2"/>
  <c r="M459" i="2"/>
  <c r="N459" i="2"/>
  <c r="O459" i="2"/>
  <c r="E460" i="2"/>
  <c r="F460" i="2"/>
  <c r="G460" i="2"/>
  <c r="H460" i="2"/>
  <c r="I460" i="2"/>
  <c r="J460" i="2"/>
  <c r="K460" i="2"/>
  <c r="L460" i="2"/>
  <c r="M460" i="2"/>
  <c r="N460" i="2"/>
  <c r="O460" i="2"/>
  <c r="E461" i="2"/>
  <c r="F461" i="2"/>
  <c r="G461" i="2"/>
  <c r="H461" i="2"/>
  <c r="I461" i="2"/>
  <c r="J461" i="2"/>
  <c r="K461" i="2"/>
  <c r="L461" i="2"/>
  <c r="M461" i="2"/>
  <c r="N461" i="2"/>
  <c r="O461" i="2"/>
  <c r="E462" i="2"/>
  <c r="F462" i="2"/>
  <c r="G462" i="2"/>
  <c r="H462" i="2"/>
  <c r="I462" i="2"/>
  <c r="J462" i="2"/>
  <c r="K462" i="2"/>
  <c r="L462" i="2"/>
  <c r="M462" i="2"/>
  <c r="N462" i="2"/>
  <c r="O462" i="2"/>
  <c r="E463" i="2"/>
  <c r="F463" i="2"/>
  <c r="G463" i="2"/>
  <c r="H463" i="2"/>
  <c r="I463" i="2"/>
  <c r="J463" i="2"/>
  <c r="K463" i="2"/>
  <c r="L463" i="2"/>
  <c r="M463" i="2"/>
  <c r="N463" i="2"/>
  <c r="O463" i="2"/>
  <c r="E464" i="2"/>
  <c r="F464" i="2"/>
  <c r="G464" i="2"/>
  <c r="H464" i="2"/>
  <c r="I464" i="2"/>
  <c r="J464" i="2"/>
  <c r="K464" i="2"/>
  <c r="L464" i="2"/>
  <c r="M464" i="2"/>
  <c r="N464" i="2"/>
  <c r="O464" i="2"/>
  <c r="E465" i="2"/>
  <c r="F465" i="2"/>
  <c r="G465" i="2"/>
  <c r="H465" i="2"/>
  <c r="I465" i="2"/>
  <c r="J465" i="2"/>
  <c r="K465" i="2"/>
  <c r="L465" i="2"/>
  <c r="M465" i="2"/>
  <c r="N465" i="2"/>
  <c r="O465" i="2"/>
  <c r="E466" i="2"/>
  <c r="F466" i="2"/>
  <c r="G466" i="2"/>
  <c r="H466" i="2"/>
  <c r="I466" i="2"/>
  <c r="J466" i="2"/>
  <c r="K466" i="2"/>
  <c r="L466" i="2"/>
  <c r="M466" i="2"/>
  <c r="N466" i="2"/>
  <c r="O466" i="2"/>
  <c r="E467" i="2"/>
  <c r="F467" i="2"/>
  <c r="G467" i="2"/>
  <c r="H467" i="2"/>
  <c r="I467" i="2"/>
  <c r="J467" i="2"/>
  <c r="K467" i="2"/>
  <c r="L467" i="2"/>
  <c r="M467" i="2"/>
  <c r="N467" i="2"/>
  <c r="O467" i="2"/>
  <c r="E468" i="2"/>
  <c r="F468" i="2"/>
  <c r="G468" i="2"/>
  <c r="H468" i="2"/>
  <c r="I468" i="2"/>
  <c r="J468" i="2"/>
  <c r="K468" i="2"/>
  <c r="L468" i="2"/>
  <c r="M468" i="2"/>
  <c r="N468" i="2"/>
  <c r="O468" i="2"/>
  <c r="E469" i="2"/>
  <c r="F469" i="2"/>
  <c r="G469" i="2"/>
  <c r="H469" i="2"/>
  <c r="I469" i="2"/>
  <c r="J469" i="2"/>
  <c r="K469" i="2"/>
  <c r="L469" i="2"/>
  <c r="M469" i="2"/>
  <c r="N469" i="2"/>
  <c r="O469" i="2"/>
  <c r="E470" i="2"/>
  <c r="F470" i="2"/>
  <c r="G470" i="2"/>
  <c r="H470" i="2"/>
  <c r="I470" i="2"/>
  <c r="J470" i="2"/>
  <c r="K470" i="2"/>
  <c r="L470" i="2"/>
  <c r="M470" i="2"/>
  <c r="N470" i="2"/>
  <c r="O470" i="2"/>
  <c r="E471" i="2"/>
  <c r="F471" i="2"/>
  <c r="G471" i="2"/>
  <c r="H471" i="2"/>
  <c r="I471" i="2"/>
  <c r="J471" i="2"/>
  <c r="K471" i="2"/>
  <c r="L471" i="2"/>
  <c r="M471" i="2"/>
  <c r="N471" i="2"/>
  <c r="O471" i="2"/>
  <c r="E472" i="2"/>
  <c r="F472" i="2"/>
  <c r="G472" i="2"/>
  <c r="H472" i="2"/>
  <c r="I472" i="2"/>
  <c r="J472" i="2"/>
  <c r="K472" i="2"/>
  <c r="L472" i="2"/>
  <c r="M472" i="2"/>
  <c r="N472" i="2"/>
  <c r="O472" i="2"/>
  <c r="E473" i="2"/>
  <c r="F473" i="2"/>
  <c r="G473" i="2"/>
  <c r="H473" i="2"/>
  <c r="I473" i="2"/>
  <c r="J473" i="2"/>
  <c r="K473" i="2"/>
  <c r="L473" i="2"/>
  <c r="M473" i="2"/>
  <c r="N473" i="2"/>
  <c r="O473" i="2"/>
  <c r="E474" i="2"/>
  <c r="F474" i="2"/>
  <c r="G474" i="2"/>
  <c r="H474" i="2"/>
  <c r="I474" i="2"/>
  <c r="J474" i="2"/>
  <c r="K474" i="2"/>
  <c r="L474" i="2"/>
  <c r="M474" i="2"/>
  <c r="N474" i="2"/>
  <c r="O474" i="2"/>
  <c r="E475" i="2"/>
  <c r="F475" i="2"/>
  <c r="G475" i="2"/>
  <c r="H475" i="2"/>
  <c r="I475" i="2"/>
  <c r="J475" i="2"/>
  <c r="K475" i="2"/>
  <c r="L475" i="2"/>
  <c r="M475" i="2"/>
  <c r="N475" i="2"/>
  <c r="O475" i="2"/>
  <c r="E476" i="2"/>
  <c r="F476" i="2"/>
  <c r="G476" i="2"/>
  <c r="H476" i="2"/>
  <c r="I476" i="2"/>
  <c r="J476" i="2"/>
  <c r="K476" i="2"/>
  <c r="L476" i="2"/>
  <c r="M476" i="2"/>
  <c r="N476" i="2"/>
  <c r="O476" i="2"/>
  <c r="E477" i="2"/>
  <c r="F477" i="2"/>
  <c r="G477" i="2"/>
  <c r="H477" i="2"/>
  <c r="I477" i="2"/>
  <c r="J477" i="2"/>
  <c r="K477" i="2"/>
  <c r="L477" i="2"/>
  <c r="M477" i="2"/>
  <c r="N477" i="2"/>
  <c r="O477" i="2"/>
  <c r="E478" i="2"/>
  <c r="F478" i="2"/>
  <c r="G478" i="2"/>
  <c r="H478" i="2"/>
  <c r="I478" i="2"/>
  <c r="J478" i="2"/>
  <c r="K478" i="2"/>
  <c r="L478" i="2"/>
  <c r="M478" i="2"/>
  <c r="N478" i="2"/>
  <c r="O478" i="2"/>
  <c r="E479" i="2"/>
  <c r="F479" i="2"/>
  <c r="G479" i="2"/>
  <c r="H479" i="2"/>
  <c r="I479" i="2"/>
  <c r="J479" i="2"/>
  <c r="K479" i="2"/>
  <c r="L479" i="2"/>
  <c r="M479" i="2"/>
  <c r="N479" i="2"/>
  <c r="O479" i="2"/>
  <c r="E480" i="2"/>
  <c r="F480" i="2"/>
  <c r="G480" i="2"/>
  <c r="H480" i="2"/>
  <c r="I480" i="2"/>
  <c r="J480" i="2"/>
  <c r="K480" i="2"/>
  <c r="L480" i="2"/>
  <c r="M480" i="2"/>
  <c r="N480" i="2"/>
  <c r="O480" i="2"/>
  <c r="E481" i="2"/>
  <c r="F481" i="2"/>
  <c r="G481" i="2"/>
  <c r="H481" i="2"/>
  <c r="I481" i="2"/>
  <c r="J481" i="2"/>
  <c r="K481" i="2"/>
  <c r="L481" i="2"/>
  <c r="M481" i="2"/>
  <c r="N481" i="2"/>
  <c r="O481" i="2"/>
  <c r="E482" i="2"/>
  <c r="F482" i="2"/>
  <c r="G482" i="2"/>
  <c r="H482" i="2"/>
  <c r="I482" i="2"/>
  <c r="J482" i="2"/>
  <c r="K482" i="2"/>
  <c r="L482" i="2"/>
  <c r="M482" i="2"/>
  <c r="N482" i="2"/>
  <c r="O482" i="2"/>
  <c r="E483" i="2"/>
  <c r="F483" i="2"/>
  <c r="G483" i="2"/>
  <c r="H483" i="2"/>
  <c r="I483" i="2"/>
  <c r="J483" i="2"/>
  <c r="K483" i="2"/>
  <c r="L483" i="2"/>
  <c r="M483" i="2"/>
  <c r="N483" i="2"/>
  <c r="O483" i="2"/>
  <c r="E484" i="2"/>
  <c r="F484" i="2"/>
  <c r="G484" i="2"/>
  <c r="H484" i="2"/>
  <c r="I484" i="2"/>
  <c r="J484" i="2"/>
  <c r="K484" i="2"/>
  <c r="L484" i="2"/>
  <c r="M484" i="2"/>
  <c r="N484" i="2"/>
  <c r="O484" i="2"/>
  <c r="E485" i="2"/>
  <c r="F485" i="2"/>
  <c r="G485" i="2"/>
  <c r="H485" i="2"/>
  <c r="I485" i="2"/>
  <c r="J485" i="2"/>
  <c r="K485" i="2"/>
  <c r="L485" i="2"/>
  <c r="M485" i="2"/>
  <c r="N485" i="2"/>
  <c r="O485" i="2"/>
  <c r="E486" i="2"/>
  <c r="F486" i="2"/>
  <c r="G486" i="2"/>
  <c r="H486" i="2"/>
  <c r="I486" i="2"/>
  <c r="J486" i="2"/>
  <c r="K486" i="2"/>
  <c r="L486" i="2"/>
  <c r="M486" i="2"/>
  <c r="N486" i="2"/>
  <c r="O486" i="2"/>
  <c r="E487" i="2"/>
  <c r="F487" i="2"/>
  <c r="G487" i="2"/>
  <c r="H487" i="2"/>
  <c r="I487" i="2"/>
  <c r="J487" i="2"/>
  <c r="K487" i="2"/>
  <c r="L487" i="2"/>
  <c r="M487" i="2"/>
  <c r="N487" i="2"/>
  <c r="O487" i="2"/>
  <c r="E488" i="2"/>
  <c r="F488" i="2"/>
  <c r="G488" i="2"/>
  <c r="H488" i="2"/>
  <c r="I488" i="2"/>
  <c r="J488" i="2"/>
  <c r="K488" i="2"/>
  <c r="L488" i="2"/>
  <c r="M488" i="2"/>
  <c r="N488" i="2"/>
  <c r="O488" i="2"/>
  <c r="E489" i="2"/>
  <c r="F489" i="2"/>
  <c r="G489" i="2"/>
  <c r="H489" i="2"/>
  <c r="I489" i="2"/>
  <c r="J489" i="2"/>
  <c r="K489" i="2"/>
  <c r="L489" i="2"/>
  <c r="M489" i="2"/>
  <c r="N489" i="2"/>
  <c r="O489" i="2"/>
  <c r="E490" i="2"/>
  <c r="F490" i="2"/>
  <c r="G490" i="2"/>
  <c r="H490" i="2"/>
  <c r="I490" i="2"/>
  <c r="J490" i="2"/>
  <c r="K490" i="2"/>
  <c r="L490" i="2"/>
  <c r="M490" i="2"/>
  <c r="N490" i="2"/>
  <c r="O490" i="2"/>
  <c r="E491" i="2"/>
  <c r="F491" i="2"/>
  <c r="G491" i="2"/>
  <c r="H491" i="2"/>
  <c r="I491" i="2"/>
  <c r="J491" i="2"/>
  <c r="K491" i="2"/>
  <c r="L491" i="2"/>
  <c r="M491" i="2"/>
  <c r="N491" i="2"/>
  <c r="O491" i="2"/>
  <c r="E492" i="2"/>
  <c r="F492" i="2"/>
  <c r="G492" i="2"/>
  <c r="H492" i="2"/>
  <c r="I492" i="2"/>
  <c r="J492" i="2"/>
  <c r="K492" i="2"/>
  <c r="L492" i="2"/>
  <c r="M492" i="2"/>
  <c r="N492" i="2"/>
  <c r="O492" i="2"/>
  <c r="E493" i="2"/>
  <c r="F493" i="2"/>
  <c r="G493" i="2"/>
  <c r="H493" i="2"/>
  <c r="I493" i="2"/>
  <c r="J493" i="2"/>
  <c r="K493" i="2"/>
  <c r="L493" i="2"/>
  <c r="M493" i="2"/>
  <c r="N493" i="2"/>
  <c r="O493" i="2"/>
  <c r="E494" i="2"/>
  <c r="F494" i="2"/>
  <c r="G494" i="2"/>
  <c r="H494" i="2"/>
  <c r="I494" i="2"/>
  <c r="J494" i="2"/>
  <c r="K494" i="2"/>
  <c r="L494" i="2"/>
  <c r="M494" i="2"/>
  <c r="N494" i="2"/>
  <c r="O494" i="2"/>
  <c r="E495" i="2"/>
  <c r="F495" i="2"/>
  <c r="G495" i="2"/>
  <c r="H495" i="2"/>
  <c r="I495" i="2"/>
  <c r="J495" i="2"/>
  <c r="K495" i="2"/>
  <c r="L495" i="2"/>
  <c r="M495" i="2"/>
  <c r="N495" i="2"/>
  <c r="O495" i="2"/>
  <c r="E496" i="2"/>
  <c r="F496" i="2"/>
  <c r="G496" i="2"/>
  <c r="H496" i="2"/>
  <c r="I496" i="2"/>
  <c r="J496" i="2"/>
  <c r="K496" i="2"/>
  <c r="L496" i="2"/>
  <c r="M496" i="2"/>
  <c r="N496" i="2"/>
  <c r="O496" i="2"/>
  <c r="E497" i="2"/>
  <c r="F497" i="2"/>
  <c r="G497" i="2"/>
  <c r="H497" i="2"/>
  <c r="I497" i="2"/>
  <c r="J497" i="2"/>
  <c r="K497" i="2"/>
  <c r="L497" i="2"/>
  <c r="M497" i="2"/>
  <c r="N497" i="2"/>
  <c r="O497" i="2"/>
  <c r="E498" i="2"/>
  <c r="F498" i="2"/>
  <c r="G498" i="2"/>
  <c r="H498" i="2"/>
  <c r="I498" i="2"/>
  <c r="J498" i="2"/>
  <c r="K498" i="2"/>
  <c r="L498" i="2"/>
  <c r="M498" i="2"/>
  <c r="N498" i="2"/>
  <c r="O498" i="2"/>
  <c r="E499" i="2"/>
  <c r="F499" i="2"/>
  <c r="G499" i="2"/>
  <c r="H499" i="2"/>
  <c r="I499" i="2"/>
  <c r="J499" i="2"/>
  <c r="K499" i="2"/>
  <c r="L499" i="2"/>
  <c r="M499" i="2"/>
  <c r="N499" i="2"/>
  <c r="O499" i="2"/>
  <c r="E500" i="2"/>
  <c r="F500" i="2"/>
  <c r="G500" i="2"/>
  <c r="H500" i="2"/>
  <c r="I500" i="2"/>
  <c r="J500" i="2"/>
  <c r="K500" i="2"/>
  <c r="L500" i="2"/>
  <c r="M500" i="2"/>
  <c r="N500" i="2"/>
  <c r="O500" i="2"/>
  <c r="E501" i="2"/>
  <c r="F501" i="2"/>
  <c r="G501" i="2"/>
  <c r="H501" i="2"/>
  <c r="I501" i="2"/>
  <c r="J501" i="2"/>
  <c r="K501" i="2"/>
  <c r="L501" i="2"/>
  <c r="M501" i="2"/>
  <c r="N501" i="2"/>
  <c r="O501" i="2"/>
  <c r="E502" i="2"/>
  <c r="F502" i="2"/>
  <c r="G502" i="2"/>
  <c r="H502" i="2"/>
  <c r="I502" i="2"/>
  <c r="J502" i="2"/>
  <c r="K502" i="2"/>
  <c r="L502" i="2"/>
  <c r="M502" i="2"/>
  <c r="N502" i="2"/>
  <c r="O502" i="2"/>
  <c r="E503" i="2"/>
  <c r="F503" i="2"/>
  <c r="G503" i="2"/>
  <c r="H503" i="2"/>
  <c r="I503" i="2"/>
  <c r="J503" i="2"/>
  <c r="K503" i="2"/>
  <c r="L503" i="2"/>
  <c r="M503" i="2"/>
  <c r="N503" i="2"/>
  <c r="O503" i="2"/>
  <c r="E504" i="2"/>
  <c r="F504" i="2"/>
  <c r="G504" i="2"/>
  <c r="H504" i="2"/>
  <c r="I504" i="2"/>
  <c r="J504" i="2"/>
  <c r="K504" i="2"/>
  <c r="L504" i="2"/>
  <c r="M504" i="2"/>
  <c r="N504" i="2"/>
  <c r="O504" i="2"/>
  <c r="E505" i="2"/>
  <c r="F505" i="2"/>
  <c r="G505" i="2"/>
  <c r="H505" i="2"/>
  <c r="I505" i="2"/>
  <c r="J505" i="2"/>
  <c r="K505" i="2"/>
  <c r="L505" i="2"/>
  <c r="M505" i="2"/>
  <c r="N505" i="2"/>
  <c r="O505" i="2"/>
  <c r="E506" i="2"/>
  <c r="F506" i="2"/>
  <c r="G506" i="2"/>
  <c r="H506" i="2"/>
  <c r="I506" i="2"/>
  <c r="J506" i="2"/>
  <c r="K506" i="2"/>
  <c r="L506" i="2"/>
  <c r="M506" i="2"/>
  <c r="N506" i="2"/>
  <c r="O506" i="2"/>
  <c r="E507" i="2"/>
  <c r="F507" i="2"/>
  <c r="G507" i="2"/>
  <c r="H507" i="2"/>
  <c r="I507" i="2"/>
  <c r="J507" i="2"/>
  <c r="K507" i="2"/>
  <c r="L507" i="2"/>
  <c r="M507" i="2"/>
  <c r="N507" i="2"/>
  <c r="O507" i="2"/>
  <c r="E508" i="2"/>
  <c r="F508" i="2"/>
  <c r="G508" i="2"/>
  <c r="H508" i="2"/>
  <c r="I508" i="2"/>
  <c r="J508" i="2"/>
  <c r="K508" i="2"/>
  <c r="L508" i="2"/>
  <c r="M508" i="2"/>
  <c r="N508" i="2"/>
  <c r="O508" i="2"/>
  <c r="E509" i="2"/>
  <c r="F509" i="2"/>
  <c r="G509" i="2"/>
  <c r="H509" i="2"/>
  <c r="I509" i="2"/>
  <c r="J509" i="2"/>
  <c r="K509" i="2"/>
  <c r="L509" i="2"/>
  <c r="M509" i="2"/>
  <c r="N509" i="2"/>
  <c r="O509" i="2"/>
  <c r="E510" i="2"/>
  <c r="F510" i="2"/>
  <c r="G510" i="2"/>
  <c r="H510" i="2"/>
  <c r="I510" i="2"/>
  <c r="J510" i="2"/>
  <c r="K510" i="2"/>
  <c r="L510" i="2"/>
  <c r="M510" i="2"/>
  <c r="N510" i="2"/>
  <c r="O510" i="2"/>
  <c r="E511" i="2"/>
  <c r="F511" i="2"/>
  <c r="G511" i="2"/>
  <c r="H511" i="2"/>
  <c r="I511" i="2"/>
  <c r="J511" i="2"/>
  <c r="K511" i="2"/>
  <c r="L511" i="2"/>
  <c r="M511" i="2"/>
  <c r="N511" i="2"/>
  <c r="O511" i="2"/>
  <c r="E512" i="2"/>
  <c r="F512" i="2"/>
  <c r="G512" i="2"/>
  <c r="H512" i="2"/>
  <c r="I512" i="2"/>
  <c r="J512" i="2"/>
  <c r="K512" i="2"/>
  <c r="L512" i="2"/>
  <c r="M512" i="2"/>
  <c r="N512" i="2"/>
  <c r="O512" i="2"/>
  <c r="E513" i="2"/>
  <c r="F513" i="2"/>
  <c r="G513" i="2"/>
  <c r="H513" i="2"/>
  <c r="I513" i="2"/>
  <c r="J513" i="2"/>
  <c r="K513" i="2"/>
  <c r="L513" i="2"/>
  <c r="M513" i="2"/>
  <c r="N513" i="2"/>
  <c r="O513" i="2"/>
  <c r="E514" i="2"/>
  <c r="F514" i="2"/>
  <c r="G514" i="2"/>
  <c r="H514" i="2"/>
  <c r="I514" i="2"/>
  <c r="J514" i="2"/>
  <c r="K514" i="2"/>
  <c r="L514" i="2"/>
  <c r="M514" i="2"/>
  <c r="N514" i="2"/>
  <c r="O514" i="2"/>
  <c r="E515" i="2"/>
  <c r="F515" i="2"/>
  <c r="G515" i="2"/>
  <c r="H515" i="2"/>
  <c r="I515" i="2"/>
  <c r="J515" i="2"/>
  <c r="K515" i="2"/>
  <c r="L515" i="2"/>
  <c r="M515" i="2"/>
  <c r="N515" i="2"/>
  <c r="O515" i="2"/>
  <c r="E516" i="2"/>
  <c r="F516" i="2"/>
  <c r="G516" i="2"/>
  <c r="H516" i="2"/>
  <c r="I516" i="2"/>
  <c r="J516" i="2"/>
  <c r="K516" i="2"/>
  <c r="L516" i="2"/>
  <c r="M516" i="2"/>
  <c r="N516" i="2"/>
  <c r="O516" i="2"/>
  <c r="E517" i="2"/>
  <c r="F517" i="2"/>
  <c r="G517" i="2"/>
  <c r="H517" i="2"/>
  <c r="I517" i="2"/>
  <c r="J517" i="2"/>
  <c r="K517" i="2"/>
  <c r="L517" i="2"/>
  <c r="M517" i="2"/>
  <c r="N517" i="2"/>
  <c r="O517" i="2"/>
  <c r="E518" i="2"/>
  <c r="F518" i="2"/>
  <c r="G518" i="2"/>
  <c r="H518" i="2"/>
  <c r="I518" i="2"/>
  <c r="J518" i="2"/>
  <c r="K518" i="2"/>
  <c r="L518" i="2"/>
  <c r="M518" i="2"/>
  <c r="N518" i="2"/>
  <c r="O518" i="2"/>
  <c r="E519" i="2"/>
  <c r="F519" i="2"/>
  <c r="G519" i="2"/>
  <c r="H519" i="2"/>
  <c r="I519" i="2"/>
  <c r="J519" i="2"/>
  <c r="K519" i="2"/>
  <c r="L519" i="2"/>
  <c r="M519" i="2"/>
  <c r="N519" i="2"/>
  <c r="O519" i="2"/>
  <c r="E520" i="2"/>
  <c r="F520" i="2"/>
  <c r="G520" i="2"/>
  <c r="H520" i="2"/>
  <c r="I520" i="2"/>
  <c r="J520" i="2"/>
  <c r="K520" i="2"/>
  <c r="L520" i="2"/>
  <c r="M520" i="2"/>
  <c r="N520" i="2"/>
  <c r="O520" i="2"/>
  <c r="E521" i="2"/>
  <c r="F521" i="2"/>
  <c r="G521" i="2"/>
  <c r="H521" i="2"/>
  <c r="I521" i="2"/>
  <c r="J521" i="2"/>
  <c r="K521" i="2"/>
  <c r="L521" i="2"/>
  <c r="M521" i="2"/>
  <c r="N521" i="2"/>
  <c r="O521" i="2"/>
  <c r="E522" i="2"/>
  <c r="F522" i="2"/>
  <c r="G522" i="2"/>
  <c r="H522" i="2"/>
  <c r="I522" i="2"/>
  <c r="J522" i="2"/>
  <c r="K522" i="2"/>
  <c r="L522" i="2"/>
  <c r="M522" i="2"/>
  <c r="N522" i="2"/>
  <c r="O522" i="2"/>
  <c r="E523" i="2"/>
  <c r="F523" i="2"/>
  <c r="G523" i="2"/>
  <c r="H523" i="2"/>
  <c r="I523" i="2"/>
  <c r="J523" i="2"/>
  <c r="K523" i="2"/>
  <c r="L523" i="2"/>
  <c r="M523" i="2"/>
  <c r="N523" i="2"/>
  <c r="O523" i="2"/>
  <c r="E524" i="2"/>
  <c r="F524" i="2"/>
  <c r="G524" i="2"/>
  <c r="H524" i="2"/>
  <c r="I524" i="2"/>
  <c r="J524" i="2"/>
  <c r="K524" i="2"/>
  <c r="L524" i="2"/>
  <c r="M524" i="2"/>
  <c r="N524" i="2"/>
  <c r="O524" i="2"/>
  <c r="E525" i="2"/>
  <c r="F525" i="2"/>
  <c r="G525" i="2"/>
  <c r="H525" i="2"/>
  <c r="I525" i="2"/>
  <c r="J525" i="2"/>
  <c r="K525" i="2"/>
  <c r="L525" i="2"/>
  <c r="M525" i="2"/>
  <c r="N525" i="2"/>
  <c r="O525" i="2"/>
  <c r="E526" i="2"/>
  <c r="F526" i="2"/>
  <c r="G526" i="2"/>
  <c r="H526" i="2"/>
  <c r="I526" i="2"/>
  <c r="J526" i="2"/>
  <c r="K526" i="2"/>
  <c r="L526" i="2"/>
  <c r="M526" i="2"/>
  <c r="N526" i="2"/>
  <c r="O526" i="2"/>
  <c r="E527" i="2"/>
  <c r="F527" i="2"/>
  <c r="G527" i="2"/>
  <c r="H527" i="2"/>
  <c r="I527" i="2"/>
  <c r="J527" i="2"/>
  <c r="K527" i="2"/>
  <c r="L527" i="2"/>
  <c r="M527" i="2"/>
  <c r="N527" i="2"/>
  <c r="O527" i="2"/>
  <c r="E528" i="2"/>
  <c r="F528" i="2"/>
  <c r="G528" i="2"/>
  <c r="H528" i="2"/>
  <c r="I528" i="2"/>
  <c r="J528" i="2"/>
  <c r="K528" i="2"/>
  <c r="L528" i="2"/>
  <c r="M528" i="2"/>
  <c r="N528" i="2"/>
  <c r="O528" i="2"/>
  <c r="E529" i="2"/>
  <c r="F529" i="2"/>
  <c r="G529" i="2"/>
  <c r="H529" i="2"/>
  <c r="I529" i="2"/>
  <c r="J529" i="2"/>
  <c r="K529" i="2"/>
  <c r="L529" i="2"/>
  <c r="M529" i="2"/>
  <c r="N529" i="2"/>
  <c r="O529" i="2"/>
  <c r="E530" i="2"/>
  <c r="F530" i="2"/>
  <c r="G530" i="2"/>
  <c r="H530" i="2"/>
  <c r="I530" i="2"/>
  <c r="J530" i="2"/>
  <c r="K530" i="2"/>
  <c r="L530" i="2"/>
  <c r="M530" i="2"/>
  <c r="N530" i="2"/>
  <c r="O530" i="2"/>
  <c r="E531" i="2"/>
  <c r="F531" i="2"/>
  <c r="G531" i="2"/>
  <c r="H531" i="2"/>
  <c r="I531" i="2"/>
  <c r="J531" i="2"/>
  <c r="K531" i="2"/>
  <c r="L531" i="2"/>
  <c r="M531" i="2"/>
  <c r="N531" i="2"/>
  <c r="O531" i="2"/>
  <c r="E532" i="2"/>
  <c r="F532" i="2"/>
  <c r="G532" i="2"/>
  <c r="H532" i="2"/>
  <c r="I532" i="2"/>
  <c r="J532" i="2"/>
  <c r="K532" i="2"/>
  <c r="L532" i="2"/>
  <c r="M532" i="2"/>
  <c r="N532" i="2"/>
  <c r="O532" i="2"/>
  <c r="E533" i="2"/>
  <c r="F533" i="2"/>
  <c r="G533" i="2"/>
  <c r="H533" i="2"/>
  <c r="I533" i="2"/>
  <c r="J533" i="2"/>
  <c r="K533" i="2"/>
  <c r="L533" i="2"/>
  <c r="M533" i="2"/>
  <c r="N533" i="2"/>
  <c r="O533" i="2"/>
  <c r="E534" i="2"/>
  <c r="F534" i="2"/>
  <c r="G534" i="2"/>
  <c r="H534" i="2"/>
  <c r="I534" i="2"/>
  <c r="J534" i="2"/>
  <c r="K534" i="2"/>
  <c r="L534" i="2"/>
  <c r="M534" i="2"/>
  <c r="N534" i="2"/>
  <c r="O534" i="2"/>
  <c r="E535" i="2"/>
  <c r="F535" i="2"/>
  <c r="G535" i="2"/>
  <c r="H535" i="2"/>
  <c r="I535" i="2"/>
  <c r="J535" i="2"/>
  <c r="K535" i="2"/>
  <c r="L535" i="2"/>
  <c r="M535" i="2"/>
  <c r="N535" i="2"/>
  <c r="O535" i="2"/>
  <c r="E536" i="2"/>
  <c r="F536" i="2"/>
  <c r="G536" i="2"/>
  <c r="H536" i="2"/>
  <c r="I536" i="2"/>
  <c r="J536" i="2"/>
  <c r="K536" i="2"/>
  <c r="L536" i="2"/>
  <c r="M536" i="2"/>
  <c r="N536" i="2"/>
  <c r="O536" i="2"/>
  <c r="E537" i="2"/>
  <c r="F537" i="2"/>
  <c r="G537" i="2"/>
  <c r="H537" i="2"/>
  <c r="I537" i="2"/>
  <c r="J537" i="2"/>
  <c r="K537" i="2"/>
  <c r="L537" i="2"/>
  <c r="M537" i="2"/>
  <c r="N537" i="2"/>
  <c r="O537" i="2"/>
  <c r="E538" i="2"/>
  <c r="F538" i="2"/>
  <c r="G538" i="2"/>
  <c r="H538" i="2"/>
  <c r="I538" i="2"/>
  <c r="J538" i="2"/>
  <c r="K538" i="2"/>
  <c r="L538" i="2"/>
  <c r="M538" i="2"/>
  <c r="N538" i="2"/>
  <c r="O538" i="2"/>
  <c r="E539" i="2"/>
  <c r="F539" i="2"/>
  <c r="G539" i="2"/>
  <c r="H539" i="2"/>
  <c r="I539" i="2"/>
  <c r="J539" i="2"/>
  <c r="K539" i="2"/>
  <c r="L539" i="2"/>
  <c r="M539" i="2"/>
  <c r="N539" i="2"/>
  <c r="O539" i="2"/>
  <c r="E540" i="2"/>
  <c r="F540" i="2"/>
  <c r="G540" i="2"/>
  <c r="H540" i="2"/>
  <c r="I540" i="2"/>
  <c r="J540" i="2"/>
  <c r="K540" i="2"/>
  <c r="L540" i="2"/>
  <c r="M540" i="2"/>
  <c r="N540" i="2"/>
  <c r="O540" i="2"/>
  <c r="E541" i="2"/>
  <c r="F541" i="2"/>
  <c r="G541" i="2"/>
  <c r="H541" i="2"/>
  <c r="I541" i="2"/>
  <c r="J541" i="2"/>
  <c r="K541" i="2"/>
  <c r="L541" i="2"/>
  <c r="M541" i="2"/>
  <c r="N541" i="2"/>
  <c r="O541" i="2"/>
  <c r="E542" i="2"/>
  <c r="F542" i="2"/>
  <c r="G542" i="2"/>
  <c r="H542" i="2"/>
  <c r="I542" i="2"/>
  <c r="J542" i="2"/>
  <c r="K542" i="2"/>
  <c r="L542" i="2"/>
  <c r="M542" i="2"/>
  <c r="N542" i="2"/>
  <c r="O542" i="2"/>
  <c r="E543" i="2"/>
  <c r="F543" i="2"/>
  <c r="G543" i="2"/>
  <c r="H543" i="2"/>
  <c r="I543" i="2"/>
  <c r="J543" i="2"/>
  <c r="K543" i="2"/>
  <c r="L543" i="2"/>
  <c r="M543" i="2"/>
  <c r="N543" i="2"/>
  <c r="O543" i="2"/>
  <c r="E544" i="2"/>
  <c r="F544" i="2"/>
  <c r="G544" i="2"/>
  <c r="H544" i="2"/>
  <c r="I544" i="2"/>
  <c r="J544" i="2"/>
  <c r="K544" i="2"/>
  <c r="L544" i="2"/>
  <c r="M544" i="2"/>
  <c r="N544" i="2"/>
  <c r="O544" i="2"/>
  <c r="E545" i="2"/>
  <c r="F545" i="2"/>
  <c r="G545" i="2"/>
  <c r="H545" i="2"/>
  <c r="I545" i="2"/>
  <c r="J545" i="2"/>
  <c r="K545" i="2"/>
  <c r="L545" i="2"/>
  <c r="M545" i="2"/>
  <c r="N545" i="2"/>
  <c r="O545" i="2"/>
  <c r="E546" i="2"/>
  <c r="F546" i="2"/>
  <c r="G546" i="2"/>
  <c r="H546" i="2"/>
  <c r="I546" i="2"/>
  <c r="J546" i="2"/>
  <c r="K546" i="2"/>
  <c r="L546" i="2"/>
  <c r="M546" i="2"/>
  <c r="N546" i="2"/>
  <c r="O546" i="2"/>
  <c r="E547" i="2"/>
  <c r="F547" i="2"/>
  <c r="G547" i="2"/>
  <c r="H547" i="2"/>
  <c r="I547" i="2"/>
  <c r="J547" i="2"/>
  <c r="K547" i="2"/>
  <c r="L547" i="2"/>
  <c r="M547" i="2"/>
  <c r="N547" i="2"/>
  <c r="O547" i="2"/>
  <c r="E548" i="2"/>
  <c r="F548" i="2"/>
  <c r="G548" i="2"/>
  <c r="H548" i="2"/>
  <c r="I548" i="2"/>
  <c r="J548" i="2"/>
  <c r="K548" i="2"/>
  <c r="L548" i="2"/>
  <c r="M548" i="2"/>
  <c r="N548" i="2"/>
  <c r="O548" i="2"/>
  <c r="E549" i="2"/>
  <c r="F549" i="2"/>
  <c r="G549" i="2"/>
  <c r="H549" i="2"/>
  <c r="I549" i="2"/>
  <c r="J549" i="2"/>
  <c r="K549" i="2"/>
  <c r="L549" i="2"/>
  <c r="M549" i="2"/>
  <c r="N549" i="2"/>
  <c r="O549" i="2"/>
  <c r="E550" i="2"/>
  <c r="F550" i="2"/>
  <c r="G550" i="2"/>
  <c r="H550" i="2"/>
  <c r="I550" i="2"/>
  <c r="J550" i="2"/>
  <c r="K550" i="2"/>
  <c r="L550" i="2"/>
  <c r="M550" i="2"/>
  <c r="N550" i="2"/>
  <c r="O550" i="2"/>
  <c r="G9" i="1"/>
  <c r="B14" i="1"/>
  <c r="B15" i="1"/>
  <c r="C15" i="1"/>
  <c r="B16" i="1"/>
  <c r="B17" i="1"/>
  <c r="E23" i="1"/>
  <c r="F23" i="1"/>
  <c r="E24" i="1"/>
  <c r="F24" i="1"/>
  <c r="F33" i="1"/>
  <c r="F34" i="1"/>
  <c r="F35" i="1"/>
  <c r="F50" i="1"/>
  <c r="F51" i="1"/>
  <c r="B54" i="1"/>
</calcChain>
</file>

<file path=xl/sharedStrings.xml><?xml version="1.0" encoding="utf-8"?>
<sst xmlns="http://schemas.openxmlformats.org/spreadsheetml/2006/main" count="41" uniqueCount="36">
  <si>
    <t>Sample Size Determination</t>
  </si>
  <si>
    <t>Evaluation of Results</t>
  </si>
  <si>
    <t>INPUTS</t>
  </si>
  <si>
    <t>Monetary Unit Sampling Worksheet</t>
  </si>
  <si>
    <t>Acceptable Risk of Incorrect Acceptance</t>
  </si>
  <si>
    <t>Population Dollar Value</t>
  </si>
  <si>
    <t>Estimated Population Exception Rate</t>
  </si>
  <si>
    <t>Tolerable Misstatement (dollar amount)</t>
  </si>
  <si>
    <t>Percentage Misstatement</t>
  </si>
  <si>
    <t>Overstatements</t>
  </si>
  <si>
    <t>Understatements</t>
  </si>
  <si>
    <t>Recorded Value</t>
  </si>
  <si>
    <t>Audited Value</t>
  </si>
  <si>
    <t>Estimated Misstatement</t>
  </si>
  <si>
    <t>Less: Point Estimate of Understatement</t>
  </si>
  <si>
    <t>Less: Point Estimate of Overstatement</t>
  </si>
  <si>
    <t>CONCLUSION:</t>
  </si>
  <si>
    <t>Item #</t>
  </si>
  <si>
    <t xml:space="preserve"> </t>
  </si>
  <si>
    <t>Data Entry Worksheet</t>
  </si>
  <si>
    <t>Sample Size</t>
  </si>
  <si>
    <t>Enter required inputs in cells B9 through B12; click the 'Calculate Sample Size' button.</t>
  </si>
  <si>
    <t>After calculating sample size, click the 'Generate Sample' button.</t>
  </si>
  <si>
    <t>Click the 'Enter Data and Compute Results' button; follow the instructions.</t>
  </si>
  <si>
    <t>To calculate the sample size ►</t>
  </si>
  <si>
    <t>To generate a sample ►</t>
  </si>
  <si>
    <t>To evaluate the results of your sample ►</t>
  </si>
  <si>
    <r>
      <t xml:space="preserve">Verify that the inputs below correspond to the inputs used in generating your sample.  If the inputs are not correct, go back to the Worksheet page and re-calculate the sample size using the appropriate inputs.  Enter the recorded value and audited value for each item in your sample that contained a deviation.  </t>
    </r>
    <r>
      <rPr>
        <b/>
        <sz val="8"/>
        <rFont val="Arial"/>
        <family val="2"/>
      </rPr>
      <t>If the sample item was selected multiple times (e.g., 2 times), then enter the item multiple times (e.g., twice).</t>
    </r>
    <r>
      <rPr>
        <sz val="8"/>
        <rFont val="Arial"/>
        <family val="2"/>
      </rPr>
      <t xml:space="preserve">  To get the results, click on the Compute Results button.</t>
    </r>
  </si>
  <si>
    <t>Initial Overstatement Estimate</t>
  </si>
  <si>
    <t>Adjusted Overstatement Estimate</t>
  </si>
  <si>
    <t>Initial Understatement Estimate</t>
  </si>
  <si>
    <t>Adjusted Understatement Estimate</t>
  </si>
  <si>
    <t>Expected Population Exception Rate</t>
  </si>
  <si>
    <t>Upper Limit</t>
  </si>
  <si>
    <t>Required Sample Size CHyp</t>
  </si>
  <si>
    <t>Required Sample Size CBin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</si>
</sst>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&quot;$&quot;#,##0.00_);\(&quot;$&quot;#,##0.00\)"/>
    <numFmt numFmtId="165" formatCode="_(&quot;$&quot;* #,##0.00_);_(&quot;$&quot;* \(#,##0.00\);_(&quot;$&quot;* &quot;-&quot;??_);_(@_)"/>
    <numFmt numFmtId="166" formatCode="0.0%"/>
    <numFmt numFmtId="167" formatCode="&quot;$&quot;#,##0"/>
    <numFmt numFmtId="168" formatCode="&quot;$&quot;#,##0.00"/>
    <numFmt numFmtId="169" formatCode="_(&quot;$&quot;* #,##0_);_(&quot;$&quot;* \(#,##0\);_(&quot;$&quot;* &quot;-&quot;??_);_(@_)"/>
  </numFmts>
  <fonts count="13" x14ac:knownFonts="1">
    <font>
      <sz val="10"/>
      <name val="Arial"/>
    </font>
    <font>
      <sz val="10"/>
      <name val="Arial"/>
    </font>
    <font>
      <b/>
      <sz val="10"/>
      <name val="Arial"/>
      <family val="2"/>
    </font>
    <font>
      <u/>
      <sz val="10"/>
      <name val="Arial"/>
      <family val="2"/>
    </font>
    <font>
      <b/>
      <u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b/>
      <sz val="12"/>
      <name val="Arial"/>
      <family val="2"/>
    </font>
    <font>
      <sz val="11"/>
      <name val="Arial"/>
    </font>
    <font>
      <sz val="8"/>
      <name val="Arial"/>
    </font>
    <font>
      <b/>
      <sz val="8"/>
      <name val="Arial"/>
      <family val="2"/>
    </font>
    <font>
      <sz val="8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60">
    <xf numFmtId="0" fontId="0" fillId="0" borderId="0" xfId="0"/>
    <xf numFmtId="10" fontId="0" fillId="0" borderId="0" xfId="0" applyNumberFormat="1"/>
    <xf numFmtId="0" fontId="4" fillId="0" borderId="0" xfId="0" applyFont="1"/>
    <xf numFmtId="0" fontId="0" fillId="0" borderId="0" xfId="0" applyProtection="1">
      <protection locked="0"/>
    </xf>
    <xf numFmtId="0" fontId="2" fillId="0" borderId="0" xfId="0" applyFont="1"/>
    <xf numFmtId="10" fontId="5" fillId="0" borderId="0" xfId="0" applyNumberFormat="1" applyFont="1" applyBorder="1" applyProtection="1">
      <protection locked="0"/>
    </xf>
    <xf numFmtId="10" fontId="5" fillId="0" borderId="0" xfId="0" applyNumberFormat="1" applyFont="1" applyAlignment="1">
      <alignment horizontal="center"/>
    </xf>
    <xf numFmtId="166" fontId="5" fillId="0" borderId="0" xfId="0" applyNumberFormat="1" applyFont="1" applyAlignment="1">
      <alignment horizontal="center"/>
    </xf>
    <xf numFmtId="0" fontId="5" fillId="0" borderId="0" xfId="0" applyNumberFormat="1" applyFont="1" applyAlignment="1">
      <alignment horizontal="center"/>
    </xf>
    <xf numFmtId="0" fontId="0" fillId="0" borderId="0" xfId="0" applyNumberFormat="1"/>
    <xf numFmtId="0" fontId="2" fillId="0" borderId="0" xfId="0" applyNumberFormat="1" applyFont="1" applyAlignment="1">
      <alignment horizontal="center"/>
    </xf>
    <xf numFmtId="0" fontId="5" fillId="0" borderId="0" xfId="0" applyNumberFormat="1" applyFont="1"/>
    <xf numFmtId="168" fontId="0" fillId="0" borderId="0" xfId="0" applyNumberFormat="1"/>
    <xf numFmtId="0" fontId="5" fillId="0" borderId="0" xfId="0" applyNumberFormat="1" applyFont="1" applyAlignment="1">
      <alignment horizontal="left"/>
    </xf>
    <xf numFmtId="0" fontId="0" fillId="0" borderId="0" xfId="0" applyNumberFormat="1" applyAlignment="1">
      <alignment horizontal="left"/>
    </xf>
    <xf numFmtId="4" fontId="0" fillId="0" borderId="0" xfId="0" applyNumberFormat="1"/>
    <xf numFmtId="4" fontId="0" fillId="0" borderId="1" xfId="0" applyNumberFormat="1" applyBorder="1"/>
    <xf numFmtId="168" fontId="0" fillId="0" borderId="2" xfId="0" applyNumberFormat="1" applyBorder="1"/>
    <xf numFmtId="0" fontId="2" fillId="0" borderId="0" xfId="0" applyNumberFormat="1" applyFont="1"/>
    <xf numFmtId="0" fontId="2" fillId="0" borderId="0" xfId="0" applyNumberFormat="1" applyFont="1" applyAlignment="1">
      <alignment horizontal="right"/>
    </xf>
    <xf numFmtId="0" fontId="5" fillId="0" borderId="1" xfId="0" applyNumberFormat="1" applyFont="1" applyBorder="1" applyAlignment="1">
      <alignment horizontal="center" wrapText="1"/>
    </xf>
    <xf numFmtId="0" fontId="5" fillId="0" borderId="0" xfId="0" applyNumberFormat="1" applyFont="1" applyBorder="1" applyAlignment="1">
      <alignment horizontal="center"/>
    </xf>
    <xf numFmtId="0" fontId="0" fillId="0" borderId="1" xfId="0" applyBorder="1"/>
    <xf numFmtId="167" fontId="0" fillId="0" borderId="0" xfId="0" applyNumberFormat="1" applyAlignment="1" applyProtection="1">
      <alignment horizontal="right"/>
      <protection locked="0"/>
    </xf>
    <xf numFmtId="10" fontId="5" fillId="0" borderId="0" xfId="0" applyNumberFormat="1" applyFont="1" applyAlignment="1" applyProtection="1">
      <alignment horizontal="center"/>
      <protection locked="0"/>
    </xf>
    <xf numFmtId="0" fontId="2" fillId="0" borderId="0" xfId="0" applyFont="1" applyAlignment="1">
      <alignment horizontal="left"/>
    </xf>
    <xf numFmtId="9" fontId="0" fillId="0" borderId="0" xfId="2" applyFont="1"/>
    <xf numFmtId="0" fontId="7" fillId="0" borderId="0" xfId="0" applyFont="1"/>
    <xf numFmtId="0" fontId="0" fillId="0" borderId="0" xfId="0" applyAlignment="1">
      <alignment horizontal="center"/>
    </xf>
    <xf numFmtId="164" fontId="0" fillId="0" borderId="0" xfId="0" applyNumberFormat="1"/>
    <xf numFmtId="10" fontId="5" fillId="0" borderId="0" xfId="0" applyNumberFormat="1" applyFont="1" applyAlignment="1" applyProtection="1">
      <alignment horizontal="center"/>
    </xf>
    <xf numFmtId="0" fontId="0" fillId="0" borderId="0" xfId="0" applyAlignment="1">
      <alignment horizontal="center" wrapText="1"/>
    </xf>
    <xf numFmtId="10" fontId="5" fillId="0" borderId="0" xfId="0" applyNumberFormat="1" applyFont="1" applyBorder="1" applyAlignment="1" applyProtection="1">
      <alignment horizontal="center"/>
      <protection locked="0"/>
    </xf>
    <xf numFmtId="3" fontId="0" fillId="0" borderId="0" xfId="0" applyNumberFormat="1" applyAlignment="1" applyProtection="1">
      <alignment horizontal="right"/>
      <protection locked="0"/>
    </xf>
    <xf numFmtId="0" fontId="9" fillId="0" borderId="0" xfId="0" applyFont="1" applyAlignment="1">
      <alignment horizontal="center" wrapText="1" shrinkToFit="1"/>
    </xf>
    <xf numFmtId="169" fontId="9" fillId="0" borderId="0" xfId="1" applyNumberFormat="1" applyFont="1" applyAlignment="1">
      <alignment horizontal="center" wrapText="1" shrinkToFit="1"/>
    </xf>
    <xf numFmtId="1" fontId="9" fillId="0" borderId="0" xfId="0" applyNumberFormat="1" applyFont="1" applyAlignment="1">
      <alignment horizontal="center" wrapText="1" shrinkToFit="1"/>
    </xf>
    <xf numFmtId="0" fontId="9" fillId="0" borderId="0" xfId="0" applyFont="1"/>
    <xf numFmtId="165" fontId="9" fillId="0" borderId="0" xfId="1" applyFont="1"/>
    <xf numFmtId="0" fontId="9" fillId="0" borderId="0" xfId="0" applyFont="1" applyAlignment="1">
      <alignment horizontal="center"/>
    </xf>
    <xf numFmtId="169" fontId="9" fillId="0" borderId="0" xfId="1" applyNumberFormat="1" applyFont="1"/>
    <xf numFmtId="164" fontId="9" fillId="0" borderId="0" xfId="0" applyNumberFormat="1" applyFont="1"/>
    <xf numFmtId="0" fontId="5" fillId="0" borderId="0" xfId="0" applyFont="1"/>
    <xf numFmtId="0" fontId="5" fillId="0" borderId="0" xfId="0" applyFont="1" applyBorder="1"/>
    <xf numFmtId="0" fontId="3" fillId="0" borderId="0" xfId="0" applyFont="1" applyAlignment="1">
      <alignment horizontal="center"/>
    </xf>
    <xf numFmtId="2" fontId="0" fillId="0" borderId="0" xfId="0" applyNumberFormat="1"/>
    <xf numFmtId="168" fontId="0" fillId="0" borderId="3" xfId="0" applyNumberFormat="1" applyBorder="1"/>
    <xf numFmtId="0" fontId="0" fillId="0" borderId="0" xfId="0" applyAlignment="1"/>
    <xf numFmtId="167" fontId="0" fillId="0" borderId="0" xfId="0" applyNumberFormat="1" applyAlignment="1"/>
    <xf numFmtId="10" fontId="1" fillId="0" borderId="0" xfId="0" applyNumberFormat="1" applyFont="1" applyAlignment="1"/>
    <xf numFmtId="10" fontId="5" fillId="0" borderId="0" xfId="0" applyNumberFormat="1" applyFont="1" applyBorder="1" applyProtection="1"/>
    <xf numFmtId="0" fontId="0" fillId="2" borderId="0" xfId="0" applyFill="1"/>
    <xf numFmtId="0" fontId="0" fillId="2" borderId="0" xfId="0" applyFill="1" applyProtection="1">
      <protection locked="0"/>
    </xf>
    <xf numFmtId="0" fontId="2" fillId="2" borderId="0" xfId="0" applyFont="1" applyFill="1"/>
    <xf numFmtId="0" fontId="0" fillId="0" borderId="0" xfId="0" applyAlignment="1">
      <alignment horizontal="left"/>
    </xf>
    <xf numFmtId="0" fontId="8" fillId="0" borderId="0" xfId="0" applyFont="1" applyAlignment="1">
      <alignment horizontal="center"/>
    </xf>
    <xf numFmtId="0" fontId="6" fillId="0" borderId="0" xfId="0" applyFont="1" applyAlignment="1">
      <alignment horizontal="center" wrapText="1"/>
    </xf>
    <xf numFmtId="0" fontId="6" fillId="0" borderId="0" xfId="0" applyFont="1" applyAlignment="1">
      <alignment horizontal="left" shrinkToFit="1"/>
    </xf>
    <xf numFmtId="0" fontId="10" fillId="0" borderId="0" xfId="0" applyFont="1" applyAlignment="1">
      <alignment horizontal="left"/>
    </xf>
    <xf numFmtId="0" fontId="2" fillId="0" borderId="0" xfId="0" applyFont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8">
    <dxf>
      <fill>
        <patternFill>
          <bgColor indexed="8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10"/>
      </font>
    </dxf>
    <dxf>
      <font>
        <condense val="0"/>
        <extend val="0"/>
        <color indexed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628650</xdr:colOff>
          <xdr:row>8</xdr:row>
          <xdr:rowOff>66675</xdr:rowOff>
        </xdr:from>
        <xdr:to>
          <xdr:col>6</xdr:col>
          <xdr:colOff>228600</xdr:colOff>
          <xdr:row>10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676275</xdr:colOff>
          <xdr:row>5</xdr:row>
          <xdr:rowOff>19050</xdr:rowOff>
        </xdr:from>
        <xdr:to>
          <xdr:col>6</xdr:col>
          <xdr:colOff>219075</xdr:colOff>
          <xdr:row>6</xdr:row>
          <xdr:rowOff>152400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5</xdr:row>
          <xdr:rowOff>9525</xdr:rowOff>
        </xdr:from>
        <xdr:to>
          <xdr:col>5</xdr:col>
          <xdr:colOff>790575</xdr:colOff>
          <xdr:row>6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Calculate Sample Size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10</xdr:row>
          <xdr:rowOff>152400</xdr:rowOff>
        </xdr:from>
        <xdr:to>
          <xdr:col>5</xdr:col>
          <xdr:colOff>790575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Enter Data and </a:t>
              </a:r>
            </a:p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Compute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8</xdr:row>
          <xdr:rowOff>0</xdr:rowOff>
        </xdr:from>
        <xdr:to>
          <xdr:col>5</xdr:col>
          <xdr:colOff>790575</xdr:colOff>
          <xdr:row>9</xdr:row>
          <xdr:rowOff>66675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Sample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1</xdr:row>
          <xdr:rowOff>85725</xdr:rowOff>
        </xdr:from>
        <xdr:to>
          <xdr:col>11</xdr:col>
          <xdr:colOff>752475</xdr:colOff>
          <xdr:row>3</xdr:row>
          <xdr:rowOff>19050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 to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G32"/>
  <sheetViews>
    <sheetView workbookViewId="0">
      <selection activeCell="H11" sqref="H11"/>
    </sheetView>
  </sheetViews>
  <sheetFormatPr defaultRowHeight="12.75" x14ac:dyDescent="0.2"/>
  <cols>
    <col min="1" max="1" width="6.85546875" customWidth="1"/>
    <col min="2" max="2" width="14.85546875" customWidth="1"/>
    <col min="3" max="3" width="14.7109375" customWidth="1"/>
    <col min="4" max="4" width="17.42578125" customWidth="1"/>
    <col min="5" max="5" width="16.5703125" customWidth="1"/>
    <col min="6" max="6" width="11.5703125" customWidth="1"/>
  </cols>
  <sheetData>
    <row r="1" spans="1:7" ht="15.75" x14ac:dyDescent="0.25">
      <c r="A1" s="55" t="s">
        <v>19</v>
      </c>
      <c r="B1" s="55"/>
      <c r="C1" s="55"/>
      <c r="D1" s="55"/>
      <c r="E1" s="55"/>
      <c r="F1" s="55"/>
      <c r="G1" s="55"/>
    </row>
    <row r="3" spans="1:7" ht="45.75" customHeight="1" x14ac:dyDescent="0.2">
      <c r="A3" s="56" t="s">
        <v>27</v>
      </c>
      <c r="B3" s="56"/>
      <c r="C3" s="56"/>
      <c r="D3" s="56"/>
      <c r="E3" s="56"/>
      <c r="F3" s="56"/>
      <c r="G3" s="56"/>
    </row>
    <row r="4" spans="1:7" ht="12.75" customHeight="1" x14ac:dyDescent="0.2">
      <c r="A4" s="31"/>
      <c r="B4" s="31"/>
      <c r="C4" s="31"/>
      <c r="D4" s="31"/>
      <c r="E4" s="31"/>
      <c r="F4" s="31"/>
      <c r="G4" s="31"/>
    </row>
    <row r="5" spans="1:7" ht="12.75" customHeight="1" x14ac:dyDescent="0.2">
      <c r="A5" s="54" t="s">
        <v>5</v>
      </c>
      <c r="B5" s="54"/>
      <c r="C5" s="54"/>
      <c r="D5" s="23">
        <v>5000000</v>
      </c>
      <c r="E5" s="31"/>
      <c r="F5" s="31"/>
      <c r="G5" s="31"/>
    </row>
    <row r="6" spans="1:7" ht="12.75" customHeight="1" x14ac:dyDescent="0.2">
      <c r="A6" s="54" t="s">
        <v>7</v>
      </c>
      <c r="B6" s="54"/>
      <c r="C6" s="54"/>
      <c r="D6" s="23">
        <v>200000</v>
      </c>
      <c r="E6" s="31"/>
      <c r="F6" s="31"/>
      <c r="G6" s="31"/>
    </row>
    <row r="7" spans="1:7" x14ac:dyDescent="0.2">
      <c r="A7" s="54" t="s">
        <v>6</v>
      </c>
      <c r="B7" s="54"/>
      <c r="C7" s="54"/>
      <c r="D7" s="5">
        <v>5.0000000000000001E-3</v>
      </c>
    </row>
    <row r="8" spans="1:7" x14ac:dyDescent="0.2">
      <c r="A8" s="54" t="s">
        <v>4</v>
      </c>
      <c r="B8" s="54"/>
      <c r="C8" s="54"/>
      <c r="D8" s="5">
        <v>0.05</v>
      </c>
    </row>
    <row r="9" spans="1:7" x14ac:dyDescent="0.2">
      <c r="A9" s="54" t="s">
        <v>20</v>
      </c>
      <c r="B9" s="54"/>
      <c r="C9" s="54"/>
      <c r="D9" s="33">
        <v>117</v>
      </c>
    </row>
    <row r="10" spans="1:7" x14ac:dyDescent="0.2">
      <c r="D10" s="23"/>
    </row>
    <row r="11" spans="1:7" x14ac:dyDescent="0.2">
      <c r="D11" s="5"/>
    </row>
    <row r="12" spans="1:7" x14ac:dyDescent="0.2">
      <c r="A12" s="28" t="s">
        <v>17</v>
      </c>
      <c r="B12" s="20" t="s">
        <v>11</v>
      </c>
      <c r="C12" s="20" t="s">
        <v>12</v>
      </c>
      <c r="D12" s="32"/>
    </row>
    <row r="13" spans="1:7" x14ac:dyDescent="0.2">
      <c r="A13" s="28">
        <v>1</v>
      </c>
      <c r="D13" s="30" t="str">
        <f>IF(B13=0,"",(IF(B13&gt;C13,"Overstatement","Understatement")))</f>
        <v/>
      </c>
      <c r="F13" s="30"/>
    </row>
    <row r="14" spans="1:7" x14ac:dyDescent="0.2">
      <c r="A14" s="28">
        <v>2</v>
      </c>
      <c r="D14" s="30" t="str">
        <f t="shared" ref="D14:D32" si="0">IF(B14=0,"",(IF(B14&gt;C14,"Overstatement","Understatement")))</f>
        <v/>
      </c>
      <c r="F14" s="30"/>
    </row>
    <row r="15" spans="1:7" x14ac:dyDescent="0.2">
      <c r="A15" s="28">
        <v>3</v>
      </c>
      <c r="D15" s="30" t="str">
        <f t="shared" si="0"/>
        <v/>
      </c>
      <c r="F15" s="30"/>
    </row>
    <row r="16" spans="1:7" x14ac:dyDescent="0.2">
      <c r="A16" s="28">
        <v>4</v>
      </c>
      <c r="D16" s="30" t="str">
        <f t="shared" si="0"/>
        <v/>
      </c>
      <c r="F16" s="30"/>
    </row>
    <row r="17" spans="1:6" x14ac:dyDescent="0.2">
      <c r="A17" s="28">
        <v>5</v>
      </c>
      <c r="D17" s="30" t="str">
        <f t="shared" si="0"/>
        <v/>
      </c>
      <c r="F17" s="30"/>
    </row>
    <row r="18" spans="1:6" x14ac:dyDescent="0.2">
      <c r="A18" s="28">
        <v>6</v>
      </c>
      <c r="D18" s="30" t="str">
        <f t="shared" si="0"/>
        <v/>
      </c>
      <c r="F18" s="30"/>
    </row>
    <row r="19" spans="1:6" x14ac:dyDescent="0.2">
      <c r="A19" s="28">
        <v>7</v>
      </c>
      <c r="D19" s="30" t="str">
        <f t="shared" si="0"/>
        <v/>
      </c>
      <c r="F19" s="30"/>
    </row>
    <row r="20" spans="1:6" x14ac:dyDescent="0.2">
      <c r="A20" s="28">
        <v>8</v>
      </c>
      <c r="D20" s="30" t="str">
        <f t="shared" si="0"/>
        <v/>
      </c>
      <c r="F20" s="30"/>
    </row>
    <row r="21" spans="1:6" x14ac:dyDescent="0.2">
      <c r="A21" s="28">
        <v>9</v>
      </c>
      <c r="D21" s="30" t="str">
        <f t="shared" si="0"/>
        <v/>
      </c>
      <c r="F21" s="30"/>
    </row>
    <row r="22" spans="1:6" x14ac:dyDescent="0.2">
      <c r="A22" s="28">
        <v>10</v>
      </c>
      <c r="D22" s="30" t="str">
        <f t="shared" si="0"/>
        <v/>
      </c>
      <c r="F22" s="30"/>
    </row>
    <row r="23" spans="1:6" x14ac:dyDescent="0.2">
      <c r="A23" s="28">
        <v>11</v>
      </c>
      <c r="D23" s="30" t="str">
        <f t="shared" si="0"/>
        <v/>
      </c>
      <c r="F23" s="30"/>
    </row>
    <row r="24" spans="1:6" x14ac:dyDescent="0.2">
      <c r="A24" s="28">
        <v>12</v>
      </c>
      <c r="D24" s="30" t="str">
        <f t="shared" si="0"/>
        <v/>
      </c>
      <c r="F24" s="30"/>
    </row>
    <row r="25" spans="1:6" x14ac:dyDescent="0.2">
      <c r="A25" s="28">
        <v>13</v>
      </c>
      <c r="D25" s="30" t="str">
        <f t="shared" si="0"/>
        <v/>
      </c>
      <c r="F25" s="30"/>
    </row>
    <row r="26" spans="1:6" x14ac:dyDescent="0.2">
      <c r="A26" s="28">
        <v>14</v>
      </c>
      <c r="D26" s="30" t="str">
        <f t="shared" si="0"/>
        <v/>
      </c>
      <c r="F26" s="30"/>
    </row>
    <row r="27" spans="1:6" x14ac:dyDescent="0.2">
      <c r="A27" s="28">
        <v>15</v>
      </c>
      <c r="D27" s="30" t="str">
        <f t="shared" si="0"/>
        <v/>
      </c>
      <c r="F27" s="30"/>
    </row>
    <row r="28" spans="1:6" x14ac:dyDescent="0.2">
      <c r="A28" s="28">
        <v>16</v>
      </c>
      <c r="D28" s="30" t="str">
        <f t="shared" si="0"/>
        <v/>
      </c>
      <c r="F28" s="30"/>
    </row>
    <row r="29" spans="1:6" x14ac:dyDescent="0.2">
      <c r="A29" s="28">
        <v>17</v>
      </c>
      <c r="D29" s="30" t="str">
        <f t="shared" si="0"/>
        <v/>
      </c>
      <c r="F29" s="30"/>
    </row>
    <row r="30" spans="1:6" x14ac:dyDescent="0.2">
      <c r="A30" s="28">
        <v>18</v>
      </c>
      <c r="D30" s="30" t="str">
        <f t="shared" si="0"/>
        <v/>
      </c>
      <c r="F30" s="30"/>
    </row>
    <row r="31" spans="1:6" x14ac:dyDescent="0.2">
      <c r="A31" s="28">
        <v>19</v>
      </c>
      <c r="D31" s="30" t="str">
        <f t="shared" si="0"/>
        <v/>
      </c>
      <c r="F31" s="30"/>
    </row>
    <row r="32" spans="1:6" x14ac:dyDescent="0.2">
      <c r="A32" s="28">
        <v>20</v>
      </c>
      <c r="D32" s="30" t="str">
        <f t="shared" si="0"/>
        <v/>
      </c>
      <c r="F32" s="30"/>
    </row>
  </sheetData>
  <mergeCells count="7">
    <mergeCell ref="A8:C8"/>
    <mergeCell ref="A9:C9"/>
    <mergeCell ref="A1:G1"/>
    <mergeCell ref="A3:G3"/>
    <mergeCell ref="A5:C5"/>
    <mergeCell ref="A6:C6"/>
    <mergeCell ref="A7:C7"/>
  </mergeCells>
  <phoneticPr fontId="0" type="noConversion"/>
  <conditionalFormatting sqref="F13:F32 D13:D32">
    <cfRule type="cellIs" dxfId="7" priority="1" stopIfTrue="1" operator="equal">
      <formula>0</formula>
    </cfRule>
    <cfRule type="cellIs" dxfId="6" priority="2" stopIfTrue="1" operator="equal">
      <formula>"Understatement"</formula>
    </cfRule>
  </conditionalFormatting>
  <dataValidations count="5">
    <dataValidation errorStyle="warning" allowBlank="1" showInputMessage="1" showErrorMessage="1" errorTitle="Verify Input Data" error="Verify that the input variables and sample size are appropriate for the sample you are evaluating." sqref="F13:F32 D13:D32"/>
    <dataValidation type="decimal" allowBlank="1" showInputMessage="1" showErrorMessage="1" errorTitle="Invalid Entry" error="This value must be greater than zero and no more than 25%" sqref="D8">
      <formula1>0.00000001</formula1>
      <formula2>0.25</formula2>
    </dataValidation>
    <dataValidation type="decimal" operator="lessThan" allowBlank="1" showInputMessage="1" showErrorMessage="1" errorTitle="Invalid Entry" error="This value must be less than the tolerable rate (B10/B9)" sqref="D11 D7">
      <formula1>(D6/D5)</formula1>
    </dataValidation>
    <dataValidation type="decimal" operator="lessThan" allowBlank="1" showInputMessage="1" showErrorMessage="1" errorTitle="Invalid Entry" error="Tolerable misstatement must be less than the population dollar value" sqref="D10 D6">
      <formula1>D5</formula1>
    </dataValidation>
    <dataValidation type="decimal" operator="greaterThanOrEqual" showInputMessage="1" showErrorMessage="1" error="The population dollar value must be at least $1." sqref="D5">
      <formula1>1</formula1>
    </dataValidation>
  </dataValidations>
  <pageMargins left="0.75" right="0.75" top="1" bottom="1" header="0.5" footer="0.5"/>
  <pageSetup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Data">
                <anchor moveWithCells="1" sizeWithCells="1">
                  <from>
                    <xdr:col>4</xdr:col>
                    <xdr:colOff>628650</xdr:colOff>
                    <xdr:row>8</xdr:row>
                    <xdr:rowOff>66675</xdr:rowOff>
                  </from>
                  <to>
                    <xdr:col>6</xdr:col>
                    <xdr:colOff>228600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BacktoWorksheet">
                <anchor moveWithCells="1" sizeWithCells="1">
                  <from>
                    <xdr:col>4</xdr:col>
                    <xdr:colOff>676275</xdr:colOff>
                    <xdr:row>5</xdr:row>
                    <xdr:rowOff>19050</xdr:rowOff>
                  </from>
                  <to>
                    <xdr:col>6</xdr:col>
                    <xdr:colOff>219075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A488"/>
  <sheetViews>
    <sheetView tabSelected="1" topLeftCell="A5" zoomScaleNormal="100" workbookViewId="0">
      <selection activeCell="B17" sqref="B17"/>
    </sheetView>
  </sheetViews>
  <sheetFormatPr defaultRowHeight="12.75" x14ac:dyDescent="0.2"/>
  <cols>
    <col min="1" max="1" width="34.7109375" customWidth="1"/>
    <col min="2" max="2" width="10.28515625" bestFit="1" customWidth="1"/>
    <col min="3" max="3" width="11.42578125" bestFit="1" customWidth="1"/>
    <col min="4" max="4" width="14.28515625" bestFit="1" customWidth="1"/>
    <col min="5" max="5" width="8.7109375" bestFit="1" customWidth="1"/>
    <col min="6" max="6" width="16.7109375" customWidth="1"/>
    <col min="7" max="7" width="11.42578125" bestFit="1" customWidth="1"/>
    <col min="8" max="12" width="12.42578125" bestFit="1" customWidth="1"/>
  </cols>
  <sheetData>
    <row r="1" spans="1:27" ht="12.75" customHeight="1" x14ac:dyDescent="0.2">
      <c r="A1" s="42" t="s">
        <v>24</v>
      </c>
      <c r="B1" s="57" t="s">
        <v>21</v>
      </c>
      <c r="C1" s="57"/>
      <c r="D1" s="57"/>
      <c r="E1" s="57"/>
      <c r="F1" s="57"/>
    </row>
    <row r="2" spans="1:27" x14ac:dyDescent="0.2">
      <c r="A2" s="43" t="s">
        <v>25</v>
      </c>
      <c r="B2" s="58" t="s">
        <v>22</v>
      </c>
      <c r="C2" s="58"/>
      <c r="D2" s="58"/>
      <c r="E2" s="58"/>
      <c r="F2" s="58"/>
      <c r="AA2" s="29"/>
    </row>
    <row r="3" spans="1:27" x14ac:dyDescent="0.2">
      <c r="A3" s="42" t="s">
        <v>26</v>
      </c>
      <c r="B3" s="58" t="s">
        <v>23</v>
      </c>
      <c r="C3" s="58"/>
      <c r="D3" s="58"/>
      <c r="E3" s="58"/>
      <c r="F3" s="58"/>
      <c r="AA3" s="29"/>
    </row>
    <row r="4" spans="1:27" x14ac:dyDescent="0.2">
      <c r="F4" t="s">
        <v>18</v>
      </c>
      <c r="AA4" s="29"/>
    </row>
    <row r="5" spans="1:27" x14ac:dyDescent="0.2">
      <c r="A5" s="59" t="s">
        <v>3</v>
      </c>
      <c r="B5" s="59"/>
      <c r="C5" s="59"/>
      <c r="D5" s="59"/>
      <c r="E5" s="59"/>
      <c r="F5" s="59"/>
      <c r="AA5" s="29"/>
    </row>
    <row r="6" spans="1:27" x14ac:dyDescent="0.2">
      <c r="AA6" s="29"/>
    </row>
    <row r="7" spans="1:27" x14ac:dyDescent="0.2">
      <c r="A7" s="2" t="s">
        <v>0</v>
      </c>
      <c r="AA7" s="29"/>
    </row>
    <row r="8" spans="1:27" x14ac:dyDescent="0.2">
      <c r="B8" s="44" t="s">
        <v>2</v>
      </c>
      <c r="C8" s="47"/>
      <c r="D8" s="47"/>
      <c r="AA8" s="29"/>
    </row>
    <row r="9" spans="1:27" x14ac:dyDescent="0.2">
      <c r="A9" t="s">
        <v>5</v>
      </c>
      <c r="B9" s="23">
        <v>5000000</v>
      </c>
      <c r="C9" s="48"/>
      <c r="D9" s="48"/>
      <c r="G9" s="27">
        <f ca="1">IF(B15&lt;501,B15," ")</f>
        <v>149</v>
      </c>
      <c r="AA9" s="29"/>
    </row>
    <row r="10" spans="1:27" x14ac:dyDescent="0.2">
      <c r="A10" t="s">
        <v>7</v>
      </c>
      <c r="B10" s="23">
        <v>100000</v>
      </c>
      <c r="C10" s="49"/>
      <c r="D10" s="48"/>
      <c r="AA10" s="29"/>
    </row>
    <row r="11" spans="1:27" x14ac:dyDescent="0.2">
      <c r="A11" t="s">
        <v>32</v>
      </c>
      <c r="B11" s="5">
        <v>0</v>
      </c>
      <c r="C11" s="50"/>
      <c r="D11" s="50"/>
      <c r="AA11" s="29"/>
    </row>
    <row r="12" spans="1:27" x14ac:dyDescent="0.2">
      <c r="A12" t="s">
        <v>4</v>
      </c>
      <c r="B12" s="5">
        <v>0.05</v>
      </c>
      <c r="C12" s="50"/>
      <c r="D12" s="50"/>
      <c r="AA12" s="29"/>
    </row>
    <row r="13" spans="1:27" x14ac:dyDescent="0.2">
      <c r="B13" s="1"/>
      <c r="C13" s="26"/>
      <c r="D13" s="1"/>
      <c r="AA13" s="29"/>
    </row>
    <row r="14" spans="1:27" x14ac:dyDescent="0.2">
      <c r="B14" s="3">
        <f ca="1">IF(B14&lt;B15,B14+1,B15)</f>
        <v>149</v>
      </c>
      <c r="C14" s="3"/>
      <c r="D14" s="3"/>
      <c r="AA14" s="29"/>
    </row>
    <row r="15" spans="1:27" x14ac:dyDescent="0.2">
      <c r="A15" t="s">
        <v>35</v>
      </c>
      <c r="B15" s="4">
        <f ca="1">IF(BINOMDIST(ROUNDUP(B11*B14,0),B14,B10/B9,1)&gt;B12,B14+1,B14)</f>
        <v>149</v>
      </c>
      <c r="C15" s="25" t="str">
        <f ca="1">IF(B15&gt;500,"Sample size exceeds 500 -- inputs must be revised","")</f>
        <v/>
      </c>
      <c r="D15" s="4"/>
      <c r="AA15" s="29"/>
    </row>
    <row r="16" spans="1:27" x14ac:dyDescent="0.2">
      <c r="A16" s="51"/>
      <c r="B16" s="52">
        <f ca="1">IF(B16&lt;B17,B16+1,B17)</f>
        <v>149</v>
      </c>
      <c r="C16" s="25"/>
      <c r="D16" s="4"/>
      <c r="AA16" s="29"/>
    </row>
    <row r="17" spans="1:27" x14ac:dyDescent="0.2">
      <c r="A17" s="51" t="s">
        <v>34</v>
      </c>
      <c r="B17" s="53">
        <f ca="1">IF(_xlfn.HYPGEOM.DIST(ROUNDUP(B11*B16,0),B16,B10,B9,TRUE)&gt;B12,B16+1,B16)</f>
        <v>149</v>
      </c>
      <c r="C17" s="25"/>
      <c r="D17" s="4"/>
      <c r="AA17" s="29"/>
    </row>
    <row r="18" spans="1:27" x14ac:dyDescent="0.2">
      <c r="B18" s="4"/>
      <c r="C18" s="25"/>
      <c r="D18" s="4"/>
      <c r="AA18" s="29"/>
    </row>
    <row r="19" spans="1:27" x14ac:dyDescent="0.2">
      <c r="A19" s="2" t="s">
        <v>1</v>
      </c>
      <c r="AA19" s="29"/>
    </row>
    <row r="20" spans="1:27" ht="25.5" x14ac:dyDescent="0.2">
      <c r="A20" s="22"/>
      <c r="B20" s="20" t="s">
        <v>11</v>
      </c>
      <c r="C20" s="20" t="s">
        <v>12</v>
      </c>
      <c r="D20" s="20" t="s">
        <v>8</v>
      </c>
      <c r="E20" s="20" t="s">
        <v>33</v>
      </c>
      <c r="F20" s="20" t="s">
        <v>13</v>
      </c>
      <c r="AA20" s="29"/>
    </row>
    <row r="21" spans="1:27" x14ac:dyDescent="0.2">
      <c r="A21" s="21" t="s">
        <v>9</v>
      </c>
      <c r="B21" s="45">
        <v>6200</v>
      </c>
      <c r="C21" s="45">
        <v>6100</v>
      </c>
      <c r="D21" s="6">
        <v>1</v>
      </c>
      <c r="AA21" s="29"/>
    </row>
    <row r="22" spans="1:27" x14ac:dyDescent="0.2">
      <c r="A22" s="8">
        <v>0</v>
      </c>
      <c r="B22" s="45">
        <v>8947</v>
      </c>
      <c r="C22" s="45">
        <v>2947</v>
      </c>
      <c r="D22" s="24">
        <f t="shared" ref="D22:D29" si="0">IF(B22&lt;C22,"Understatement",(IF(B22&gt;C22,(B22-C22)/B22,0)))</f>
        <v>0.67061584888789538</v>
      </c>
      <c r="E22" s="7">
        <f>IF(B11=0,B10/B9,(VLOOKUP(B$12,atr0,12,TRUE)))</f>
        <v>0.02</v>
      </c>
      <c r="F22" s="12">
        <f>B$9*D22*E22</f>
        <v>67061.584888789541</v>
      </c>
      <c r="AA22" s="29"/>
    </row>
    <row r="23" spans="1:27" x14ac:dyDescent="0.2">
      <c r="A23" s="8">
        <v>1</v>
      </c>
      <c r="B23" s="45">
        <v>12910</v>
      </c>
      <c r="C23" s="45">
        <v>12000</v>
      </c>
      <c r="D23" s="24">
        <f t="shared" si="0"/>
        <v>7.0487993803253296E-2</v>
      </c>
      <c r="E23" s="7">
        <f ca="1">IF(D23=0,"",VLOOKUP(B$12,_atr1,11,TRUE)-VLOOKUP(B$12,atr0,12,TRUE))</f>
        <v>1.2E-2</v>
      </c>
      <c r="F23" s="15">
        <f t="shared" ref="F23:F32" ca="1" si="1">IF(D23=0,0,B$9*D23*E23)</f>
        <v>4229.2796281951978</v>
      </c>
      <c r="AA23" s="29"/>
    </row>
    <row r="24" spans="1:27" x14ac:dyDescent="0.2">
      <c r="A24" s="8">
        <v>2</v>
      </c>
      <c r="B24" s="45">
        <v>23000</v>
      </c>
      <c r="C24" s="45">
        <v>22995</v>
      </c>
      <c r="D24" s="24">
        <f t="shared" si="0"/>
        <v>2.173913043478261E-4</v>
      </c>
      <c r="E24" s="7">
        <f ca="1">IF(D24=0,"",VLOOKUP(B$12,_atr2,10,TRUE)-VLOOKUP(B$12,_atr1,11,TRUE))</f>
        <v>1.0000000000000002E-2</v>
      </c>
      <c r="F24" s="15">
        <f t="shared" ca="1" si="1"/>
        <v>10.869565217391306</v>
      </c>
      <c r="AA24" s="29"/>
    </row>
    <row r="25" spans="1:27" x14ac:dyDescent="0.2">
      <c r="A25" s="8">
        <v>3</v>
      </c>
      <c r="B25" s="45"/>
      <c r="C25" s="45"/>
      <c r="D25" s="24">
        <f t="shared" si="0"/>
        <v>0</v>
      </c>
      <c r="E25" s="7" t="str">
        <f>IF(D25=0,"",VLOOKUP(B$12,_atr3,9,TRUE)-VLOOKUP(B$12,_atr2,10,TRUE))</f>
        <v/>
      </c>
      <c r="F25" s="15">
        <f t="shared" si="1"/>
        <v>0</v>
      </c>
      <c r="AA25" s="29"/>
    </row>
    <row r="26" spans="1:27" x14ac:dyDescent="0.2">
      <c r="A26" s="8">
        <v>4</v>
      </c>
      <c r="B26" s="45"/>
      <c r="C26" s="45"/>
      <c r="D26" s="24">
        <f t="shared" si="0"/>
        <v>0</v>
      </c>
      <c r="E26" s="7" t="str">
        <f>IF(D26=0,"",VLOOKUP(B$12,_atr4,8,TRUE)-VLOOKUP(B$12,_atr3,9,TRUE))</f>
        <v/>
      </c>
      <c r="F26" s="15">
        <f t="shared" si="1"/>
        <v>0</v>
      </c>
      <c r="AA26" s="29"/>
    </row>
    <row r="27" spans="1:27" x14ac:dyDescent="0.2">
      <c r="A27" s="8">
        <v>5</v>
      </c>
      <c r="B27" s="45"/>
      <c r="C27" s="45"/>
      <c r="D27" s="24">
        <f t="shared" si="0"/>
        <v>0</v>
      </c>
      <c r="E27" s="7" t="str">
        <f>IF(D27=0,"",VLOOKUP(B$12,_atr5,7,TRUE)-VLOOKUP(B$12,_atr4,8,TRUE))</f>
        <v/>
      </c>
      <c r="F27" s="15">
        <f t="shared" si="1"/>
        <v>0</v>
      </c>
      <c r="AA27" s="29"/>
    </row>
    <row r="28" spans="1:27" x14ac:dyDescent="0.2">
      <c r="A28" s="8">
        <v>6</v>
      </c>
      <c r="B28" s="45"/>
      <c r="C28" s="45"/>
      <c r="D28" s="24">
        <f t="shared" si="0"/>
        <v>0</v>
      </c>
      <c r="E28" s="7" t="str">
        <f>IF(D28=0,"",VLOOKUP(B$12,_atr6,6,TRUE)-VLOOKUP(B$12,_atr5,7,TRUE))</f>
        <v/>
      </c>
      <c r="F28" s="15">
        <f t="shared" si="1"/>
        <v>0</v>
      </c>
      <c r="AA28" s="29"/>
    </row>
    <row r="29" spans="1:27" x14ac:dyDescent="0.2">
      <c r="A29" s="8">
        <v>7</v>
      </c>
      <c r="B29" s="45"/>
      <c r="C29" s="45"/>
      <c r="D29" s="24">
        <f t="shared" si="0"/>
        <v>0</v>
      </c>
      <c r="E29" s="7" t="str">
        <f>IF(D29=0,"",VLOOKUP(B$12,_atr7,5,TRUE)-VLOOKUP(B$12,_atr6,6,TRUE))</f>
        <v/>
      </c>
      <c r="F29" s="15">
        <f t="shared" si="1"/>
        <v>0</v>
      </c>
      <c r="AA29" s="29"/>
    </row>
    <row r="30" spans="1:27" x14ac:dyDescent="0.2">
      <c r="A30" s="8">
        <v>8</v>
      </c>
      <c r="B30" s="45"/>
      <c r="C30" s="45"/>
      <c r="E30" s="7" t="str">
        <f>IF(D30=0,"",VLOOKUP(B$12,_atr8,4,TRUE)-VLOOKUP(B$12,_atr7,5,TRUE))</f>
        <v/>
      </c>
      <c r="F30" s="15">
        <f t="shared" si="1"/>
        <v>0</v>
      </c>
      <c r="AA30" s="29"/>
    </row>
    <row r="31" spans="1:27" x14ac:dyDescent="0.2">
      <c r="A31" s="8">
        <v>9</v>
      </c>
      <c r="B31" s="45"/>
      <c r="C31" s="45"/>
      <c r="D31" s="24">
        <f t="shared" ref="D31:D32" si="2">IF(B31&lt;C31,"Understatement",(IF(B31&gt;C31,(B31-C31)/B31,0)))</f>
        <v>0</v>
      </c>
      <c r="E31" s="7" t="str">
        <f>IF(D31=0,"",VLOOKUP(B$12,_atr9,3,TRUE)-VLOOKUP(B$12,_atr8,4,TRUE))</f>
        <v/>
      </c>
      <c r="F31" s="15">
        <f t="shared" si="1"/>
        <v>0</v>
      </c>
      <c r="AA31" s="29"/>
    </row>
    <row r="32" spans="1:27" x14ac:dyDescent="0.2">
      <c r="A32" s="8">
        <v>10</v>
      </c>
      <c r="B32" s="45"/>
      <c r="C32" s="45"/>
      <c r="D32" s="24">
        <f t="shared" si="2"/>
        <v>0</v>
      </c>
      <c r="E32" s="7" t="str">
        <f>IF(D32=0,"",VLOOKUP(B$12,_atr10,2,TRUE)-VLOOKUP(B$12,_atr9,3,TRUE))</f>
        <v/>
      </c>
      <c r="F32" s="16">
        <f t="shared" si="1"/>
        <v>0</v>
      </c>
      <c r="AA32" s="29"/>
    </row>
    <row r="33" spans="1:27" x14ac:dyDescent="0.2">
      <c r="A33" s="13" t="s">
        <v>28</v>
      </c>
      <c r="D33" s="8"/>
      <c r="E33" s="8"/>
      <c r="F33" s="12">
        <f ca="1">SUM(F22:F32)</f>
        <v>71301.734082202136</v>
      </c>
      <c r="AA33" s="29"/>
    </row>
    <row r="34" spans="1:27" x14ac:dyDescent="0.2">
      <c r="A34" s="13" t="s">
        <v>14</v>
      </c>
      <c r="D34" s="8"/>
      <c r="E34" s="8"/>
      <c r="F34" s="16">
        <f ca="1">SUM(D39:D48)*B9/B15</f>
        <v>0</v>
      </c>
      <c r="AA34" s="29"/>
    </row>
    <row r="35" spans="1:27" ht="13.5" thickBot="1" x14ac:dyDescent="0.25">
      <c r="A35" s="13" t="s">
        <v>29</v>
      </c>
      <c r="D35" s="8"/>
      <c r="E35" s="8"/>
      <c r="F35" s="17">
        <f ca="1">F33-F34</f>
        <v>71301.734082202136</v>
      </c>
      <c r="AA35" s="29"/>
    </row>
    <row r="36" spans="1:27" ht="13.5" thickTop="1" x14ac:dyDescent="0.2">
      <c r="A36" s="8"/>
      <c r="D36" s="8"/>
      <c r="E36" s="8"/>
      <c r="F36" s="9"/>
      <c r="AA36" s="29"/>
    </row>
    <row r="37" spans="1:27" x14ac:dyDescent="0.2">
      <c r="A37" s="8" t="s">
        <v>10</v>
      </c>
      <c r="B37" s="45">
        <v>4322</v>
      </c>
      <c r="C37" s="45">
        <v>4450</v>
      </c>
      <c r="D37" s="6">
        <v>1</v>
      </c>
      <c r="E37" s="10"/>
      <c r="F37" s="9"/>
      <c r="AA37" s="29"/>
    </row>
    <row r="38" spans="1:27" x14ac:dyDescent="0.2">
      <c r="A38" s="8">
        <v>0</v>
      </c>
      <c r="B38" s="45"/>
      <c r="C38" s="45"/>
      <c r="D38" s="30">
        <f t="shared" ref="D38:D45" si="3">IF(B38&gt;C38,"Overstatement",(IF(B38&lt;C38,(C38-B38)/B38,0)))</f>
        <v>0</v>
      </c>
      <c r="E38" s="7">
        <f>IF(B11=0,B10/B9,(VLOOKUP(B$12,atr0,12,TRUE)))</f>
        <v>0.02</v>
      </c>
      <c r="F38" s="12">
        <f>B$9*D38*E38</f>
        <v>0</v>
      </c>
      <c r="AA38" s="29"/>
    </row>
    <row r="39" spans="1:27" x14ac:dyDescent="0.2">
      <c r="A39" s="8">
        <v>1</v>
      </c>
      <c r="B39" s="45"/>
      <c r="C39" s="45"/>
      <c r="D39" s="30">
        <f t="shared" si="3"/>
        <v>0</v>
      </c>
      <c r="E39" s="7" t="str">
        <f>IF(D39=0,"",VLOOKUP(B$12,_atr1,11,TRUE)-VLOOKUP(B$12,atr0,12,TRUE))</f>
        <v/>
      </c>
      <c r="F39" s="15">
        <f>IF(D39=0,0,B$9*D39*E39)</f>
        <v>0</v>
      </c>
      <c r="AA39" s="29"/>
    </row>
    <row r="40" spans="1:27" x14ac:dyDescent="0.2">
      <c r="A40" s="8">
        <v>2</v>
      </c>
      <c r="B40" s="45"/>
      <c r="C40" s="45"/>
      <c r="D40" s="30">
        <f t="shared" si="3"/>
        <v>0</v>
      </c>
      <c r="E40" s="7" t="str">
        <f>IF(D40=0,"",VLOOKUP(B$12,_atr2,10,TRUE)-VLOOKUP(B$12,_atr1,11,TRUE))</f>
        <v/>
      </c>
      <c r="F40" s="15">
        <f t="shared" ref="F40:F48" si="4">IF(D40=0,0,B$9*D40*E40)</f>
        <v>0</v>
      </c>
      <c r="AA40" s="29"/>
    </row>
    <row r="41" spans="1:27" x14ac:dyDescent="0.2">
      <c r="A41" s="8">
        <v>3</v>
      </c>
      <c r="B41" s="45"/>
      <c r="C41" s="45"/>
      <c r="D41" s="30">
        <f t="shared" si="3"/>
        <v>0</v>
      </c>
      <c r="E41" s="7" t="str">
        <f>IF(D41=0,"",VLOOKUP(B$12,_atr3,9,TRUE)-VLOOKUP(B$12,_atr2,10,TRUE))</f>
        <v/>
      </c>
      <c r="F41" s="15">
        <f t="shared" si="4"/>
        <v>0</v>
      </c>
      <c r="AA41" s="29"/>
    </row>
    <row r="42" spans="1:27" x14ac:dyDescent="0.2">
      <c r="A42" s="8">
        <v>4</v>
      </c>
      <c r="B42" s="45"/>
      <c r="C42" s="45"/>
      <c r="D42" s="30">
        <f t="shared" si="3"/>
        <v>0</v>
      </c>
      <c r="E42" s="7" t="str">
        <f>IF(D42=0,"",VLOOKUP(B$12,_atr4,8,TRUE)-VLOOKUP(B$12,_atr3,9,TRUE))</f>
        <v/>
      </c>
      <c r="F42" s="15">
        <f t="shared" si="4"/>
        <v>0</v>
      </c>
      <c r="AA42" s="29"/>
    </row>
    <row r="43" spans="1:27" x14ac:dyDescent="0.2">
      <c r="A43" s="8">
        <v>5</v>
      </c>
      <c r="B43" s="45"/>
      <c r="C43" s="45"/>
      <c r="D43" s="30">
        <f t="shared" si="3"/>
        <v>0</v>
      </c>
      <c r="E43" s="7" t="str">
        <f>IF(D43=0,"",VLOOKUP(B$12,_atr5,7,TRUE)-VLOOKUP(B$12,_atr4,8,TRUE))</f>
        <v/>
      </c>
      <c r="F43" s="15">
        <f t="shared" si="4"/>
        <v>0</v>
      </c>
      <c r="AA43" s="29"/>
    </row>
    <row r="44" spans="1:27" x14ac:dyDescent="0.2">
      <c r="A44" s="8">
        <v>6</v>
      </c>
      <c r="B44" s="45"/>
      <c r="C44" s="45"/>
      <c r="D44" s="30">
        <f t="shared" si="3"/>
        <v>0</v>
      </c>
      <c r="E44" s="7" t="str">
        <f>IF(D44=0,"",VLOOKUP(B$12,_atr6,6,TRUE)-VLOOKUP(B$12,_atr5,7,TRUE))</f>
        <v/>
      </c>
      <c r="F44" s="15">
        <f t="shared" si="4"/>
        <v>0</v>
      </c>
      <c r="AA44" s="29"/>
    </row>
    <row r="45" spans="1:27" x14ac:dyDescent="0.2">
      <c r="A45" s="8">
        <v>7</v>
      </c>
      <c r="B45" s="45"/>
      <c r="C45" s="45"/>
      <c r="D45" s="30">
        <f t="shared" si="3"/>
        <v>0</v>
      </c>
      <c r="E45" s="7" t="str">
        <f>IF(D45=0,"",VLOOKUP(B$12,_atr7,5,TRUE)-VLOOKUP(B$12,_atr6,6,TRUE))</f>
        <v/>
      </c>
      <c r="F45" s="15">
        <f t="shared" si="4"/>
        <v>0</v>
      </c>
      <c r="AA45" s="29"/>
    </row>
    <row r="46" spans="1:27" x14ac:dyDescent="0.2">
      <c r="A46" s="8">
        <v>8</v>
      </c>
      <c r="B46" s="45"/>
      <c r="C46" s="45"/>
      <c r="D46" s="10"/>
      <c r="E46" s="7" t="str">
        <f>IF(D46=0,"",VLOOKUP(B$12,_atr8,4,TRUE)-VLOOKUP(B$12,_atr7,5,TRUE))</f>
        <v/>
      </c>
      <c r="F46" s="15">
        <f t="shared" si="4"/>
        <v>0</v>
      </c>
      <c r="AA46" s="29"/>
    </row>
    <row r="47" spans="1:27" x14ac:dyDescent="0.2">
      <c r="A47" s="8">
        <v>9</v>
      </c>
      <c r="B47" s="45"/>
      <c r="C47" s="45"/>
      <c r="D47" s="30">
        <f t="shared" ref="D47:D48" si="5">IF(B47&gt;C47,"Overstatement",(IF(B47&lt;C47,(C47-B47)/B47,0)))</f>
        <v>0</v>
      </c>
      <c r="E47" s="7" t="str">
        <f>IF(D47=0,"",VLOOKUP(B$12,_atr9,3,TRUE)-VLOOKUP(B$12,_atr8,4,TRUE))</f>
        <v/>
      </c>
      <c r="F47" s="15">
        <f t="shared" si="4"/>
        <v>0</v>
      </c>
      <c r="AA47" s="29"/>
    </row>
    <row r="48" spans="1:27" x14ac:dyDescent="0.2">
      <c r="A48" s="8">
        <v>10</v>
      </c>
      <c r="B48" s="45"/>
      <c r="C48" s="45"/>
      <c r="D48" s="30">
        <f t="shared" si="5"/>
        <v>0</v>
      </c>
      <c r="E48" s="7" t="str">
        <f>IF(D48=0,"",VLOOKUP(B$12,_atr10,2,TRUE)-VLOOKUP(B$12,_atr9,3,TRUE))</f>
        <v/>
      </c>
      <c r="F48" s="15">
        <f t="shared" si="4"/>
        <v>0</v>
      </c>
      <c r="AA48" s="29"/>
    </row>
    <row r="49" spans="1:27" x14ac:dyDescent="0.2">
      <c r="A49" s="13" t="s">
        <v>30</v>
      </c>
      <c r="D49" s="8"/>
      <c r="E49" s="11"/>
      <c r="F49" s="46">
        <f>SUM(F38:F48)</f>
        <v>0</v>
      </c>
      <c r="AA49" s="29"/>
    </row>
    <row r="50" spans="1:27" x14ac:dyDescent="0.2">
      <c r="A50" s="14" t="s">
        <v>15</v>
      </c>
      <c r="D50" s="9"/>
      <c r="E50" s="9"/>
      <c r="F50" s="16">
        <f ca="1">SUM(D23:D32)*B9/B15</f>
        <v>2372.6639297852726</v>
      </c>
      <c r="AA50" s="29"/>
    </row>
    <row r="51" spans="1:27" ht="13.5" thickBot="1" x14ac:dyDescent="0.25">
      <c r="A51" s="14" t="s">
        <v>31</v>
      </c>
      <c r="D51" s="9"/>
      <c r="E51" s="9"/>
      <c r="F51" s="17">
        <f ca="1">F49-F50</f>
        <v>-2372.6639297852726</v>
      </c>
      <c r="AA51" s="29"/>
    </row>
    <row r="52" spans="1:27" ht="13.5" thickTop="1" x14ac:dyDescent="0.2">
      <c r="A52" s="9"/>
      <c r="D52" s="9"/>
      <c r="E52" s="9"/>
      <c r="F52" s="9"/>
      <c r="AA52" s="29"/>
    </row>
    <row r="53" spans="1:27" x14ac:dyDescent="0.2">
      <c r="A53" s="9"/>
      <c r="D53" s="9"/>
      <c r="E53" s="9"/>
      <c r="F53" s="9"/>
      <c r="AA53" s="29"/>
    </row>
    <row r="54" spans="1:27" x14ac:dyDescent="0.2">
      <c r="A54" s="19" t="s">
        <v>16</v>
      </c>
      <c r="B54" s="18" t="str">
        <f ca="1">IF(AND(F35&lt;=B10,F51&lt;=B10),"Accept the population as fairly stated","Reject the population as materially misstated")</f>
        <v>Accept the population as fairly stated</v>
      </c>
      <c r="D54" s="9"/>
      <c r="E54" s="9"/>
      <c r="F54" s="9"/>
      <c r="AA54" s="29"/>
    </row>
    <row r="55" spans="1:27" x14ac:dyDescent="0.2">
      <c r="A55" s="9"/>
      <c r="B55" s="9"/>
      <c r="C55" s="9"/>
      <c r="D55" s="9"/>
      <c r="E55" s="9"/>
      <c r="F55" s="9"/>
      <c r="AA55" s="29"/>
    </row>
    <row r="56" spans="1:27" x14ac:dyDescent="0.2">
      <c r="AA56" s="29"/>
    </row>
    <row r="57" spans="1:27" x14ac:dyDescent="0.2">
      <c r="AA57" s="29"/>
    </row>
    <row r="58" spans="1:27" x14ac:dyDescent="0.2">
      <c r="AA58" s="29"/>
    </row>
    <row r="59" spans="1:27" x14ac:dyDescent="0.2">
      <c r="AA59" s="29"/>
    </row>
    <row r="60" spans="1:27" x14ac:dyDescent="0.2">
      <c r="AA60" s="29"/>
    </row>
    <row r="61" spans="1:27" x14ac:dyDescent="0.2">
      <c r="AA61" s="29"/>
    </row>
    <row r="62" spans="1:27" x14ac:dyDescent="0.2">
      <c r="AA62" s="29"/>
    </row>
    <row r="63" spans="1:27" x14ac:dyDescent="0.2">
      <c r="AA63" s="29"/>
    </row>
    <row r="64" spans="1:27" x14ac:dyDescent="0.2">
      <c r="AA64" s="29"/>
    </row>
    <row r="65" spans="27:27" x14ac:dyDescent="0.2">
      <c r="AA65" s="29"/>
    </row>
    <row r="66" spans="27:27" x14ac:dyDescent="0.2">
      <c r="AA66" s="29"/>
    </row>
    <row r="67" spans="27:27" x14ac:dyDescent="0.2">
      <c r="AA67" s="29"/>
    </row>
    <row r="68" spans="27:27" x14ac:dyDescent="0.2">
      <c r="AA68" s="29"/>
    </row>
    <row r="69" spans="27:27" x14ac:dyDescent="0.2">
      <c r="AA69" s="29"/>
    </row>
    <row r="70" spans="27:27" x14ac:dyDescent="0.2">
      <c r="AA70" s="29"/>
    </row>
    <row r="71" spans="27:27" x14ac:dyDescent="0.2">
      <c r="AA71" s="29"/>
    </row>
    <row r="72" spans="27:27" x14ac:dyDescent="0.2">
      <c r="AA72" s="29"/>
    </row>
    <row r="73" spans="27:27" x14ac:dyDescent="0.2">
      <c r="AA73" s="29"/>
    </row>
    <row r="74" spans="27:27" x14ac:dyDescent="0.2">
      <c r="AA74" s="29"/>
    </row>
    <row r="75" spans="27:27" x14ac:dyDescent="0.2">
      <c r="AA75" s="29"/>
    </row>
    <row r="76" spans="27:27" x14ac:dyDescent="0.2">
      <c r="AA76" s="29"/>
    </row>
    <row r="77" spans="27:27" x14ac:dyDescent="0.2">
      <c r="AA77" s="29"/>
    </row>
    <row r="78" spans="27:27" x14ac:dyDescent="0.2">
      <c r="AA78" s="29"/>
    </row>
    <row r="79" spans="27:27" x14ac:dyDescent="0.2">
      <c r="AA79" s="29"/>
    </row>
    <row r="80" spans="27:27" x14ac:dyDescent="0.2">
      <c r="AA80" s="29"/>
    </row>
    <row r="81" spans="27:27" x14ac:dyDescent="0.2">
      <c r="AA81" s="29"/>
    </row>
    <row r="82" spans="27:27" x14ac:dyDescent="0.2">
      <c r="AA82" s="29"/>
    </row>
    <row r="83" spans="27:27" x14ac:dyDescent="0.2">
      <c r="AA83" s="29"/>
    </row>
    <row r="84" spans="27:27" x14ac:dyDescent="0.2">
      <c r="AA84" s="29"/>
    </row>
    <row r="85" spans="27:27" x14ac:dyDescent="0.2">
      <c r="AA85" s="29"/>
    </row>
    <row r="86" spans="27:27" x14ac:dyDescent="0.2">
      <c r="AA86" s="29"/>
    </row>
    <row r="87" spans="27:27" x14ac:dyDescent="0.2">
      <c r="AA87" s="29"/>
    </row>
    <row r="88" spans="27:27" x14ac:dyDescent="0.2">
      <c r="AA88" s="29"/>
    </row>
    <row r="89" spans="27:27" x14ac:dyDescent="0.2">
      <c r="AA89" s="29"/>
    </row>
    <row r="90" spans="27:27" x14ac:dyDescent="0.2">
      <c r="AA90" s="29"/>
    </row>
    <row r="91" spans="27:27" x14ac:dyDescent="0.2">
      <c r="AA91" s="29"/>
    </row>
    <row r="92" spans="27:27" x14ac:dyDescent="0.2">
      <c r="AA92" s="29"/>
    </row>
    <row r="93" spans="27:27" x14ac:dyDescent="0.2">
      <c r="AA93" s="29"/>
    </row>
    <row r="94" spans="27:27" x14ac:dyDescent="0.2">
      <c r="AA94" s="29"/>
    </row>
    <row r="95" spans="27:27" x14ac:dyDescent="0.2">
      <c r="AA95" s="29"/>
    </row>
    <row r="96" spans="27:27" x14ac:dyDescent="0.2">
      <c r="AA96" s="29"/>
    </row>
    <row r="97" spans="27:27" x14ac:dyDescent="0.2">
      <c r="AA97" s="29"/>
    </row>
    <row r="98" spans="27:27" x14ac:dyDescent="0.2">
      <c r="AA98" s="29"/>
    </row>
    <row r="99" spans="27:27" x14ac:dyDescent="0.2">
      <c r="AA99" s="29"/>
    </row>
    <row r="100" spans="27:27" x14ac:dyDescent="0.2">
      <c r="AA100" s="29"/>
    </row>
    <row r="101" spans="27:27" x14ac:dyDescent="0.2">
      <c r="AA101" s="29"/>
    </row>
    <row r="102" spans="27:27" x14ac:dyDescent="0.2">
      <c r="AA102" s="29"/>
    </row>
    <row r="103" spans="27:27" x14ac:dyDescent="0.2">
      <c r="AA103" s="29"/>
    </row>
    <row r="104" spans="27:27" x14ac:dyDescent="0.2">
      <c r="AA104" s="29"/>
    </row>
    <row r="105" spans="27:27" x14ac:dyDescent="0.2">
      <c r="AA105" s="29"/>
    </row>
    <row r="106" spans="27:27" x14ac:dyDescent="0.2">
      <c r="AA106" s="29"/>
    </row>
    <row r="107" spans="27:27" x14ac:dyDescent="0.2">
      <c r="AA107" s="29"/>
    </row>
    <row r="108" spans="27:27" x14ac:dyDescent="0.2">
      <c r="AA108" s="29"/>
    </row>
    <row r="109" spans="27:27" x14ac:dyDescent="0.2">
      <c r="AA109" s="29"/>
    </row>
    <row r="110" spans="27:27" x14ac:dyDescent="0.2">
      <c r="AA110" s="29"/>
    </row>
    <row r="111" spans="27:27" x14ac:dyDescent="0.2">
      <c r="AA111" s="29"/>
    </row>
    <row r="112" spans="27:27" x14ac:dyDescent="0.2">
      <c r="AA112" s="29"/>
    </row>
    <row r="113" spans="27:27" x14ac:dyDescent="0.2">
      <c r="AA113" s="29"/>
    </row>
    <row r="114" spans="27:27" x14ac:dyDescent="0.2">
      <c r="AA114" s="29"/>
    </row>
    <row r="115" spans="27:27" x14ac:dyDescent="0.2">
      <c r="AA115" s="29"/>
    </row>
    <row r="116" spans="27:27" x14ac:dyDescent="0.2">
      <c r="AA116" s="29"/>
    </row>
    <row r="117" spans="27:27" x14ac:dyDescent="0.2">
      <c r="AA117" s="29"/>
    </row>
    <row r="118" spans="27:27" x14ac:dyDescent="0.2">
      <c r="AA118" s="29"/>
    </row>
    <row r="119" spans="27:27" x14ac:dyDescent="0.2">
      <c r="AA119" s="29"/>
    </row>
    <row r="120" spans="27:27" x14ac:dyDescent="0.2">
      <c r="AA120" s="29"/>
    </row>
    <row r="121" spans="27:27" x14ac:dyDescent="0.2">
      <c r="AA121" s="29"/>
    </row>
    <row r="122" spans="27:27" x14ac:dyDescent="0.2">
      <c r="AA122" s="29"/>
    </row>
    <row r="123" spans="27:27" x14ac:dyDescent="0.2">
      <c r="AA123" s="29"/>
    </row>
    <row r="124" spans="27:27" x14ac:dyDescent="0.2">
      <c r="AA124" s="29"/>
    </row>
    <row r="125" spans="27:27" x14ac:dyDescent="0.2">
      <c r="AA125" s="29"/>
    </row>
    <row r="126" spans="27:27" x14ac:dyDescent="0.2">
      <c r="AA126" s="29"/>
    </row>
    <row r="127" spans="27:27" x14ac:dyDescent="0.2">
      <c r="AA127" s="29"/>
    </row>
    <row r="128" spans="27:27" x14ac:dyDescent="0.2">
      <c r="AA128" s="29"/>
    </row>
    <row r="129" spans="27:27" x14ac:dyDescent="0.2">
      <c r="AA129" s="29"/>
    </row>
    <row r="130" spans="27:27" x14ac:dyDescent="0.2">
      <c r="AA130" s="29"/>
    </row>
    <row r="131" spans="27:27" x14ac:dyDescent="0.2">
      <c r="AA131" s="29"/>
    </row>
    <row r="132" spans="27:27" x14ac:dyDescent="0.2">
      <c r="AA132" s="29"/>
    </row>
    <row r="133" spans="27:27" x14ac:dyDescent="0.2">
      <c r="AA133" s="29"/>
    </row>
    <row r="134" spans="27:27" x14ac:dyDescent="0.2">
      <c r="AA134" s="29"/>
    </row>
    <row r="135" spans="27:27" x14ac:dyDescent="0.2">
      <c r="AA135" s="29"/>
    </row>
    <row r="136" spans="27:27" x14ac:dyDescent="0.2">
      <c r="AA136" s="29"/>
    </row>
    <row r="137" spans="27:27" x14ac:dyDescent="0.2">
      <c r="AA137" s="29"/>
    </row>
    <row r="138" spans="27:27" x14ac:dyDescent="0.2">
      <c r="AA138" s="29"/>
    </row>
    <row r="139" spans="27:27" x14ac:dyDescent="0.2">
      <c r="AA139" s="29"/>
    </row>
    <row r="140" spans="27:27" x14ac:dyDescent="0.2">
      <c r="AA140" s="29"/>
    </row>
    <row r="141" spans="27:27" x14ac:dyDescent="0.2">
      <c r="AA141" s="29"/>
    </row>
    <row r="142" spans="27:27" x14ac:dyDescent="0.2">
      <c r="AA142" s="29"/>
    </row>
    <row r="143" spans="27:27" x14ac:dyDescent="0.2">
      <c r="AA143" s="29"/>
    </row>
    <row r="144" spans="27:27" x14ac:dyDescent="0.2">
      <c r="AA144" s="29"/>
    </row>
    <row r="145" spans="27:27" x14ac:dyDescent="0.2">
      <c r="AA145" s="29"/>
    </row>
    <row r="146" spans="27:27" x14ac:dyDescent="0.2">
      <c r="AA146" s="29"/>
    </row>
    <row r="147" spans="27:27" x14ac:dyDescent="0.2">
      <c r="AA147" s="29"/>
    </row>
    <row r="148" spans="27:27" x14ac:dyDescent="0.2">
      <c r="AA148" s="29"/>
    </row>
    <row r="149" spans="27:27" x14ac:dyDescent="0.2">
      <c r="AA149" s="29"/>
    </row>
    <row r="150" spans="27:27" x14ac:dyDescent="0.2">
      <c r="AA150" s="29"/>
    </row>
    <row r="151" spans="27:27" x14ac:dyDescent="0.2">
      <c r="AA151" s="29"/>
    </row>
    <row r="152" spans="27:27" x14ac:dyDescent="0.2">
      <c r="AA152" s="29"/>
    </row>
    <row r="153" spans="27:27" x14ac:dyDescent="0.2">
      <c r="AA153" s="29"/>
    </row>
    <row r="154" spans="27:27" x14ac:dyDescent="0.2">
      <c r="AA154" s="29"/>
    </row>
    <row r="155" spans="27:27" x14ac:dyDescent="0.2">
      <c r="AA155" s="29"/>
    </row>
    <row r="156" spans="27:27" x14ac:dyDescent="0.2">
      <c r="AA156" s="29"/>
    </row>
    <row r="157" spans="27:27" x14ac:dyDescent="0.2">
      <c r="AA157" s="29"/>
    </row>
    <row r="158" spans="27:27" x14ac:dyDescent="0.2">
      <c r="AA158" s="29"/>
    </row>
    <row r="159" spans="27:27" x14ac:dyDescent="0.2">
      <c r="AA159" s="29"/>
    </row>
    <row r="160" spans="27:27" x14ac:dyDescent="0.2">
      <c r="AA160" s="29"/>
    </row>
    <row r="161" spans="27:27" x14ac:dyDescent="0.2">
      <c r="AA161" s="29"/>
    </row>
    <row r="162" spans="27:27" x14ac:dyDescent="0.2">
      <c r="AA162" s="29"/>
    </row>
    <row r="163" spans="27:27" x14ac:dyDescent="0.2">
      <c r="AA163" s="29"/>
    </row>
    <row r="164" spans="27:27" x14ac:dyDescent="0.2">
      <c r="AA164" s="29"/>
    </row>
    <row r="165" spans="27:27" x14ac:dyDescent="0.2">
      <c r="AA165" s="29"/>
    </row>
    <row r="166" spans="27:27" x14ac:dyDescent="0.2">
      <c r="AA166" s="29"/>
    </row>
    <row r="167" spans="27:27" x14ac:dyDescent="0.2">
      <c r="AA167" s="29"/>
    </row>
    <row r="168" spans="27:27" x14ac:dyDescent="0.2">
      <c r="AA168" s="29"/>
    </row>
    <row r="169" spans="27:27" x14ac:dyDescent="0.2">
      <c r="AA169" s="29"/>
    </row>
    <row r="170" spans="27:27" x14ac:dyDescent="0.2">
      <c r="AA170" s="29"/>
    </row>
    <row r="171" spans="27:27" x14ac:dyDescent="0.2">
      <c r="AA171" s="29"/>
    </row>
    <row r="172" spans="27:27" x14ac:dyDescent="0.2">
      <c r="AA172" s="29"/>
    </row>
    <row r="173" spans="27:27" x14ac:dyDescent="0.2">
      <c r="AA173" s="29"/>
    </row>
    <row r="174" spans="27:27" x14ac:dyDescent="0.2">
      <c r="AA174" s="29"/>
    </row>
    <row r="175" spans="27:27" x14ac:dyDescent="0.2">
      <c r="AA175" s="29"/>
    </row>
    <row r="176" spans="27:27" x14ac:dyDescent="0.2">
      <c r="AA176" s="29"/>
    </row>
    <row r="177" spans="27:27" x14ac:dyDescent="0.2">
      <c r="AA177" s="29"/>
    </row>
    <row r="178" spans="27:27" x14ac:dyDescent="0.2">
      <c r="AA178" s="29"/>
    </row>
    <row r="179" spans="27:27" x14ac:dyDescent="0.2">
      <c r="AA179" s="29"/>
    </row>
    <row r="180" spans="27:27" x14ac:dyDescent="0.2">
      <c r="AA180" s="29"/>
    </row>
    <row r="181" spans="27:27" x14ac:dyDescent="0.2">
      <c r="AA181" s="29"/>
    </row>
    <row r="182" spans="27:27" x14ac:dyDescent="0.2">
      <c r="AA182" s="29"/>
    </row>
    <row r="183" spans="27:27" x14ac:dyDescent="0.2">
      <c r="AA183" s="29"/>
    </row>
    <row r="184" spans="27:27" x14ac:dyDescent="0.2">
      <c r="AA184" s="29"/>
    </row>
    <row r="185" spans="27:27" x14ac:dyDescent="0.2">
      <c r="AA185" s="29"/>
    </row>
    <row r="186" spans="27:27" x14ac:dyDescent="0.2">
      <c r="AA186" s="29"/>
    </row>
    <row r="187" spans="27:27" x14ac:dyDescent="0.2">
      <c r="AA187" s="29"/>
    </row>
    <row r="188" spans="27:27" x14ac:dyDescent="0.2">
      <c r="AA188" s="29"/>
    </row>
    <row r="189" spans="27:27" x14ac:dyDescent="0.2">
      <c r="AA189" s="29"/>
    </row>
    <row r="190" spans="27:27" x14ac:dyDescent="0.2">
      <c r="AA190" s="29"/>
    </row>
    <row r="191" spans="27:27" x14ac:dyDescent="0.2">
      <c r="AA191" s="29"/>
    </row>
    <row r="192" spans="27:27" x14ac:dyDescent="0.2">
      <c r="AA192" s="29"/>
    </row>
    <row r="193" spans="27:27" x14ac:dyDescent="0.2">
      <c r="AA193" s="29"/>
    </row>
    <row r="194" spans="27:27" x14ac:dyDescent="0.2">
      <c r="AA194" s="29"/>
    </row>
    <row r="195" spans="27:27" x14ac:dyDescent="0.2">
      <c r="AA195" s="29"/>
    </row>
    <row r="196" spans="27:27" x14ac:dyDescent="0.2">
      <c r="AA196" s="29"/>
    </row>
    <row r="197" spans="27:27" x14ac:dyDescent="0.2">
      <c r="AA197" s="29"/>
    </row>
    <row r="198" spans="27:27" x14ac:dyDescent="0.2">
      <c r="AA198" s="29"/>
    </row>
    <row r="199" spans="27:27" x14ac:dyDescent="0.2">
      <c r="AA199" s="29"/>
    </row>
    <row r="200" spans="27:27" x14ac:dyDescent="0.2">
      <c r="AA200" s="29"/>
    </row>
    <row r="201" spans="27:27" x14ac:dyDescent="0.2">
      <c r="AA201" s="29"/>
    </row>
    <row r="202" spans="27:27" x14ac:dyDescent="0.2">
      <c r="AA202" s="29"/>
    </row>
    <row r="203" spans="27:27" x14ac:dyDescent="0.2">
      <c r="AA203" s="29"/>
    </row>
    <row r="204" spans="27:27" x14ac:dyDescent="0.2">
      <c r="AA204" s="29"/>
    </row>
    <row r="205" spans="27:27" x14ac:dyDescent="0.2">
      <c r="AA205" s="29"/>
    </row>
    <row r="206" spans="27:27" x14ac:dyDescent="0.2">
      <c r="AA206" s="29"/>
    </row>
    <row r="207" spans="27:27" x14ac:dyDescent="0.2">
      <c r="AA207" s="29"/>
    </row>
    <row r="208" spans="27:27" x14ac:dyDescent="0.2">
      <c r="AA208" s="29"/>
    </row>
    <row r="209" spans="27:27" x14ac:dyDescent="0.2">
      <c r="AA209" s="29"/>
    </row>
    <row r="210" spans="27:27" x14ac:dyDescent="0.2">
      <c r="AA210" s="29"/>
    </row>
    <row r="211" spans="27:27" x14ac:dyDescent="0.2">
      <c r="AA211" s="29"/>
    </row>
    <row r="212" spans="27:27" x14ac:dyDescent="0.2">
      <c r="AA212" s="29"/>
    </row>
    <row r="213" spans="27:27" x14ac:dyDescent="0.2">
      <c r="AA213" s="29"/>
    </row>
    <row r="214" spans="27:27" x14ac:dyDescent="0.2">
      <c r="AA214" s="29"/>
    </row>
    <row r="215" spans="27:27" x14ac:dyDescent="0.2">
      <c r="AA215" s="29"/>
    </row>
    <row r="216" spans="27:27" x14ac:dyDescent="0.2">
      <c r="AA216" s="29"/>
    </row>
    <row r="217" spans="27:27" x14ac:dyDescent="0.2">
      <c r="AA217" s="29"/>
    </row>
    <row r="218" spans="27:27" x14ac:dyDescent="0.2">
      <c r="AA218" s="29"/>
    </row>
    <row r="219" spans="27:27" x14ac:dyDescent="0.2">
      <c r="AA219" s="29"/>
    </row>
    <row r="220" spans="27:27" x14ac:dyDescent="0.2">
      <c r="AA220" s="29"/>
    </row>
    <row r="221" spans="27:27" x14ac:dyDescent="0.2">
      <c r="AA221" s="29"/>
    </row>
    <row r="222" spans="27:27" x14ac:dyDescent="0.2">
      <c r="AA222" s="29"/>
    </row>
    <row r="223" spans="27:27" x14ac:dyDescent="0.2">
      <c r="AA223" s="29"/>
    </row>
    <row r="224" spans="27:27" x14ac:dyDescent="0.2">
      <c r="AA224" s="29"/>
    </row>
    <row r="225" spans="27:27" x14ac:dyDescent="0.2">
      <c r="AA225" s="29"/>
    </row>
    <row r="226" spans="27:27" x14ac:dyDescent="0.2">
      <c r="AA226" s="29"/>
    </row>
    <row r="227" spans="27:27" x14ac:dyDescent="0.2">
      <c r="AA227" s="29"/>
    </row>
    <row r="228" spans="27:27" x14ac:dyDescent="0.2">
      <c r="AA228" s="29"/>
    </row>
    <row r="229" spans="27:27" x14ac:dyDescent="0.2">
      <c r="AA229" s="29"/>
    </row>
    <row r="230" spans="27:27" x14ac:dyDescent="0.2">
      <c r="AA230" s="29"/>
    </row>
    <row r="231" spans="27:27" x14ac:dyDescent="0.2">
      <c r="AA231" s="29"/>
    </row>
    <row r="232" spans="27:27" x14ac:dyDescent="0.2">
      <c r="AA232" s="29"/>
    </row>
    <row r="233" spans="27:27" x14ac:dyDescent="0.2">
      <c r="AA233" s="29"/>
    </row>
    <row r="234" spans="27:27" x14ac:dyDescent="0.2">
      <c r="AA234" s="29"/>
    </row>
    <row r="235" spans="27:27" x14ac:dyDescent="0.2">
      <c r="AA235" s="29"/>
    </row>
    <row r="236" spans="27:27" x14ac:dyDescent="0.2">
      <c r="AA236" s="29"/>
    </row>
    <row r="237" spans="27:27" x14ac:dyDescent="0.2">
      <c r="AA237" s="29"/>
    </row>
    <row r="238" spans="27:27" x14ac:dyDescent="0.2">
      <c r="AA238" s="29"/>
    </row>
    <row r="239" spans="27:27" x14ac:dyDescent="0.2">
      <c r="AA239" s="29"/>
    </row>
    <row r="240" spans="27:27" x14ac:dyDescent="0.2">
      <c r="AA240" s="29"/>
    </row>
    <row r="241" spans="27:27" x14ac:dyDescent="0.2">
      <c r="AA241" s="29"/>
    </row>
    <row r="242" spans="27:27" x14ac:dyDescent="0.2">
      <c r="AA242" s="29"/>
    </row>
    <row r="243" spans="27:27" x14ac:dyDescent="0.2">
      <c r="AA243" s="29"/>
    </row>
    <row r="244" spans="27:27" x14ac:dyDescent="0.2">
      <c r="AA244" s="29"/>
    </row>
    <row r="245" spans="27:27" x14ac:dyDescent="0.2">
      <c r="AA245" s="29"/>
    </row>
    <row r="246" spans="27:27" x14ac:dyDescent="0.2">
      <c r="AA246" s="29"/>
    </row>
    <row r="247" spans="27:27" x14ac:dyDescent="0.2">
      <c r="AA247" s="29"/>
    </row>
    <row r="248" spans="27:27" x14ac:dyDescent="0.2">
      <c r="AA248" s="29"/>
    </row>
    <row r="249" spans="27:27" x14ac:dyDescent="0.2">
      <c r="AA249" s="29"/>
    </row>
    <row r="250" spans="27:27" x14ac:dyDescent="0.2">
      <c r="AA250" s="29"/>
    </row>
    <row r="251" spans="27:27" x14ac:dyDescent="0.2">
      <c r="AA251" s="29"/>
    </row>
    <row r="252" spans="27:27" x14ac:dyDescent="0.2">
      <c r="AA252" s="29"/>
    </row>
    <row r="253" spans="27:27" x14ac:dyDescent="0.2">
      <c r="AA253" s="29"/>
    </row>
    <row r="254" spans="27:27" x14ac:dyDescent="0.2">
      <c r="AA254" s="29"/>
    </row>
    <row r="255" spans="27:27" x14ac:dyDescent="0.2">
      <c r="AA255" s="29"/>
    </row>
    <row r="256" spans="27:27" x14ac:dyDescent="0.2">
      <c r="AA256" s="29"/>
    </row>
    <row r="257" spans="27:27" x14ac:dyDescent="0.2">
      <c r="AA257" s="29"/>
    </row>
    <row r="258" spans="27:27" x14ac:dyDescent="0.2">
      <c r="AA258" s="29"/>
    </row>
    <row r="259" spans="27:27" x14ac:dyDescent="0.2">
      <c r="AA259" s="29"/>
    </row>
    <row r="260" spans="27:27" x14ac:dyDescent="0.2">
      <c r="AA260" s="29"/>
    </row>
    <row r="261" spans="27:27" x14ac:dyDescent="0.2">
      <c r="AA261" s="29"/>
    </row>
    <row r="262" spans="27:27" x14ac:dyDescent="0.2">
      <c r="AA262" s="29"/>
    </row>
    <row r="263" spans="27:27" x14ac:dyDescent="0.2">
      <c r="AA263" s="29"/>
    </row>
    <row r="264" spans="27:27" x14ac:dyDescent="0.2">
      <c r="AA264" s="29"/>
    </row>
    <row r="265" spans="27:27" x14ac:dyDescent="0.2">
      <c r="AA265" s="29"/>
    </row>
    <row r="266" spans="27:27" x14ac:dyDescent="0.2">
      <c r="AA266" s="29"/>
    </row>
    <row r="267" spans="27:27" x14ac:dyDescent="0.2">
      <c r="AA267" s="29"/>
    </row>
    <row r="268" spans="27:27" x14ac:dyDescent="0.2">
      <c r="AA268" s="29"/>
    </row>
    <row r="269" spans="27:27" x14ac:dyDescent="0.2">
      <c r="AA269" s="29"/>
    </row>
    <row r="270" spans="27:27" x14ac:dyDescent="0.2">
      <c r="AA270" s="29"/>
    </row>
    <row r="271" spans="27:27" x14ac:dyDescent="0.2">
      <c r="AA271" s="29"/>
    </row>
    <row r="272" spans="27:27" x14ac:dyDescent="0.2">
      <c r="AA272" s="29"/>
    </row>
    <row r="273" spans="27:27" x14ac:dyDescent="0.2">
      <c r="AA273" s="29"/>
    </row>
    <row r="274" spans="27:27" x14ac:dyDescent="0.2">
      <c r="AA274" s="29"/>
    </row>
    <row r="275" spans="27:27" x14ac:dyDescent="0.2">
      <c r="AA275" s="29"/>
    </row>
    <row r="276" spans="27:27" x14ac:dyDescent="0.2">
      <c r="AA276" s="29"/>
    </row>
    <row r="277" spans="27:27" x14ac:dyDescent="0.2">
      <c r="AA277" s="29"/>
    </row>
    <row r="278" spans="27:27" x14ac:dyDescent="0.2">
      <c r="AA278" s="29"/>
    </row>
    <row r="279" spans="27:27" x14ac:dyDescent="0.2">
      <c r="AA279" s="29"/>
    </row>
    <row r="280" spans="27:27" x14ac:dyDescent="0.2">
      <c r="AA280" s="29"/>
    </row>
    <row r="281" spans="27:27" x14ac:dyDescent="0.2">
      <c r="AA281" s="29"/>
    </row>
    <row r="282" spans="27:27" x14ac:dyDescent="0.2">
      <c r="AA282" s="29"/>
    </row>
    <row r="283" spans="27:27" x14ac:dyDescent="0.2">
      <c r="AA283" s="29"/>
    </row>
    <row r="284" spans="27:27" x14ac:dyDescent="0.2">
      <c r="AA284" s="29"/>
    </row>
    <row r="285" spans="27:27" x14ac:dyDescent="0.2">
      <c r="AA285" s="29"/>
    </row>
    <row r="286" spans="27:27" x14ac:dyDescent="0.2">
      <c r="AA286" s="29"/>
    </row>
    <row r="287" spans="27:27" x14ac:dyDescent="0.2">
      <c r="AA287" s="29"/>
    </row>
    <row r="288" spans="27:27" x14ac:dyDescent="0.2">
      <c r="AA288" s="29"/>
    </row>
    <row r="289" spans="27:27" x14ac:dyDescent="0.2">
      <c r="AA289" s="29"/>
    </row>
    <row r="290" spans="27:27" x14ac:dyDescent="0.2">
      <c r="AA290" s="29"/>
    </row>
    <row r="291" spans="27:27" x14ac:dyDescent="0.2">
      <c r="AA291" s="29"/>
    </row>
    <row r="292" spans="27:27" x14ac:dyDescent="0.2">
      <c r="AA292" s="29"/>
    </row>
    <row r="293" spans="27:27" x14ac:dyDescent="0.2">
      <c r="AA293" s="29"/>
    </row>
    <row r="294" spans="27:27" x14ac:dyDescent="0.2">
      <c r="AA294" s="29"/>
    </row>
    <row r="295" spans="27:27" x14ac:dyDescent="0.2">
      <c r="AA295" s="29"/>
    </row>
    <row r="296" spans="27:27" x14ac:dyDescent="0.2">
      <c r="AA296" s="29"/>
    </row>
    <row r="297" spans="27:27" x14ac:dyDescent="0.2">
      <c r="AA297" s="29"/>
    </row>
    <row r="298" spans="27:27" x14ac:dyDescent="0.2">
      <c r="AA298" s="29"/>
    </row>
    <row r="299" spans="27:27" x14ac:dyDescent="0.2">
      <c r="AA299" s="29"/>
    </row>
    <row r="300" spans="27:27" x14ac:dyDescent="0.2">
      <c r="AA300" s="29"/>
    </row>
    <row r="301" spans="27:27" x14ac:dyDescent="0.2">
      <c r="AA301" s="29"/>
    </row>
    <row r="302" spans="27:27" x14ac:dyDescent="0.2">
      <c r="AA302" s="29"/>
    </row>
    <row r="303" spans="27:27" x14ac:dyDescent="0.2">
      <c r="AA303" s="29"/>
    </row>
    <row r="304" spans="27:27" x14ac:dyDescent="0.2">
      <c r="AA304" s="29"/>
    </row>
    <row r="305" spans="27:27" x14ac:dyDescent="0.2">
      <c r="AA305" s="29"/>
    </row>
    <row r="306" spans="27:27" x14ac:dyDescent="0.2">
      <c r="AA306" s="29"/>
    </row>
    <row r="307" spans="27:27" x14ac:dyDescent="0.2">
      <c r="AA307" s="29"/>
    </row>
    <row r="308" spans="27:27" x14ac:dyDescent="0.2">
      <c r="AA308" s="29"/>
    </row>
    <row r="309" spans="27:27" x14ac:dyDescent="0.2">
      <c r="AA309" s="29"/>
    </row>
    <row r="310" spans="27:27" x14ac:dyDescent="0.2">
      <c r="AA310" s="29"/>
    </row>
    <row r="311" spans="27:27" x14ac:dyDescent="0.2">
      <c r="AA311" s="29"/>
    </row>
    <row r="312" spans="27:27" x14ac:dyDescent="0.2">
      <c r="AA312" s="29"/>
    </row>
    <row r="313" spans="27:27" x14ac:dyDescent="0.2">
      <c r="AA313" s="29"/>
    </row>
    <row r="314" spans="27:27" x14ac:dyDescent="0.2">
      <c r="AA314" s="29"/>
    </row>
    <row r="315" spans="27:27" x14ac:dyDescent="0.2">
      <c r="AA315" s="29"/>
    </row>
    <row r="316" spans="27:27" x14ac:dyDescent="0.2">
      <c r="AA316" s="29"/>
    </row>
    <row r="317" spans="27:27" x14ac:dyDescent="0.2">
      <c r="AA317" s="29"/>
    </row>
    <row r="318" spans="27:27" x14ac:dyDescent="0.2">
      <c r="AA318" s="29"/>
    </row>
    <row r="319" spans="27:27" x14ac:dyDescent="0.2">
      <c r="AA319" s="29"/>
    </row>
    <row r="320" spans="27:27" x14ac:dyDescent="0.2">
      <c r="AA320" s="29"/>
    </row>
    <row r="321" spans="27:27" x14ac:dyDescent="0.2">
      <c r="AA321" s="29"/>
    </row>
    <row r="322" spans="27:27" x14ac:dyDescent="0.2">
      <c r="AA322" s="29"/>
    </row>
    <row r="323" spans="27:27" x14ac:dyDescent="0.2">
      <c r="AA323" s="29"/>
    </row>
    <row r="324" spans="27:27" x14ac:dyDescent="0.2">
      <c r="AA324" s="29"/>
    </row>
    <row r="325" spans="27:27" x14ac:dyDescent="0.2">
      <c r="AA325" s="29"/>
    </row>
    <row r="326" spans="27:27" x14ac:dyDescent="0.2">
      <c r="AA326" s="29"/>
    </row>
    <row r="327" spans="27:27" x14ac:dyDescent="0.2">
      <c r="AA327" s="29"/>
    </row>
    <row r="328" spans="27:27" x14ac:dyDescent="0.2">
      <c r="AA328" s="29"/>
    </row>
    <row r="329" spans="27:27" x14ac:dyDescent="0.2">
      <c r="AA329" s="29"/>
    </row>
    <row r="330" spans="27:27" x14ac:dyDescent="0.2">
      <c r="AA330" s="29"/>
    </row>
    <row r="331" spans="27:27" x14ac:dyDescent="0.2">
      <c r="AA331" s="29"/>
    </row>
    <row r="332" spans="27:27" x14ac:dyDescent="0.2">
      <c r="AA332" s="29"/>
    </row>
    <row r="333" spans="27:27" x14ac:dyDescent="0.2">
      <c r="AA333" s="29"/>
    </row>
    <row r="334" spans="27:27" x14ac:dyDescent="0.2">
      <c r="AA334" s="29"/>
    </row>
    <row r="335" spans="27:27" x14ac:dyDescent="0.2">
      <c r="AA335" s="29"/>
    </row>
    <row r="336" spans="27:27" x14ac:dyDescent="0.2">
      <c r="AA336" s="29"/>
    </row>
    <row r="337" spans="27:27" x14ac:dyDescent="0.2">
      <c r="AA337" s="29"/>
    </row>
    <row r="338" spans="27:27" x14ac:dyDescent="0.2">
      <c r="AA338" s="29"/>
    </row>
    <row r="339" spans="27:27" x14ac:dyDescent="0.2">
      <c r="AA339" s="29"/>
    </row>
    <row r="340" spans="27:27" x14ac:dyDescent="0.2">
      <c r="AA340" s="29"/>
    </row>
    <row r="341" spans="27:27" x14ac:dyDescent="0.2">
      <c r="AA341" s="29"/>
    </row>
    <row r="342" spans="27:27" x14ac:dyDescent="0.2">
      <c r="AA342" s="29"/>
    </row>
    <row r="343" spans="27:27" x14ac:dyDescent="0.2">
      <c r="AA343" s="29"/>
    </row>
    <row r="344" spans="27:27" x14ac:dyDescent="0.2">
      <c r="AA344" s="29"/>
    </row>
    <row r="345" spans="27:27" x14ac:dyDescent="0.2">
      <c r="AA345" s="29"/>
    </row>
    <row r="346" spans="27:27" x14ac:dyDescent="0.2">
      <c r="AA346" s="29"/>
    </row>
    <row r="347" spans="27:27" x14ac:dyDescent="0.2">
      <c r="AA347" s="29"/>
    </row>
    <row r="348" spans="27:27" x14ac:dyDescent="0.2">
      <c r="AA348" s="29"/>
    </row>
    <row r="349" spans="27:27" x14ac:dyDescent="0.2">
      <c r="AA349" s="29"/>
    </row>
    <row r="350" spans="27:27" x14ac:dyDescent="0.2">
      <c r="AA350" s="29"/>
    </row>
    <row r="351" spans="27:27" x14ac:dyDescent="0.2">
      <c r="AA351" s="29"/>
    </row>
    <row r="352" spans="27:27" x14ac:dyDescent="0.2">
      <c r="AA352" s="29"/>
    </row>
    <row r="353" spans="27:27" x14ac:dyDescent="0.2">
      <c r="AA353" s="29"/>
    </row>
    <row r="354" spans="27:27" x14ac:dyDescent="0.2">
      <c r="AA354" s="29"/>
    </row>
    <row r="355" spans="27:27" x14ac:dyDescent="0.2">
      <c r="AA355" s="29"/>
    </row>
    <row r="356" spans="27:27" x14ac:dyDescent="0.2">
      <c r="AA356" s="29"/>
    </row>
    <row r="357" spans="27:27" x14ac:dyDescent="0.2">
      <c r="AA357" s="29"/>
    </row>
    <row r="358" spans="27:27" x14ac:dyDescent="0.2">
      <c r="AA358" s="29"/>
    </row>
    <row r="359" spans="27:27" x14ac:dyDescent="0.2">
      <c r="AA359" s="29"/>
    </row>
    <row r="360" spans="27:27" x14ac:dyDescent="0.2">
      <c r="AA360" s="29"/>
    </row>
    <row r="361" spans="27:27" x14ac:dyDescent="0.2">
      <c r="AA361" s="29"/>
    </row>
    <row r="362" spans="27:27" x14ac:dyDescent="0.2">
      <c r="AA362" s="29"/>
    </row>
    <row r="363" spans="27:27" x14ac:dyDescent="0.2">
      <c r="AA363" s="29"/>
    </row>
    <row r="364" spans="27:27" x14ac:dyDescent="0.2">
      <c r="AA364" s="29"/>
    </row>
    <row r="365" spans="27:27" x14ac:dyDescent="0.2">
      <c r="AA365" s="29"/>
    </row>
    <row r="366" spans="27:27" x14ac:dyDescent="0.2">
      <c r="AA366" s="29"/>
    </row>
    <row r="367" spans="27:27" x14ac:dyDescent="0.2">
      <c r="AA367" s="29"/>
    </row>
    <row r="368" spans="27:27" x14ac:dyDescent="0.2">
      <c r="AA368" s="29"/>
    </row>
    <row r="369" spans="27:27" x14ac:dyDescent="0.2">
      <c r="AA369" s="29"/>
    </row>
    <row r="370" spans="27:27" x14ac:dyDescent="0.2">
      <c r="AA370" s="29"/>
    </row>
    <row r="371" spans="27:27" x14ac:dyDescent="0.2">
      <c r="AA371" s="29"/>
    </row>
    <row r="372" spans="27:27" x14ac:dyDescent="0.2">
      <c r="AA372" s="29"/>
    </row>
    <row r="373" spans="27:27" x14ac:dyDescent="0.2">
      <c r="AA373" s="29"/>
    </row>
    <row r="374" spans="27:27" x14ac:dyDescent="0.2">
      <c r="AA374" s="29"/>
    </row>
    <row r="375" spans="27:27" x14ac:dyDescent="0.2">
      <c r="AA375" s="29"/>
    </row>
    <row r="376" spans="27:27" x14ac:dyDescent="0.2">
      <c r="AA376" s="29"/>
    </row>
    <row r="377" spans="27:27" x14ac:dyDescent="0.2">
      <c r="AA377" s="29"/>
    </row>
    <row r="378" spans="27:27" x14ac:dyDescent="0.2">
      <c r="AA378" s="29"/>
    </row>
    <row r="379" spans="27:27" x14ac:dyDescent="0.2">
      <c r="AA379" s="29"/>
    </row>
    <row r="380" spans="27:27" x14ac:dyDescent="0.2">
      <c r="AA380" s="29"/>
    </row>
    <row r="381" spans="27:27" x14ac:dyDescent="0.2">
      <c r="AA381" s="29"/>
    </row>
    <row r="382" spans="27:27" x14ac:dyDescent="0.2">
      <c r="AA382" s="29"/>
    </row>
    <row r="383" spans="27:27" x14ac:dyDescent="0.2">
      <c r="AA383" s="29"/>
    </row>
    <row r="384" spans="27:27" x14ac:dyDescent="0.2">
      <c r="AA384" s="29"/>
    </row>
    <row r="385" spans="27:27" x14ac:dyDescent="0.2">
      <c r="AA385" s="29"/>
    </row>
    <row r="386" spans="27:27" x14ac:dyDescent="0.2">
      <c r="AA386" s="29"/>
    </row>
    <row r="387" spans="27:27" x14ac:dyDescent="0.2">
      <c r="AA387" s="29"/>
    </row>
    <row r="388" spans="27:27" x14ac:dyDescent="0.2">
      <c r="AA388" s="29"/>
    </row>
    <row r="389" spans="27:27" x14ac:dyDescent="0.2">
      <c r="AA389" s="29"/>
    </row>
    <row r="390" spans="27:27" x14ac:dyDescent="0.2">
      <c r="AA390" s="29"/>
    </row>
    <row r="391" spans="27:27" x14ac:dyDescent="0.2">
      <c r="AA391" s="29"/>
    </row>
    <row r="392" spans="27:27" x14ac:dyDescent="0.2">
      <c r="AA392" s="29"/>
    </row>
    <row r="393" spans="27:27" x14ac:dyDescent="0.2">
      <c r="AA393" s="29"/>
    </row>
    <row r="394" spans="27:27" x14ac:dyDescent="0.2">
      <c r="AA394" s="29"/>
    </row>
    <row r="395" spans="27:27" x14ac:dyDescent="0.2">
      <c r="AA395" s="29"/>
    </row>
    <row r="396" spans="27:27" x14ac:dyDescent="0.2">
      <c r="AA396" s="29"/>
    </row>
    <row r="397" spans="27:27" x14ac:dyDescent="0.2">
      <c r="AA397" s="29"/>
    </row>
    <row r="398" spans="27:27" x14ac:dyDescent="0.2">
      <c r="AA398" s="29"/>
    </row>
    <row r="399" spans="27:27" x14ac:dyDescent="0.2">
      <c r="AA399" s="29"/>
    </row>
    <row r="400" spans="27:27" x14ac:dyDescent="0.2">
      <c r="AA400" s="29"/>
    </row>
    <row r="401" spans="27:27" x14ac:dyDescent="0.2">
      <c r="AA401" s="29"/>
    </row>
    <row r="402" spans="27:27" x14ac:dyDescent="0.2">
      <c r="AA402" s="29"/>
    </row>
    <row r="403" spans="27:27" x14ac:dyDescent="0.2">
      <c r="AA403" s="29"/>
    </row>
    <row r="404" spans="27:27" x14ac:dyDescent="0.2">
      <c r="AA404" s="29"/>
    </row>
    <row r="405" spans="27:27" x14ac:dyDescent="0.2">
      <c r="AA405" s="29"/>
    </row>
    <row r="406" spans="27:27" x14ac:dyDescent="0.2">
      <c r="AA406" s="29"/>
    </row>
    <row r="407" spans="27:27" x14ac:dyDescent="0.2">
      <c r="AA407" s="29"/>
    </row>
    <row r="408" spans="27:27" x14ac:dyDescent="0.2">
      <c r="AA408" s="29"/>
    </row>
    <row r="409" spans="27:27" x14ac:dyDescent="0.2">
      <c r="AA409" s="29"/>
    </row>
    <row r="410" spans="27:27" x14ac:dyDescent="0.2">
      <c r="AA410" s="29"/>
    </row>
    <row r="411" spans="27:27" x14ac:dyDescent="0.2">
      <c r="AA411" s="29"/>
    </row>
    <row r="412" spans="27:27" x14ac:dyDescent="0.2">
      <c r="AA412" s="29"/>
    </row>
    <row r="413" spans="27:27" x14ac:dyDescent="0.2">
      <c r="AA413" s="29"/>
    </row>
    <row r="414" spans="27:27" x14ac:dyDescent="0.2">
      <c r="AA414" s="29"/>
    </row>
    <row r="415" spans="27:27" x14ac:dyDescent="0.2">
      <c r="AA415" s="29"/>
    </row>
    <row r="416" spans="27:27" x14ac:dyDescent="0.2">
      <c r="AA416" s="29"/>
    </row>
    <row r="417" spans="27:27" x14ac:dyDescent="0.2">
      <c r="AA417" s="29"/>
    </row>
    <row r="418" spans="27:27" x14ac:dyDescent="0.2">
      <c r="AA418" s="29"/>
    </row>
    <row r="419" spans="27:27" x14ac:dyDescent="0.2">
      <c r="AA419" s="29"/>
    </row>
    <row r="420" spans="27:27" x14ac:dyDescent="0.2">
      <c r="AA420" s="29"/>
    </row>
    <row r="421" spans="27:27" x14ac:dyDescent="0.2">
      <c r="AA421" s="29"/>
    </row>
    <row r="422" spans="27:27" x14ac:dyDescent="0.2">
      <c r="AA422" s="29"/>
    </row>
    <row r="423" spans="27:27" x14ac:dyDescent="0.2">
      <c r="AA423" s="29"/>
    </row>
    <row r="424" spans="27:27" x14ac:dyDescent="0.2">
      <c r="AA424" s="29"/>
    </row>
    <row r="425" spans="27:27" x14ac:dyDescent="0.2">
      <c r="AA425" s="29"/>
    </row>
    <row r="426" spans="27:27" x14ac:dyDescent="0.2">
      <c r="AA426" s="29"/>
    </row>
    <row r="427" spans="27:27" x14ac:dyDescent="0.2">
      <c r="AA427" s="29"/>
    </row>
    <row r="428" spans="27:27" x14ac:dyDescent="0.2">
      <c r="AA428" s="29"/>
    </row>
    <row r="429" spans="27:27" x14ac:dyDescent="0.2">
      <c r="AA429" s="29"/>
    </row>
    <row r="430" spans="27:27" x14ac:dyDescent="0.2">
      <c r="AA430" s="29"/>
    </row>
    <row r="431" spans="27:27" x14ac:dyDescent="0.2">
      <c r="AA431" s="29"/>
    </row>
    <row r="432" spans="27:27" x14ac:dyDescent="0.2">
      <c r="AA432" s="29"/>
    </row>
    <row r="433" spans="27:27" x14ac:dyDescent="0.2">
      <c r="AA433" s="29"/>
    </row>
    <row r="434" spans="27:27" x14ac:dyDescent="0.2">
      <c r="AA434" s="29"/>
    </row>
    <row r="435" spans="27:27" x14ac:dyDescent="0.2">
      <c r="AA435" s="29"/>
    </row>
    <row r="436" spans="27:27" x14ac:dyDescent="0.2">
      <c r="AA436" s="29"/>
    </row>
    <row r="437" spans="27:27" x14ac:dyDescent="0.2">
      <c r="AA437" s="29"/>
    </row>
    <row r="438" spans="27:27" x14ac:dyDescent="0.2">
      <c r="AA438" s="29"/>
    </row>
    <row r="439" spans="27:27" x14ac:dyDescent="0.2">
      <c r="AA439" s="29"/>
    </row>
    <row r="440" spans="27:27" x14ac:dyDescent="0.2">
      <c r="AA440" s="29"/>
    </row>
    <row r="441" spans="27:27" x14ac:dyDescent="0.2">
      <c r="AA441" s="29"/>
    </row>
    <row r="442" spans="27:27" x14ac:dyDescent="0.2">
      <c r="AA442" s="29"/>
    </row>
    <row r="443" spans="27:27" x14ac:dyDescent="0.2">
      <c r="AA443" s="29"/>
    </row>
    <row r="444" spans="27:27" x14ac:dyDescent="0.2">
      <c r="AA444" s="29"/>
    </row>
    <row r="445" spans="27:27" x14ac:dyDescent="0.2">
      <c r="AA445" s="29"/>
    </row>
    <row r="446" spans="27:27" x14ac:dyDescent="0.2">
      <c r="AA446" s="29"/>
    </row>
    <row r="447" spans="27:27" x14ac:dyDescent="0.2">
      <c r="AA447" s="29"/>
    </row>
    <row r="448" spans="27:27" x14ac:dyDescent="0.2">
      <c r="AA448" s="29"/>
    </row>
    <row r="449" spans="27:27" x14ac:dyDescent="0.2">
      <c r="AA449" s="29"/>
    </row>
    <row r="450" spans="27:27" x14ac:dyDescent="0.2">
      <c r="AA450" s="29"/>
    </row>
    <row r="451" spans="27:27" x14ac:dyDescent="0.2">
      <c r="AA451" s="29"/>
    </row>
    <row r="452" spans="27:27" x14ac:dyDescent="0.2">
      <c r="AA452" s="29"/>
    </row>
    <row r="453" spans="27:27" x14ac:dyDescent="0.2">
      <c r="AA453" s="29"/>
    </row>
    <row r="454" spans="27:27" x14ac:dyDescent="0.2">
      <c r="AA454" s="29"/>
    </row>
    <row r="455" spans="27:27" x14ac:dyDescent="0.2">
      <c r="AA455" s="29"/>
    </row>
    <row r="456" spans="27:27" x14ac:dyDescent="0.2">
      <c r="AA456" s="29"/>
    </row>
    <row r="457" spans="27:27" x14ac:dyDescent="0.2">
      <c r="AA457" s="29"/>
    </row>
    <row r="458" spans="27:27" x14ac:dyDescent="0.2">
      <c r="AA458" s="29"/>
    </row>
    <row r="459" spans="27:27" x14ac:dyDescent="0.2">
      <c r="AA459" s="29"/>
    </row>
    <row r="460" spans="27:27" x14ac:dyDescent="0.2">
      <c r="AA460" s="29"/>
    </row>
    <row r="461" spans="27:27" x14ac:dyDescent="0.2">
      <c r="AA461" s="29"/>
    </row>
    <row r="462" spans="27:27" x14ac:dyDescent="0.2">
      <c r="AA462" s="29"/>
    </row>
    <row r="463" spans="27:27" x14ac:dyDescent="0.2">
      <c r="AA463" s="29"/>
    </row>
    <row r="464" spans="27:27" x14ac:dyDescent="0.2">
      <c r="AA464" s="29"/>
    </row>
    <row r="465" spans="27:27" x14ac:dyDescent="0.2">
      <c r="AA465" s="29"/>
    </row>
    <row r="466" spans="27:27" x14ac:dyDescent="0.2">
      <c r="AA466" s="29"/>
    </row>
    <row r="467" spans="27:27" x14ac:dyDescent="0.2">
      <c r="AA467" s="29"/>
    </row>
    <row r="468" spans="27:27" x14ac:dyDescent="0.2">
      <c r="AA468" s="29"/>
    </row>
    <row r="469" spans="27:27" x14ac:dyDescent="0.2">
      <c r="AA469" s="29"/>
    </row>
    <row r="470" spans="27:27" x14ac:dyDescent="0.2">
      <c r="AA470" s="29"/>
    </row>
    <row r="471" spans="27:27" x14ac:dyDescent="0.2">
      <c r="AA471" s="29"/>
    </row>
    <row r="472" spans="27:27" x14ac:dyDescent="0.2">
      <c r="AA472" s="29"/>
    </row>
    <row r="473" spans="27:27" x14ac:dyDescent="0.2">
      <c r="AA473" s="29"/>
    </row>
    <row r="474" spans="27:27" x14ac:dyDescent="0.2">
      <c r="AA474" s="29"/>
    </row>
    <row r="475" spans="27:27" x14ac:dyDescent="0.2">
      <c r="AA475" s="29"/>
    </row>
    <row r="476" spans="27:27" x14ac:dyDescent="0.2">
      <c r="AA476" s="29"/>
    </row>
    <row r="477" spans="27:27" x14ac:dyDescent="0.2">
      <c r="AA477" s="29"/>
    </row>
    <row r="478" spans="27:27" x14ac:dyDescent="0.2">
      <c r="AA478" s="29"/>
    </row>
    <row r="479" spans="27:27" x14ac:dyDescent="0.2">
      <c r="AA479" s="29"/>
    </row>
    <row r="480" spans="27:27" x14ac:dyDescent="0.2">
      <c r="AA480" s="29"/>
    </row>
    <row r="481" spans="27:27" x14ac:dyDescent="0.2">
      <c r="AA481" s="29"/>
    </row>
    <row r="482" spans="27:27" x14ac:dyDescent="0.2">
      <c r="AA482" s="29"/>
    </row>
    <row r="483" spans="27:27" x14ac:dyDescent="0.2">
      <c r="AA483" s="29"/>
    </row>
    <row r="484" spans="27:27" x14ac:dyDescent="0.2">
      <c r="AA484" s="29"/>
    </row>
    <row r="485" spans="27:27" x14ac:dyDescent="0.2">
      <c r="AA485" s="29"/>
    </row>
    <row r="486" spans="27:27" x14ac:dyDescent="0.2">
      <c r="AA486" s="29"/>
    </row>
    <row r="487" spans="27:27" x14ac:dyDescent="0.2">
      <c r="AA487" s="29"/>
    </row>
    <row r="488" spans="27:27" x14ac:dyDescent="0.2">
      <c r="AA488" s="29"/>
    </row>
  </sheetData>
  <sortState ref="B37:D46">
    <sortCondition descending="1" ref="D21"/>
  </sortState>
  <mergeCells count="4">
    <mergeCell ref="B1:F1"/>
    <mergeCell ref="B2:F2"/>
    <mergeCell ref="B3:F3"/>
    <mergeCell ref="A5:F5"/>
  </mergeCells>
  <phoneticPr fontId="0" type="noConversion"/>
  <conditionalFormatting sqref="F23:F32 F39:F48">
    <cfRule type="cellIs" dxfId="5" priority="1" stopIfTrue="1" operator="equal">
      <formula>0</formula>
    </cfRule>
  </conditionalFormatting>
  <conditionalFormatting sqref="D23:D32">
    <cfRule type="cellIs" dxfId="4" priority="2" stopIfTrue="1" operator="equal">
      <formula>0</formula>
    </cfRule>
    <cfRule type="cellIs" dxfId="3" priority="3" stopIfTrue="1" operator="equal">
      <formula>"Understatement"</formula>
    </cfRule>
  </conditionalFormatting>
  <conditionalFormatting sqref="D39:D48">
    <cfRule type="cellIs" dxfId="2" priority="4" stopIfTrue="1" operator="equal">
      <formula>0</formula>
    </cfRule>
    <cfRule type="cellIs" dxfId="1" priority="5" stopIfTrue="1" operator="equal">
      <formula>"Overstatement"</formula>
    </cfRule>
  </conditionalFormatting>
  <conditionalFormatting sqref="B15 B17:B18">
    <cfRule type="cellIs" dxfId="0" priority="6" stopIfTrue="1" operator="greaterThan">
      <formula>500</formula>
    </cfRule>
  </conditionalFormatting>
  <dataValidations count="5">
    <dataValidation type="decimal" allowBlank="1" showInputMessage="1" showErrorMessage="1" errorTitle="Invalid Entry" error="This value must be greater than zero and no more than 25%" sqref="B12">
      <formula1>0.00000001</formula1>
      <formula2>0.25</formula2>
    </dataValidation>
    <dataValidation type="decimal" operator="lessThan" allowBlank="1" showInputMessage="1" showErrorMessage="1" errorTitle="Invalid Entry" error="This value must be less than the tolerable rate (B10/B9)" sqref="B11">
      <formula1>(B10/B9)</formula1>
    </dataValidation>
    <dataValidation type="decimal" operator="lessThan" allowBlank="1" showInputMessage="1" showErrorMessage="1" errorTitle="Invalid Entry" error="Tolerable misstatement must be less than the population dollar value" sqref="B10">
      <formula1>B9</formula1>
    </dataValidation>
    <dataValidation errorStyle="warning" allowBlank="1" showInputMessage="1" showErrorMessage="1" errorTitle="Verify Input Data" error="Verify that the input variables and sample size are appropriate for the sample you are evaluating." sqref="I15:I18"/>
    <dataValidation type="decimal" operator="greaterThanOrEqual" showInputMessage="1" showErrorMessage="1" error="The population dollar value must be at least $1." sqref="B9">
      <formula1>1</formula1>
    </dataValidation>
  </dataValidations>
  <printOptions horizontalCentered="1"/>
  <pageMargins left="0.75" right="0.75" top="1" bottom="1" header="0.5" footer="0.5"/>
  <pageSetup scale="94" orientation="portrait" horizontalDpi="300" verticalDpi="300" r:id="rId1"/>
  <headerFooter alignWithMargins="0"/>
  <colBreaks count="1" manualBreakCount="1">
    <brk id="6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cro1">
                <anchor moveWithCells="1" sizeWithCells="1">
                  <from>
                    <xdr:col>4</xdr:col>
                    <xdr:colOff>9525</xdr:colOff>
                    <xdr:row>5</xdr:row>
                    <xdr:rowOff>9525</xdr:rowOff>
                  </from>
                  <to>
                    <xdr:col>5</xdr:col>
                    <xdr:colOff>790575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sults">
                <anchor moveWithCells="1" sizeWithCells="1">
                  <from>
                    <xdr:col>4</xdr:col>
                    <xdr:colOff>9525</xdr:colOff>
                    <xdr:row>10</xdr:row>
                    <xdr:rowOff>152400</xdr:rowOff>
                  </from>
                  <to>
                    <xdr:col>5</xdr:col>
                    <xdr:colOff>790575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GenSample">
                <anchor moveWithCells="1" sizeWithCells="1">
                  <from>
                    <xdr:col>4</xdr:col>
                    <xdr:colOff>9525</xdr:colOff>
                    <xdr:row>8</xdr:row>
                    <xdr:rowOff>0</xdr:rowOff>
                  </from>
                  <to>
                    <xdr:col>5</xdr:col>
                    <xdr:colOff>790575</xdr:colOff>
                    <xdr:row>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A486"/>
  <sheetViews>
    <sheetView zoomScaleNormal="100" workbookViewId="0">
      <selection sqref="A1:AC1048576"/>
    </sheetView>
  </sheetViews>
  <sheetFormatPr defaultColWidth="12.85546875" defaultRowHeight="14.25" x14ac:dyDescent="0.2"/>
  <cols>
    <col min="1" max="1" width="3.28515625" style="34" bestFit="1" customWidth="1"/>
    <col min="2" max="2" width="11" style="35" bestFit="1" customWidth="1"/>
    <col min="3" max="3" width="5" style="34" bestFit="1" customWidth="1"/>
    <col min="4" max="4" width="13.42578125" style="34" bestFit="1" customWidth="1"/>
    <col min="5" max="5" width="5" style="34" customWidth="1"/>
    <col min="6" max="6" width="4.42578125" style="34" bestFit="1" customWidth="1"/>
    <col min="7" max="7" width="11" style="35" bestFit="1" customWidth="1"/>
    <col min="8" max="8" width="5" style="34" bestFit="1" customWidth="1"/>
    <col min="9" max="9" width="13.42578125" style="34" bestFit="1" customWidth="1"/>
    <col min="10" max="12" width="12.85546875" style="34" customWidth="1"/>
    <col min="13" max="25" width="12.85546875" style="37" customWidth="1"/>
    <col min="26" max="26" width="4" style="37" bestFit="1" customWidth="1"/>
    <col min="27" max="27" width="10.28515625" style="37" bestFit="1" customWidth="1"/>
    <col min="28" max="16384" width="12.85546875" style="37"/>
  </cols>
  <sheetData>
    <row r="1" spans="1:27" x14ac:dyDescent="0.2">
      <c r="C1" s="36"/>
      <c r="AA1" s="38"/>
    </row>
    <row r="2" spans="1:27" x14ac:dyDescent="0.2">
      <c r="A2" s="39"/>
      <c r="B2" s="40"/>
      <c r="F2" s="39"/>
      <c r="G2" s="40"/>
      <c r="AA2" s="41"/>
    </row>
    <row r="3" spans="1:27" x14ac:dyDescent="0.2">
      <c r="A3" s="39"/>
      <c r="B3" s="40"/>
      <c r="F3" s="39"/>
      <c r="G3" s="40"/>
      <c r="AA3" s="41"/>
    </row>
    <row r="4" spans="1:27" x14ac:dyDescent="0.2">
      <c r="A4" s="39"/>
      <c r="B4" s="40"/>
      <c r="F4" s="39"/>
      <c r="G4" s="40"/>
      <c r="AA4" s="41"/>
    </row>
    <row r="5" spans="1:27" x14ac:dyDescent="0.2">
      <c r="A5" s="39"/>
      <c r="B5" s="40"/>
      <c r="F5" s="39"/>
      <c r="G5" s="40"/>
      <c r="AA5" s="41"/>
    </row>
    <row r="6" spans="1:27" x14ac:dyDescent="0.2">
      <c r="A6" s="39"/>
      <c r="B6" s="40"/>
      <c r="F6" s="39"/>
      <c r="G6" s="40"/>
      <c r="AA6" s="41"/>
    </row>
    <row r="7" spans="1:27" x14ac:dyDescent="0.2">
      <c r="A7" s="39"/>
      <c r="B7" s="40"/>
      <c r="F7" s="39"/>
      <c r="G7" s="40"/>
      <c r="AA7" s="41"/>
    </row>
    <row r="8" spans="1:27" x14ac:dyDescent="0.2">
      <c r="A8" s="39"/>
      <c r="B8" s="40"/>
      <c r="F8" s="39"/>
      <c r="G8" s="40"/>
      <c r="AA8" s="41"/>
    </row>
    <row r="9" spans="1:27" x14ac:dyDescent="0.2">
      <c r="A9" s="39"/>
      <c r="B9" s="40"/>
      <c r="F9" s="39"/>
      <c r="G9" s="40"/>
      <c r="AA9" s="41"/>
    </row>
    <row r="10" spans="1:27" x14ac:dyDescent="0.2">
      <c r="A10" s="39"/>
      <c r="B10" s="40"/>
      <c r="F10" s="39"/>
      <c r="G10" s="40"/>
      <c r="AA10" s="41"/>
    </row>
    <row r="11" spans="1:27" x14ac:dyDescent="0.2">
      <c r="A11" s="39"/>
      <c r="B11" s="40"/>
      <c r="F11" s="39"/>
      <c r="G11" s="40"/>
      <c r="AA11" s="41"/>
    </row>
    <row r="12" spans="1:27" x14ac:dyDescent="0.2">
      <c r="A12" s="39"/>
      <c r="B12" s="40"/>
      <c r="F12" s="39"/>
      <c r="G12" s="40"/>
      <c r="AA12" s="41"/>
    </row>
    <row r="13" spans="1:27" x14ac:dyDescent="0.2">
      <c r="A13" s="39"/>
      <c r="B13" s="40"/>
      <c r="F13" s="39"/>
      <c r="G13" s="40"/>
      <c r="AA13" s="41"/>
    </row>
    <row r="14" spans="1:27" x14ac:dyDescent="0.2">
      <c r="A14" s="39"/>
      <c r="B14" s="40"/>
      <c r="F14" s="39"/>
      <c r="G14" s="40"/>
      <c r="AA14" s="41"/>
    </row>
    <row r="15" spans="1:27" x14ac:dyDescent="0.2">
      <c r="A15" s="39"/>
      <c r="B15" s="40"/>
      <c r="F15" s="39"/>
      <c r="G15" s="40"/>
      <c r="AA15" s="41"/>
    </row>
    <row r="16" spans="1:27" x14ac:dyDescent="0.2">
      <c r="A16" s="39"/>
      <c r="B16" s="40"/>
      <c r="F16" s="39"/>
      <c r="G16" s="40"/>
      <c r="AA16" s="41"/>
    </row>
    <row r="17" spans="1:27" x14ac:dyDescent="0.2">
      <c r="A17" s="39"/>
      <c r="B17" s="40"/>
      <c r="F17" s="39"/>
      <c r="G17" s="40"/>
      <c r="AA17" s="41"/>
    </row>
    <row r="18" spans="1:27" x14ac:dyDescent="0.2">
      <c r="A18" s="39"/>
      <c r="B18" s="40"/>
      <c r="F18" s="39"/>
      <c r="G18" s="40"/>
      <c r="AA18" s="41"/>
    </row>
    <row r="19" spans="1:27" x14ac:dyDescent="0.2">
      <c r="A19" s="39"/>
      <c r="B19" s="40"/>
      <c r="F19" s="39"/>
      <c r="G19" s="40"/>
      <c r="AA19" s="41"/>
    </row>
    <row r="20" spans="1:27" x14ac:dyDescent="0.2">
      <c r="A20" s="39"/>
      <c r="B20" s="40"/>
      <c r="F20" s="39"/>
      <c r="G20" s="40"/>
      <c r="AA20" s="41"/>
    </row>
    <row r="21" spans="1:27" x14ac:dyDescent="0.2">
      <c r="A21" s="39"/>
      <c r="B21" s="40"/>
      <c r="F21" s="39"/>
      <c r="G21" s="40"/>
      <c r="AA21" s="41"/>
    </row>
    <row r="22" spans="1:27" x14ac:dyDescent="0.2">
      <c r="A22" s="39"/>
      <c r="B22" s="40"/>
      <c r="F22" s="39"/>
      <c r="G22" s="40"/>
      <c r="AA22" s="41"/>
    </row>
    <row r="23" spans="1:27" x14ac:dyDescent="0.2">
      <c r="A23" s="39"/>
      <c r="B23" s="40"/>
      <c r="F23" s="39"/>
      <c r="G23" s="40"/>
      <c r="AA23" s="41"/>
    </row>
    <row r="24" spans="1:27" x14ac:dyDescent="0.2">
      <c r="A24" s="39"/>
      <c r="B24" s="40"/>
      <c r="F24" s="39"/>
      <c r="G24" s="40"/>
      <c r="AA24" s="41"/>
    </row>
    <row r="25" spans="1:27" x14ac:dyDescent="0.2">
      <c r="A25" s="39"/>
      <c r="B25" s="40"/>
      <c r="F25" s="39"/>
      <c r="G25" s="40"/>
      <c r="AA25" s="41"/>
    </row>
    <row r="26" spans="1:27" x14ac:dyDescent="0.2">
      <c r="A26" s="39"/>
      <c r="B26" s="40"/>
      <c r="F26" s="39"/>
      <c r="G26" s="40"/>
      <c r="AA26" s="41"/>
    </row>
    <row r="27" spans="1:27" x14ac:dyDescent="0.2">
      <c r="A27" s="39"/>
      <c r="B27" s="40"/>
      <c r="F27" s="39"/>
      <c r="G27" s="40"/>
      <c r="AA27" s="41"/>
    </row>
    <row r="28" spans="1:27" x14ac:dyDescent="0.2">
      <c r="A28" s="39"/>
      <c r="B28" s="40"/>
      <c r="F28" s="39"/>
      <c r="G28" s="40"/>
      <c r="AA28" s="41"/>
    </row>
    <row r="29" spans="1:27" x14ac:dyDescent="0.2">
      <c r="A29" s="39"/>
      <c r="B29" s="40"/>
      <c r="F29" s="39"/>
      <c r="G29" s="40"/>
      <c r="AA29" s="41"/>
    </row>
    <row r="30" spans="1:27" x14ac:dyDescent="0.2">
      <c r="A30" s="39"/>
      <c r="B30" s="40"/>
      <c r="F30" s="39"/>
      <c r="G30" s="40"/>
      <c r="AA30" s="41"/>
    </row>
    <row r="31" spans="1:27" x14ac:dyDescent="0.2">
      <c r="A31" s="39"/>
      <c r="B31" s="40"/>
      <c r="F31" s="39"/>
      <c r="G31" s="40"/>
      <c r="AA31" s="41"/>
    </row>
    <row r="32" spans="1:27" x14ac:dyDescent="0.2">
      <c r="A32" s="39"/>
      <c r="B32" s="40"/>
      <c r="F32" s="39"/>
      <c r="G32" s="40"/>
      <c r="AA32" s="41"/>
    </row>
    <row r="33" spans="1:27" x14ac:dyDescent="0.2">
      <c r="A33" s="39"/>
      <c r="B33" s="40"/>
      <c r="F33" s="39"/>
      <c r="G33" s="40"/>
      <c r="AA33" s="41"/>
    </row>
    <row r="34" spans="1:27" x14ac:dyDescent="0.2">
      <c r="A34" s="39"/>
      <c r="B34" s="40"/>
      <c r="F34" s="39"/>
      <c r="G34" s="40"/>
      <c r="AA34" s="41"/>
    </row>
    <row r="35" spans="1:27" x14ac:dyDescent="0.2">
      <c r="A35" s="39"/>
      <c r="B35" s="40"/>
      <c r="F35" s="39"/>
      <c r="G35" s="40"/>
      <c r="AA35" s="41"/>
    </row>
    <row r="36" spans="1:27" x14ac:dyDescent="0.2">
      <c r="A36" s="39"/>
      <c r="B36" s="40"/>
      <c r="F36" s="39"/>
      <c r="G36" s="40"/>
      <c r="AA36" s="41"/>
    </row>
    <row r="37" spans="1:27" x14ac:dyDescent="0.2">
      <c r="A37" s="39"/>
      <c r="B37" s="40"/>
      <c r="F37" s="39"/>
      <c r="G37" s="40"/>
      <c r="AA37" s="41"/>
    </row>
    <row r="38" spans="1:27" x14ac:dyDescent="0.2">
      <c r="A38" s="39"/>
      <c r="B38" s="40"/>
      <c r="F38" s="39"/>
      <c r="G38" s="40"/>
      <c r="AA38" s="41"/>
    </row>
    <row r="39" spans="1:27" x14ac:dyDescent="0.2">
      <c r="A39" s="39"/>
      <c r="B39" s="40"/>
      <c r="F39" s="39"/>
      <c r="G39" s="40"/>
      <c r="AA39" s="41"/>
    </row>
    <row r="40" spans="1:27" x14ac:dyDescent="0.2">
      <c r="A40" s="39"/>
      <c r="B40" s="40"/>
      <c r="F40" s="39"/>
      <c r="G40" s="40"/>
      <c r="AA40" s="41"/>
    </row>
    <row r="41" spans="1:27" x14ac:dyDescent="0.2">
      <c r="A41" s="39"/>
      <c r="B41" s="40"/>
      <c r="F41" s="39"/>
      <c r="G41" s="40"/>
      <c r="AA41" s="41"/>
    </row>
    <row r="42" spans="1:27" x14ac:dyDescent="0.2">
      <c r="A42" s="39"/>
      <c r="B42" s="40"/>
      <c r="F42" s="39"/>
      <c r="G42" s="40"/>
      <c r="AA42" s="41"/>
    </row>
    <row r="43" spans="1:27" x14ac:dyDescent="0.2">
      <c r="A43" s="39"/>
      <c r="B43" s="40"/>
      <c r="F43" s="39"/>
      <c r="G43" s="40"/>
      <c r="AA43" s="41"/>
    </row>
    <row r="44" spans="1:27" x14ac:dyDescent="0.2">
      <c r="A44" s="39"/>
      <c r="B44" s="40"/>
      <c r="F44" s="39"/>
      <c r="G44" s="40"/>
      <c r="AA44" s="41"/>
    </row>
    <row r="45" spans="1:27" x14ac:dyDescent="0.2">
      <c r="A45" s="39"/>
      <c r="B45" s="40"/>
      <c r="F45" s="39"/>
      <c r="G45" s="40"/>
      <c r="AA45" s="41"/>
    </row>
    <row r="46" spans="1:27" x14ac:dyDescent="0.2">
      <c r="A46" s="39"/>
      <c r="B46" s="40"/>
      <c r="F46" s="39"/>
      <c r="G46" s="40"/>
      <c r="AA46" s="41"/>
    </row>
    <row r="47" spans="1:27" x14ac:dyDescent="0.2">
      <c r="A47" s="39"/>
      <c r="B47" s="40"/>
      <c r="F47" s="39"/>
      <c r="G47" s="40"/>
      <c r="AA47" s="41"/>
    </row>
    <row r="48" spans="1:27" x14ac:dyDescent="0.2">
      <c r="A48" s="39"/>
      <c r="B48" s="40"/>
      <c r="F48" s="39"/>
      <c r="G48" s="40"/>
      <c r="AA48" s="41"/>
    </row>
    <row r="49" spans="1:27" x14ac:dyDescent="0.2">
      <c r="A49" s="39"/>
      <c r="B49" s="40"/>
      <c r="F49" s="39"/>
      <c r="G49" s="40"/>
      <c r="AA49" s="41"/>
    </row>
    <row r="50" spans="1:27" x14ac:dyDescent="0.2">
      <c r="A50" s="39"/>
      <c r="B50" s="40"/>
      <c r="F50" s="39"/>
      <c r="G50" s="40"/>
      <c r="AA50" s="41"/>
    </row>
    <row r="51" spans="1:27" x14ac:dyDescent="0.2">
      <c r="A51" s="39"/>
      <c r="B51" s="40"/>
      <c r="F51" s="39"/>
      <c r="G51" s="40"/>
      <c r="AA51" s="41"/>
    </row>
    <row r="52" spans="1:27" x14ac:dyDescent="0.2">
      <c r="AA52" s="41"/>
    </row>
    <row r="53" spans="1:27" x14ac:dyDescent="0.2">
      <c r="AA53" s="41"/>
    </row>
    <row r="54" spans="1:27" x14ac:dyDescent="0.2">
      <c r="AA54" s="41"/>
    </row>
    <row r="55" spans="1:27" x14ac:dyDescent="0.2">
      <c r="AA55" s="41"/>
    </row>
    <row r="56" spans="1:27" x14ac:dyDescent="0.2">
      <c r="AA56" s="41"/>
    </row>
    <row r="57" spans="1:27" x14ac:dyDescent="0.2">
      <c r="AA57" s="41"/>
    </row>
    <row r="58" spans="1:27" x14ac:dyDescent="0.2">
      <c r="AA58" s="41"/>
    </row>
    <row r="59" spans="1:27" x14ac:dyDescent="0.2">
      <c r="AA59" s="41"/>
    </row>
    <row r="60" spans="1:27" x14ac:dyDescent="0.2">
      <c r="AA60" s="41"/>
    </row>
    <row r="61" spans="1:27" x14ac:dyDescent="0.2">
      <c r="AA61" s="41"/>
    </row>
    <row r="62" spans="1:27" x14ac:dyDescent="0.2">
      <c r="AA62" s="41"/>
    </row>
    <row r="63" spans="1:27" x14ac:dyDescent="0.2">
      <c r="AA63" s="41"/>
    </row>
    <row r="64" spans="1:27" x14ac:dyDescent="0.2">
      <c r="AA64" s="41"/>
    </row>
    <row r="65" spans="27:27" x14ac:dyDescent="0.2">
      <c r="AA65" s="41"/>
    </row>
    <row r="66" spans="27:27" x14ac:dyDescent="0.2">
      <c r="AA66" s="41"/>
    </row>
    <row r="67" spans="27:27" x14ac:dyDescent="0.2">
      <c r="AA67" s="41"/>
    </row>
    <row r="68" spans="27:27" x14ac:dyDescent="0.2">
      <c r="AA68" s="41"/>
    </row>
    <row r="69" spans="27:27" x14ac:dyDescent="0.2">
      <c r="AA69" s="41"/>
    </row>
    <row r="70" spans="27:27" x14ac:dyDescent="0.2">
      <c r="AA70" s="41"/>
    </row>
    <row r="71" spans="27:27" x14ac:dyDescent="0.2">
      <c r="AA71" s="41"/>
    </row>
    <row r="72" spans="27:27" x14ac:dyDescent="0.2">
      <c r="AA72" s="41"/>
    </row>
    <row r="73" spans="27:27" x14ac:dyDescent="0.2">
      <c r="AA73" s="41"/>
    </row>
    <row r="74" spans="27:27" x14ac:dyDescent="0.2">
      <c r="AA74" s="41"/>
    </row>
    <row r="75" spans="27:27" x14ac:dyDescent="0.2">
      <c r="AA75" s="41"/>
    </row>
    <row r="76" spans="27:27" x14ac:dyDescent="0.2">
      <c r="AA76" s="41"/>
    </row>
    <row r="77" spans="27:27" x14ac:dyDescent="0.2">
      <c r="AA77" s="41"/>
    </row>
    <row r="78" spans="27:27" x14ac:dyDescent="0.2">
      <c r="AA78" s="41"/>
    </row>
    <row r="79" spans="27:27" x14ac:dyDescent="0.2">
      <c r="AA79" s="41"/>
    </row>
    <row r="80" spans="27:27" x14ac:dyDescent="0.2">
      <c r="AA80" s="41"/>
    </row>
    <row r="81" spans="27:27" x14ac:dyDescent="0.2">
      <c r="AA81" s="41"/>
    </row>
    <row r="82" spans="27:27" x14ac:dyDescent="0.2">
      <c r="AA82" s="41"/>
    </row>
    <row r="83" spans="27:27" x14ac:dyDescent="0.2">
      <c r="AA83" s="41"/>
    </row>
    <row r="84" spans="27:27" x14ac:dyDescent="0.2">
      <c r="AA84" s="41"/>
    </row>
    <row r="85" spans="27:27" x14ac:dyDescent="0.2">
      <c r="AA85" s="41"/>
    </row>
    <row r="86" spans="27:27" x14ac:dyDescent="0.2">
      <c r="AA86" s="41"/>
    </row>
    <row r="87" spans="27:27" x14ac:dyDescent="0.2">
      <c r="AA87" s="41"/>
    </row>
    <row r="88" spans="27:27" x14ac:dyDescent="0.2">
      <c r="AA88" s="41"/>
    </row>
    <row r="89" spans="27:27" x14ac:dyDescent="0.2">
      <c r="AA89" s="41"/>
    </row>
    <row r="90" spans="27:27" x14ac:dyDescent="0.2">
      <c r="AA90" s="41"/>
    </row>
    <row r="91" spans="27:27" x14ac:dyDescent="0.2">
      <c r="AA91" s="41"/>
    </row>
    <row r="92" spans="27:27" x14ac:dyDescent="0.2">
      <c r="AA92" s="41"/>
    </row>
    <row r="93" spans="27:27" x14ac:dyDescent="0.2">
      <c r="AA93" s="41"/>
    </row>
    <row r="94" spans="27:27" x14ac:dyDescent="0.2">
      <c r="AA94" s="41"/>
    </row>
    <row r="95" spans="27:27" x14ac:dyDescent="0.2">
      <c r="AA95" s="41"/>
    </row>
    <row r="96" spans="27:27" x14ac:dyDescent="0.2">
      <c r="AA96" s="41"/>
    </row>
    <row r="97" spans="27:27" x14ac:dyDescent="0.2">
      <c r="AA97" s="41"/>
    </row>
    <row r="98" spans="27:27" x14ac:dyDescent="0.2">
      <c r="AA98" s="41"/>
    </row>
    <row r="99" spans="27:27" x14ac:dyDescent="0.2">
      <c r="AA99" s="41"/>
    </row>
    <row r="100" spans="27:27" x14ac:dyDescent="0.2">
      <c r="AA100" s="41"/>
    </row>
    <row r="101" spans="27:27" x14ac:dyDescent="0.2">
      <c r="AA101" s="41"/>
    </row>
    <row r="102" spans="27:27" x14ac:dyDescent="0.2">
      <c r="AA102" s="41"/>
    </row>
    <row r="103" spans="27:27" x14ac:dyDescent="0.2">
      <c r="AA103" s="41"/>
    </row>
    <row r="104" spans="27:27" x14ac:dyDescent="0.2">
      <c r="AA104" s="41"/>
    </row>
    <row r="105" spans="27:27" x14ac:dyDescent="0.2">
      <c r="AA105" s="41"/>
    </row>
    <row r="106" spans="27:27" x14ac:dyDescent="0.2">
      <c r="AA106" s="41"/>
    </row>
    <row r="107" spans="27:27" x14ac:dyDescent="0.2">
      <c r="AA107" s="41"/>
    </row>
    <row r="108" spans="27:27" x14ac:dyDescent="0.2">
      <c r="AA108" s="41"/>
    </row>
    <row r="109" spans="27:27" x14ac:dyDescent="0.2">
      <c r="AA109" s="41"/>
    </row>
    <row r="110" spans="27:27" x14ac:dyDescent="0.2">
      <c r="AA110" s="41"/>
    </row>
    <row r="111" spans="27:27" x14ac:dyDescent="0.2">
      <c r="AA111" s="41"/>
    </row>
    <row r="112" spans="27:27" x14ac:dyDescent="0.2">
      <c r="AA112" s="41"/>
    </row>
    <row r="113" spans="27:27" x14ac:dyDescent="0.2">
      <c r="AA113" s="41"/>
    </row>
    <row r="114" spans="27:27" x14ac:dyDescent="0.2">
      <c r="AA114" s="41"/>
    </row>
    <row r="115" spans="27:27" x14ac:dyDescent="0.2">
      <c r="AA115" s="41"/>
    </row>
    <row r="116" spans="27:27" x14ac:dyDescent="0.2">
      <c r="AA116" s="41"/>
    </row>
    <row r="117" spans="27:27" x14ac:dyDescent="0.2">
      <c r="AA117" s="41"/>
    </row>
    <row r="118" spans="27:27" x14ac:dyDescent="0.2">
      <c r="AA118" s="41"/>
    </row>
    <row r="119" spans="27:27" x14ac:dyDescent="0.2">
      <c r="AA119" s="41"/>
    </row>
    <row r="120" spans="27:27" x14ac:dyDescent="0.2">
      <c r="AA120" s="41"/>
    </row>
    <row r="121" spans="27:27" x14ac:dyDescent="0.2">
      <c r="AA121" s="41"/>
    </row>
    <row r="122" spans="27:27" x14ac:dyDescent="0.2">
      <c r="AA122" s="41"/>
    </row>
    <row r="123" spans="27:27" x14ac:dyDescent="0.2">
      <c r="AA123" s="41"/>
    </row>
    <row r="124" spans="27:27" x14ac:dyDescent="0.2">
      <c r="AA124" s="41"/>
    </row>
    <row r="125" spans="27:27" x14ac:dyDescent="0.2">
      <c r="AA125" s="41"/>
    </row>
    <row r="126" spans="27:27" x14ac:dyDescent="0.2">
      <c r="AA126" s="41"/>
    </row>
    <row r="127" spans="27:27" x14ac:dyDescent="0.2">
      <c r="AA127" s="41"/>
    </row>
    <row r="128" spans="27:27" x14ac:dyDescent="0.2">
      <c r="AA128" s="41"/>
    </row>
    <row r="129" spans="27:27" x14ac:dyDescent="0.2">
      <c r="AA129" s="41"/>
    </row>
    <row r="130" spans="27:27" x14ac:dyDescent="0.2">
      <c r="AA130" s="41"/>
    </row>
    <row r="131" spans="27:27" x14ac:dyDescent="0.2">
      <c r="AA131" s="41"/>
    </row>
    <row r="132" spans="27:27" x14ac:dyDescent="0.2">
      <c r="AA132" s="41"/>
    </row>
    <row r="133" spans="27:27" x14ac:dyDescent="0.2">
      <c r="AA133" s="41"/>
    </row>
    <row r="134" spans="27:27" x14ac:dyDescent="0.2">
      <c r="AA134" s="41"/>
    </row>
    <row r="135" spans="27:27" x14ac:dyDescent="0.2">
      <c r="AA135" s="41"/>
    </row>
    <row r="136" spans="27:27" x14ac:dyDescent="0.2">
      <c r="AA136" s="41"/>
    </row>
    <row r="137" spans="27:27" x14ac:dyDescent="0.2">
      <c r="AA137" s="41"/>
    </row>
    <row r="138" spans="27:27" x14ac:dyDescent="0.2">
      <c r="AA138" s="41"/>
    </row>
    <row r="139" spans="27:27" x14ac:dyDescent="0.2">
      <c r="AA139" s="41"/>
    </row>
    <row r="140" spans="27:27" x14ac:dyDescent="0.2">
      <c r="AA140" s="41"/>
    </row>
    <row r="141" spans="27:27" x14ac:dyDescent="0.2">
      <c r="AA141" s="41"/>
    </row>
    <row r="142" spans="27:27" x14ac:dyDescent="0.2">
      <c r="AA142" s="41"/>
    </row>
    <row r="143" spans="27:27" x14ac:dyDescent="0.2">
      <c r="AA143" s="41"/>
    </row>
    <row r="144" spans="27:27" x14ac:dyDescent="0.2">
      <c r="AA144" s="41"/>
    </row>
    <row r="145" spans="27:27" x14ac:dyDescent="0.2">
      <c r="AA145" s="41"/>
    </row>
    <row r="146" spans="27:27" x14ac:dyDescent="0.2">
      <c r="AA146" s="41"/>
    </row>
    <row r="147" spans="27:27" x14ac:dyDescent="0.2">
      <c r="AA147" s="41"/>
    </row>
    <row r="148" spans="27:27" x14ac:dyDescent="0.2">
      <c r="AA148" s="41"/>
    </row>
    <row r="149" spans="27:27" x14ac:dyDescent="0.2">
      <c r="AA149" s="41"/>
    </row>
    <row r="150" spans="27:27" x14ac:dyDescent="0.2">
      <c r="AA150" s="41"/>
    </row>
    <row r="151" spans="27:27" x14ac:dyDescent="0.2">
      <c r="AA151" s="41"/>
    </row>
    <row r="152" spans="27:27" x14ac:dyDescent="0.2">
      <c r="AA152" s="41"/>
    </row>
    <row r="153" spans="27:27" x14ac:dyDescent="0.2">
      <c r="AA153" s="41"/>
    </row>
    <row r="154" spans="27:27" x14ac:dyDescent="0.2">
      <c r="AA154" s="41"/>
    </row>
    <row r="155" spans="27:27" x14ac:dyDescent="0.2">
      <c r="AA155" s="41"/>
    </row>
    <row r="156" spans="27:27" x14ac:dyDescent="0.2">
      <c r="AA156" s="41"/>
    </row>
    <row r="157" spans="27:27" x14ac:dyDescent="0.2">
      <c r="AA157" s="41"/>
    </row>
    <row r="158" spans="27:27" x14ac:dyDescent="0.2">
      <c r="AA158" s="41"/>
    </row>
    <row r="159" spans="27:27" x14ac:dyDescent="0.2">
      <c r="AA159" s="41"/>
    </row>
    <row r="160" spans="27:27" x14ac:dyDescent="0.2">
      <c r="AA160" s="41"/>
    </row>
    <row r="161" spans="27:27" x14ac:dyDescent="0.2">
      <c r="AA161" s="41"/>
    </row>
    <row r="162" spans="27:27" x14ac:dyDescent="0.2">
      <c r="AA162" s="41"/>
    </row>
    <row r="163" spans="27:27" x14ac:dyDescent="0.2">
      <c r="AA163" s="41"/>
    </row>
    <row r="164" spans="27:27" x14ac:dyDescent="0.2">
      <c r="AA164" s="41"/>
    </row>
    <row r="165" spans="27:27" x14ac:dyDescent="0.2">
      <c r="AA165" s="41"/>
    </row>
    <row r="166" spans="27:27" x14ac:dyDescent="0.2">
      <c r="AA166" s="41"/>
    </row>
    <row r="167" spans="27:27" x14ac:dyDescent="0.2">
      <c r="AA167" s="41"/>
    </row>
    <row r="168" spans="27:27" x14ac:dyDescent="0.2">
      <c r="AA168" s="41"/>
    </row>
    <row r="169" spans="27:27" x14ac:dyDescent="0.2">
      <c r="AA169" s="41"/>
    </row>
    <row r="170" spans="27:27" x14ac:dyDescent="0.2">
      <c r="AA170" s="41"/>
    </row>
    <row r="171" spans="27:27" x14ac:dyDescent="0.2">
      <c r="AA171" s="41"/>
    </row>
    <row r="172" spans="27:27" x14ac:dyDescent="0.2">
      <c r="AA172" s="41"/>
    </row>
    <row r="173" spans="27:27" x14ac:dyDescent="0.2">
      <c r="AA173" s="41"/>
    </row>
    <row r="174" spans="27:27" x14ac:dyDescent="0.2">
      <c r="AA174" s="41"/>
    </row>
    <row r="175" spans="27:27" x14ac:dyDescent="0.2">
      <c r="AA175" s="41"/>
    </row>
    <row r="176" spans="27:27" x14ac:dyDescent="0.2">
      <c r="AA176" s="41"/>
    </row>
    <row r="177" spans="27:27" x14ac:dyDescent="0.2">
      <c r="AA177" s="41"/>
    </row>
    <row r="178" spans="27:27" x14ac:dyDescent="0.2">
      <c r="AA178" s="41"/>
    </row>
    <row r="179" spans="27:27" x14ac:dyDescent="0.2">
      <c r="AA179" s="41"/>
    </row>
    <row r="180" spans="27:27" x14ac:dyDescent="0.2">
      <c r="AA180" s="41"/>
    </row>
    <row r="181" spans="27:27" x14ac:dyDescent="0.2">
      <c r="AA181" s="41"/>
    </row>
    <row r="182" spans="27:27" x14ac:dyDescent="0.2">
      <c r="AA182" s="41"/>
    </row>
    <row r="183" spans="27:27" x14ac:dyDescent="0.2">
      <c r="AA183" s="41"/>
    </row>
    <row r="184" spans="27:27" x14ac:dyDescent="0.2">
      <c r="AA184" s="41"/>
    </row>
    <row r="185" spans="27:27" x14ac:dyDescent="0.2">
      <c r="AA185" s="41"/>
    </row>
    <row r="186" spans="27:27" x14ac:dyDescent="0.2">
      <c r="AA186" s="41"/>
    </row>
    <row r="187" spans="27:27" x14ac:dyDescent="0.2">
      <c r="AA187" s="41"/>
    </row>
    <row r="188" spans="27:27" x14ac:dyDescent="0.2">
      <c r="AA188" s="41"/>
    </row>
    <row r="189" spans="27:27" x14ac:dyDescent="0.2">
      <c r="AA189" s="41"/>
    </row>
    <row r="190" spans="27:27" x14ac:dyDescent="0.2">
      <c r="AA190" s="41"/>
    </row>
    <row r="191" spans="27:27" x14ac:dyDescent="0.2">
      <c r="AA191" s="41"/>
    </row>
    <row r="192" spans="27:27" x14ac:dyDescent="0.2">
      <c r="AA192" s="41"/>
    </row>
    <row r="193" spans="27:27" x14ac:dyDescent="0.2">
      <c r="AA193" s="41"/>
    </row>
    <row r="194" spans="27:27" x14ac:dyDescent="0.2">
      <c r="AA194" s="41"/>
    </row>
    <row r="195" spans="27:27" x14ac:dyDescent="0.2">
      <c r="AA195" s="41"/>
    </row>
    <row r="196" spans="27:27" x14ac:dyDescent="0.2">
      <c r="AA196" s="41"/>
    </row>
    <row r="197" spans="27:27" x14ac:dyDescent="0.2">
      <c r="AA197" s="41"/>
    </row>
    <row r="198" spans="27:27" x14ac:dyDescent="0.2">
      <c r="AA198" s="41"/>
    </row>
    <row r="199" spans="27:27" x14ac:dyDescent="0.2">
      <c r="AA199" s="41"/>
    </row>
    <row r="200" spans="27:27" x14ac:dyDescent="0.2">
      <c r="AA200" s="41"/>
    </row>
    <row r="201" spans="27:27" x14ac:dyDescent="0.2">
      <c r="AA201" s="41"/>
    </row>
    <row r="202" spans="27:27" x14ac:dyDescent="0.2">
      <c r="AA202" s="41"/>
    </row>
    <row r="203" spans="27:27" x14ac:dyDescent="0.2">
      <c r="AA203" s="41"/>
    </row>
    <row r="204" spans="27:27" x14ac:dyDescent="0.2">
      <c r="AA204" s="41"/>
    </row>
    <row r="205" spans="27:27" x14ac:dyDescent="0.2">
      <c r="AA205" s="41"/>
    </row>
    <row r="206" spans="27:27" x14ac:dyDescent="0.2">
      <c r="AA206" s="41"/>
    </row>
    <row r="207" spans="27:27" x14ac:dyDescent="0.2">
      <c r="AA207" s="41"/>
    </row>
    <row r="208" spans="27:27" x14ac:dyDescent="0.2">
      <c r="AA208" s="41"/>
    </row>
    <row r="209" spans="27:27" x14ac:dyDescent="0.2">
      <c r="AA209" s="41"/>
    </row>
    <row r="210" spans="27:27" x14ac:dyDescent="0.2">
      <c r="AA210" s="41"/>
    </row>
    <row r="211" spans="27:27" x14ac:dyDescent="0.2">
      <c r="AA211" s="41"/>
    </row>
    <row r="212" spans="27:27" x14ac:dyDescent="0.2">
      <c r="AA212" s="41"/>
    </row>
    <row r="213" spans="27:27" x14ac:dyDescent="0.2">
      <c r="AA213" s="41"/>
    </row>
    <row r="214" spans="27:27" x14ac:dyDescent="0.2">
      <c r="AA214" s="41"/>
    </row>
    <row r="215" spans="27:27" x14ac:dyDescent="0.2">
      <c r="AA215" s="41"/>
    </row>
    <row r="216" spans="27:27" x14ac:dyDescent="0.2">
      <c r="AA216" s="41"/>
    </row>
    <row r="217" spans="27:27" x14ac:dyDescent="0.2">
      <c r="AA217" s="41"/>
    </row>
    <row r="218" spans="27:27" x14ac:dyDescent="0.2">
      <c r="AA218" s="41"/>
    </row>
    <row r="219" spans="27:27" x14ac:dyDescent="0.2">
      <c r="AA219" s="41"/>
    </row>
    <row r="220" spans="27:27" x14ac:dyDescent="0.2">
      <c r="AA220" s="41"/>
    </row>
    <row r="221" spans="27:27" x14ac:dyDescent="0.2">
      <c r="AA221" s="41"/>
    </row>
    <row r="222" spans="27:27" x14ac:dyDescent="0.2">
      <c r="AA222" s="41"/>
    </row>
    <row r="223" spans="27:27" x14ac:dyDescent="0.2">
      <c r="AA223" s="41"/>
    </row>
    <row r="224" spans="27:27" x14ac:dyDescent="0.2">
      <c r="AA224" s="41"/>
    </row>
    <row r="225" spans="27:27" x14ac:dyDescent="0.2">
      <c r="AA225" s="41"/>
    </row>
    <row r="226" spans="27:27" x14ac:dyDescent="0.2">
      <c r="AA226" s="41"/>
    </row>
    <row r="227" spans="27:27" x14ac:dyDescent="0.2">
      <c r="AA227" s="41"/>
    </row>
    <row r="228" spans="27:27" x14ac:dyDescent="0.2">
      <c r="AA228" s="41"/>
    </row>
    <row r="229" spans="27:27" x14ac:dyDescent="0.2">
      <c r="AA229" s="41"/>
    </row>
    <row r="230" spans="27:27" x14ac:dyDescent="0.2">
      <c r="AA230" s="41"/>
    </row>
    <row r="231" spans="27:27" x14ac:dyDescent="0.2">
      <c r="AA231" s="41"/>
    </row>
    <row r="232" spans="27:27" x14ac:dyDescent="0.2">
      <c r="AA232" s="41"/>
    </row>
    <row r="233" spans="27:27" x14ac:dyDescent="0.2">
      <c r="AA233" s="41"/>
    </row>
    <row r="234" spans="27:27" x14ac:dyDescent="0.2">
      <c r="AA234" s="41"/>
    </row>
    <row r="235" spans="27:27" x14ac:dyDescent="0.2">
      <c r="AA235" s="41"/>
    </row>
    <row r="236" spans="27:27" x14ac:dyDescent="0.2">
      <c r="AA236" s="41"/>
    </row>
    <row r="237" spans="27:27" x14ac:dyDescent="0.2">
      <c r="AA237" s="41"/>
    </row>
    <row r="238" spans="27:27" x14ac:dyDescent="0.2">
      <c r="AA238" s="41"/>
    </row>
    <row r="239" spans="27:27" x14ac:dyDescent="0.2">
      <c r="AA239" s="41"/>
    </row>
    <row r="240" spans="27:27" x14ac:dyDescent="0.2">
      <c r="AA240" s="41"/>
    </row>
    <row r="241" spans="27:27" x14ac:dyDescent="0.2">
      <c r="AA241" s="41"/>
    </row>
    <row r="242" spans="27:27" x14ac:dyDescent="0.2">
      <c r="AA242" s="41"/>
    </row>
    <row r="243" spans="27:27" x14ac:dyDescent="0.2">
      <c r="AA243" s="41"/>
    </row>
    <row r="244" spans="27:27" x14ac:dyDescent="0.2">
      <c r="AA244" s="41"/>
    </row>
    <row r="245" spans="27:27" x14ac:dyDescent="0.2">
      <c r="AA245" s="41"/>
    </row>
    <row r="246" spans="27:27" x14ac:dyDescent="0.2">
      <c r="AA246" s="41"/>
    </row>
    <row r="247" spans="27:27" x14ac:dyDescent="0.2">
      <c r="AA247" s="41"/>
    </row>
    <row r="248" spans="27:27" x14ac:dyDescent="0.2">
      <c r="AA248" s="41"/>
    </row>
    <row r="249" spans="27:27" x14ac:dyDescent="0.2">
      <c r="AA249" s="41"/>
    </row>
    <row r="250" spans="27:27" x14ac:dyDescent="0.2">
      <c r="AA250" s="41"/>
    </row>
    <row r="251" spans="27:27" x14ac:dyDescent="0.2">
      <c r="AA251" s="41"/>
    </row>
    <row r="252" spans="27:27" x14ac:dyDescent="0.2">
      <c r="AA252" s="41"/>
    </row>
    <row r="253" spans="27:27" x14ac:dyDescent="0.2">
      <c r="AA253" s="41"/>
    </row>
    <row r="254" spans="27:27" x14ac:dyDescent="0.2">
      <c r="AA254" s="41"/>
    </row>
    <row r="255" spans="27:27" x14ac:dyDescent="0.2">
      <c r="AA255" s="41"/>
    </row>
    <row r="256" spans="27:27" x14ac:dyDescent="0.2">
      <c r="AA256" s="41"/>
    </row>
    <row r="257" spans="27:27" x14ac:dyDescent="0.2">
      <c r="AA257" s="41"/>
    </row>
    <row r="258" spans="27:27" x14ac:dyDescent="0.2">
      <c r="AA258" s="41"/>
    </row>
    <row r="259" spans="27:27" x14ac:dyDescent="0.2">
      <c r="AA259" s="41"/>
    </row>
    <row r="260" spans="27:27" x14ac:dyDescent="0.2">
      <c r="AA260" s="41"/>
    </row>
    <row r="261" spans="27:27" x14ac:dyDescent="0.2">
      <c r="AA261" s="41"/>
    </row>
    <row r="262" spans="27:27" x14ac:dyDescent="0.2">
      <c r="AA262" s="41"/>
    </row>
    <row r="263" spans="27:27" x14ac:dyDescent="0.2">
      <c r="AA263" s="41"/>
    </row>
    <row r="264" spans="27:27" x14ac:dyDescent="0.2">
      <c r="AA264" s="41"/>
    </row>
    <row r="265" spans="27:27" x14ac:dyDescent="0.2">
      <c r="AA265" s="41"/>
    </row>
    <row r="266" spans="27:27" x14ac:dyDescent="0.2">
      <c r="AA266" s="41"/>
    </row>
    <row r="267" spans="27:27" x14ac:dyDescent="0.2">
      <c r="AA267" s="41"/>
    </row>
    <row r="268" spans="27:27" x14ac:dyDescent="0.2">
      <c r="AA268" s="41"/>
    </row>
    <row r="269" spans="27:27" x14ac:dyDescent="0.2">
      <c r="AA269" s="41"/>
    </row>
    <row r="270" spans="27:27" x14ac:dyDescent="0.2">
      <c r="AA270" s="41"/>
    </row>
    <row r="271" spans="27:27" x14ac:dyDescent="0.2">
      <c r="AA271" s="41"/>
    </row>
    <row r="272" spans="27:27" x14ac:dyDescent="0.2">
      <c r="AA272" s="41"/>
    </row>
    <row r="273" spans="27:27" x14ac:dyDescent="0.2">
      <c r="AA273" s="41"/>
    </row>
    <row r="274" spans="27:27" x14ac:dyDescent="0.2">
      <c r="AA274" s="41"/>
    </row>
    <row r="275" spans="27:27" x14ac:dyDescent="0.2">
      <c r="AA275" s="41"/>
    </row>
    <row r="276" spans="27:27" x14ac:dyDescent="0.2">
      <c r="AA276" s="41"/>
    </row>
    <row r="277" spans="27:27" x14ac:dyDescent="0.2">
      <c r="AA277" s="41"/>
    </row>
    <row r="278" spans="27:27" x14ac:dyDescent="0.2">
      <c r="AA278" s="41"/>
    </row>
    <row r="279" spans="27:27" x14ac:dyDescent="0.2">
      <c r="AA279" s="41"/>
    </row>
    <row r="280" spans="27:27" x14ac:dyDescent="0.2">
      <c r="AA280" s="41"/>
    </row>
    <row r="281" spans="27:27" x14ac:dyDescent="0.2">
      <c r="AA281" s="41"/>
    </row>
    <row r="282" spans="27:27" x14ac:dyDescent="0.2">
      <c r="AA282" s="41"/>
    </row>
    <row r="283" spans="27:27" x14ac:dyDescent="0.2">
      <c r="AA283" s="41"/>
    </row>
    <row r="284" spans="27:27" x14ac:dyDescent="0.2">
      <c r="AA284" s="41"/>
    </row>
    <row r="285" spans="27:27" x14ac:dyDescent="0.2">
      <c r="AA285" s="41"/>
    </row>
    <row r="286" spans="27:27" x14ac:dyDescent="0.2">
      <c r="AA286" s="41"/>
    </row>
    <row r="287" spans="27:27" x14ac:dyDescent="0.2">
      <c r="AA287" s="41"/>
    </row>
    <row r="288" spans="27:27" x14ac:dyDescent="0.2">
      <c r="AA288" s="41"/>
    </row>
    <row r="289" spans="27:27" x14ac:dyDescent="0.2">
      <c r="AA289" s="41"/>
    </row>
    <row r="290" spans="27:27" x14ac:dyDescent="0.2">
      <c r="AA290" s="41"/>
    </row>
    <row r="291" spans="27:27" x14ac:dyDescent="0.2">
      <c r="AA291" s="41"/>
    </row>
    <row r="292" spans="27:27" x14ac:dyDescent="0.2">
      <c r="AA292" s="41"/>
    </row>
    <row r="293" spans="27:27" x14ac:dyDescent="0.2">
      <c r="AA293" s="41"/>
    </row>
    <row r="294" spans="27:27" x14ac:dyDescent="0.2">
      <c r="AA294" s="41"/>
    </row>
    <row r="295" spans="27:27" x14ac:dyDescent="0.2">
      <c r="AA295" s="41"/>
    </row>
    <row r="296" spans="27:27" x14ac:dyDescent="0.2">
      <c r="AA296" s="41"/>
    </row>
    <row r="297" spans="27:27" x14ac:dyDescent="0.2">
      <c r="AA297" s="41"/>
    </row>
    <row r="298" spans="27:27" x14ac:dyDescent="0.2">
      <c r="AA298" s="41"/>
    </row>
    <row r="299" spans="27:27" x14ac:dyDescent="0.2">
      <c r="AA299" s="41"/>
    </row>
    <row r="300" spans="27:27" x14ac:dyDescent="0.2">
      <c r="AA300" s="41"/>
    </row>
    <row r="301" spans="27:27" x14ac:dyDescent="0.2">
      <c r="AA301" s="41"/>
    </row>
    <row r="302" spans="27:27" x14ac:dyDescent="0.2">
      <c r="AA302" s="41"/>
    </row>
    <row r="303" spans="27:27" x14ac:dyDescent="0.2">
      <c r="AA303" s="41"/>
    </row>
    <row r="304" spans="27:27" x14ac:dyDescent="0.2">
      <c r="AA304" s="41"/>
    </row>
    <row r="305" spans="27:27" x14ac:dyDescent="0.2">
      <c r="AA305" s="41"/>
    </row>
    <row r="306" spans="27:27" x14ac:dyDescent="0.2">
      <c r="AA306" s="41"/>
    </row>
    <row r="307" spans="27:27" x14ac:dyDescent="0.2">
      <c r="AA307" s="41"/>
    </row>
    <row r="308" spans="27:27" x14ac:dyDescent="0.2">
      <c r="AA308" s="41"/>
    </row>
    <row r="309" spans="27:27" x14ac:dyDescent="0.2">
      <c r="AA309" s="41"/>
    </row>
    <row r="310" spans="27:27" x14ac:dyDescent="0.2">
      <c r="AA310" s="41"/>
    </row>
    <row r="311" spans="27:27" x14ac:dyDescent="0.2">
      <c r="AA311" s="41"/>
    </row>
    <row r="312" spans="27:27" x14ac:dyDescent="0.2">
      <c r="AA312" s="41"/>
    </row>
    <row r="313" spans="27:27" x14ac:dyDescent="0.2">
      <c r="AA313" s="41"/>
    </row>
    <row r="314" spans="27:27" x14ac:dyDescent="0.2">
      <c r="AA314" s="41"/>
    </row>
    <row r="315" spans="27:27" x14ac:dyDescent="0.2">
      <c r="AA315" s="41"/>
    </row>
    <row r="316" spans="27:27" x14ac:dyDescent="0.2">
      <c r="AA316" s="41"/>
    </row>
    <row r="317" spans="27:27" x14ac:dyDescent="0.2">
      <c r="AA317" s="41"/>
    </row>
    <row r="318" spans="27:27" x14ac:dyDescent="0.2">
      <c r="AA318" s="41"/>
    </row>
    <row r="319" spans="27:27" x14ac:dyDescent="0.2">
      <c r="AA319" s="41"/>
    </row>
    <row r="320" spans="27:27" x14ac:dyDescent="0.2">
      <c r="AA320" s="41"/>
    </row>
    <row r="321" spans="27:27" x14ac:dyDescent="0.2">
      <c r="AA321" s="41"/>
    </row>
    <row r="322" spans="27:27" x14ac:dyDescent="0.2">
      <c r="AA322" s="41"/>
    </row>
    <row r="323" spans="27:27" x14ac:dyDescent="0.2">
      <c r="AA323" s="41"/>
    </row>
    <row r="324" spans="27:27" x14ac:dyDescent="0.2">
      <c r="AA324" s="41"/>
    </row>
    <row r="325" spans="27:27" x14ac:dyDescent="0.2">
      <c r="AA325" s="41"/>
    </row>
    <row r="326" spans="27:27" x14ac:dyDescent="0.2">
      <c r="AA326" s="41"/>
    </row>
    <row r="327" spans="27:27" x14ac:dyDescent="0.2">
      <c r="AA327" s="41"/>
    </row>
    <row r="328" spans="27:27" x14ac:dyDescent="0.2">
      <c r="AA328" s="41"/>
    </row>
    <row r="329" spans="27:27" x14ac:dyDescent="0.2">
      <c r="AA329" s="41"/>
    </row>
    <row r="330" spans="27:27" x14ac:dyDescent="0.2">
      <c r="AA330" s="41"/>
    </row>
    <row r="331" spans="27:27" x14ac:dyDescent="0.2">
      <c r="AA331" s="41"/>
    </row>
    <row r="332" spans="27:27" x14ac:dyDescent="0.2">
      <c r="AA332" s="41"/>
    </row>
    <row r="333" spans="27:27" x14ac:dyDescent="0.2">
      <c r="AA333" s="41"/>
    </row>
    <row r="334" spans="27:27" x14ac:dyDescent="0.2">
      <c r="AA334" s="41"/>
    </row>
    <row r="335" spans="27:27" x14ac:dyDescent="0.2">
      <c r="AA335" s="41"/>
    </row>
    <row r="336" spans="27:27" x14ac:dyDescent="0.2">
      <c r="AA336" s="41"/>
    </row>
    <row r="337" spans="27:27" x14ac:dyDescent="0.2">
      <c r="AA337" s="41"/>
    </row>
    <row r="338" spans="27:27" x14ac:dyDescent="0.2">
      <c r="AA338" s="41"/>
    </row>
    <row r="339" spans="27:27" x14ac:dyDescent="0.2">
      <c r="AA339" s="41"/>
    </row>
    <row r="340" spans="27:27" x14ac:dyDescent="0.2">
      <c r="AA340" s="41"/>
    </row>
    <row r="341" spans="27:27" x14ac:dyDescent="0.2">
      <c r="AA341" s="41"/>
    </row>
    <row r="342" spans="27:27" x14ac:dyDescent="0.2">
      <c r="AA342" s="41"/>
    </row>
    <row r="343" spans="27:27" x14ac:dyDescent="0.2">
      <c r="AA343" s="41"/>
    </row>
    <row r="344" spans="27:27" x14ac:dyDescent="0.2">
      <c r="AA344" s="41"/>
    </row>
    <row r="345" spans="27:27" x14ac:dyDescent="0.2">
      <c r="AA345" s="41"/>
    </row>
    <row r="346" spans="27:27" x14ac:dyDescent="0.2">
      <c r="AA346" s="41"/>
    </row>
    <row r="347" spans="27:27" x14ac:dyDescent="0.2">
      <c r="AA347" s="41"/>
    </row>
    <row r="348" spans="27:27" x14ac:dyDescent="0.2">
      <c r="AA348" s="41"/>
    </row>
    <row r="349" spans="27:27" x14ac:dyDescent="0.2">
      <c r="AA349" s="41"/>
    </row>
    <row r="350" spans="27:27" x14ac:dyDescent="0.2">
      <c r="AA350" s="41"/>
    </row>
    <row r="351" spans="27:27" x14ac:dyDescent="0.2">
      <c r="AA351" s="41"/>
    </row>
    <row r="352" spans="27:27" x14ac:dyDescent="0.2">
      <c r="AA352" s="41"/>
    </row>
    <row r="353" spans="27:27" x14ac:dyDescent="0.2">
      <c r="AA353" s="41"/>
    </row>
    <row r="354" spans="27:27" x14ac:dyDescent="0.2">
      <c r="AA354" s="41"/>
    </row>
    <row r="355" spans="27:27" x14ac:dyDescent="0.2">
      <c r="AA355" s="41"/>
    </row>
    <row r="356" spans="27:27" x14ac:dyDescent="0.2">
      <c r="AA356" s="41"/>
    </row>
    <row r="357" spans="27:27" x14ac:dyDescent="0.2">
      <c r="AA357" s="41"/>
    </row>
    <row r="358" spans="27:27" x14ac:dyDescent="0.2">
      <c r="AA358" s="41"/>
    </row>
    <row r="359" spans="27:27" x14ac:dyDescent="0.2">
      <c r="AA359" s="41"/>
    </row>
    <row r="360" spans="27:27" x14ac:dyDescent="0.2">
      <c r="AA360" s="41"/>
    </row>
    <row r="361" spans="27:27" x14ac:dyDescent="0.2">
      <c r="AA361" s="41"/>
    </row>
    <row r="362" spans="27:27" x14ac:dyDescent="0.2">
      <c r="AA362" s="41"/>
    </row>
    <row r="363" spans="27:27" x14ac:dyDescent="0.2">
      <c r="AA363" s="41"/>
    </row>
    <row r="364" spans="27:27" x14ac:dyDescent="0.2">
      <c r="AA364" s="41"/>
    </row>
    <row r="365" spans="27:27" x14ac:dyDescent="0.2">
      <c r="AA365" s="41"/>
    </row>
    <row r="366" spans="27:27" x14ac:dyDescent="0.2">
      <c r="AA366" s="41"/>
    </row>
    <row r="367" spans="27:27" x14ac:dyDescent="0.2">
      <c r="AA367" s="41"/>
    </row>
    <row r="368" spans="27:27" x14ac:dyDescent="0.2">
      <c r="AA368" s="41"/>
    </row>
    <row r="369" spans="27:27" x14ac:dyDescent="0.2">
      <c r="AA369" s="41"/>
    </row>
    <row r="370" spans="27:27" x14ac:dyDescent="0.2">
      <c r="AA370" s="41"/>
    </row>
    <row r="371" spans="27:27" x14ac:dyDescent="0.2">
      <c r="AA371" s="41"/>
    </row>
    <row r="372" spans="27:27" x14ac:dyDescent="0.2">
      <c r="AA372" s="41"/>
    </row>
    <row r="373" spans="27:27" x14ac:dyDescent="0.2">
      <c r="AA373" s="41"/>
    </row>
    <row r="374" spans="27:27" x14ac:dyDescent="0.2">
      <c r="AA374" s="41"/>
    </row>
    <row r="375" spans="27:27" x14ac:dyDescent="0.2">
      <c r="AA375" s="41"/>
    </row>
    <row r="376" spans="27:27" x14ac:dyDescent="0.2">
      <c r="AA376" s="41"/>
    </row>
    <row r="377" spans="27:27" x14ac:dyDescent="0.2">
      <c r="AA377" s="41"/>
    </row>
    <row r="378" spans="27:27" x14ac:dyDescent="0.2">
      <c r="AA378" s="41"/>
    </row>
    <row r="379" spans="27:27" x14ac:dyDescent="0.2">
      <c r="AA379" s="41"/>
    </row>
    <row r="380" spans="27:27" x14ac:dyDescent="0.2">
      <c r="AA380" s="41"/>
    </row>
    <row r="381" spans="27:27" x14ac:dyDescent="0.2">
      <c r="AA381" s="41"/>
    </row>
    <row r="382" spans="27:27" x14ac:dyDescent="0.2">
      <c r="AA382" s="41"/>
    </row>
    <row r="383" spans="27:27" x14ac:dyDescent="0.2">
      <c r="AA383" s="41"/>
    </row>
    <row r="384" spans="27:27" x14ac:dyDescent="0.2">
      <c r="AA384" s="41"/>
    </row>
    <row r="385" spans="27:27" x14ac:dyDescent="0.2">
      <c r="AA385" s="41"/>
    </row>
    <row r="386" spans="27:27" x14ac:dyDescent="0.2">
      <c r="AA386" s="41"/>
    </row>
    <row r="387" spans="27:27" x14ac:dyDescent="0.2">
      <c r="AA387" s="41"/>
    </row>
    <row r="388" spans="27:27" x14ac:dyDescent="0.2">
      <c r="AA388" s="41"/>
    </row>
    <row r="389" spans="27:27" x14ac:dyDescent="0.2">
      <c r="AA389" s="41"/>
    </row>
    <row r="390" spans="27:27" x14ac:dyDescent="0.2">
      <c r="AA390" s="41"/>
    </row>
    <row r="391" spans="27:27" x14ac:dyDescent="0.2">
      <c r="AA391" s="41"/>
    </row>
    <row r="392" spans="27:27" x14ac:dyDescent="0.2">
      <c r="AA392" s="41"/>
    </row>
    <row r="393" spans="27:27" x14ac:dyDescent="0.2">
      <c r="AA393" s="41"/>
    </row>
    <row r="394" spans="27:27" x14ac:dyDescent="0.2">
      <c r="AA394" s="41"/>
    </row>
    <row r="395" spans="27:27" x14ac:dyDescent="0.2">
      <c r="AA395" s="41"/>
    </row>
    <row r="396" spans="27:27" x14ac:dyDescent="0.2">
      <c r="AA396" s="41"/>
    </row>
    <row r="397" spans="27:27" x14ac:dyDescent="0.2">
      <c r="AA397" s="41"/>
    </row>
    <row r="398" spans="27:27" x14ac:dyDescent="0.2">
      <c r="AA398" s="41"/>
    </row>
    <row r="399" spans="27:27" x14ac:dyDescent="0.2">
      <c r="AA399" s="41"/>
    </row>
    <row r="400" spans="27:27" x14ac:dyDescent="0.2">
      <c r="AA400" s="41"/>
    </row>
    <row r="401" spans="27:27" x14ac:dyDescent="0.2">
      <c r="AA401" s="41"/>
    </row>
    <row r="402" spans="27:27" x14ac:dyDescent="0.2">
      <c r="AA402" s="41"/>
    </row>
    <row r="403" spans="27:27" x14ac:dyDescent="0.2">
      <c r="AA403" s="41"/>
    </row>
    <row r="404" spans="27:27" x14ac:dyDescent="0.2">
      <c r="AA404" s="41"/>
    </row>
    <row r="405" spans="27:27" x14ac:dyDescent="0.2">
      <c r="AA405" s="41"/>
    </row>
    <row r="406" spans="27:27" x14ac:dyDescent="0.2">
      <c r="AA406" s="41"/>
    </row>
    <row r="407" spans="27:27" x14ac:dyDescent="0.2">
      <c r="AA407" s="41"/>
    </row>
    <row r="408" spans="27:27" x14ac:dyDescent="0.2">
      <c r="AA408" s="41"/>
    </row>
    <row r="409" spans="27:27" x14ac:dyDescent="0.2">
      <c r="AA409" s="41"/>
    </row>
    <row r="410" spans="27:27" x14ac:dyDescent="0.2">
      <c r="AA410" s="41"/>
    </row>
    <row r="411" spans="27:27" x14ac:dyDescent="0.2">
      <c r="AA411" s="41"/>
    </row>
    <row r="412" spans="27:27" x14ac:dyDescent="0.2">
      <c r="AA412" s="41"/>
    </row>
    <row r="413" spans="27:27" x14ac:dyDescent="0.2">
      <c r="AA413" s="41"/>
    </row>
    <row r="414" spans="27:27" x14ac:dyDescent="0.2">
      <c r="AA414" s="41"/>
    </row>
    <row r="415" spans="27:27" x14ac:dyDescent="0.2">
      <c r="AA415" s="41"/>
    </row>
    <row r="416" spans="27:27" x14ac:dyDescent="0.2">
      <c r="AA416" s="41"/>
    </row>
    <row r="417" spans="27:27" x14ac:dyDescent="0.2">
      <c r="AA417" s="41"/>
    </row>
    <row r="418" spans="27:27" x14ac:dyDescent="0.2">
      <c r="AA418" s="41"/>
    </row>
    <row r="419" spans="27:27" x14ac:dyDescent="0.2">
      <c r="AA419" s="41"/>
    </row>
    <row r="420" spans="27:27" x14ac:dyDescent="0.2">
      <c r="AA420" s="41"/>
    </row>
    <row r="421" spans="27:27" x14ac:dyDescent="0.2">
      <c r="AA421" s="41"/>
    </row>
    <row r="422" spans="27:27" x14ac:dyDescent="0.2">
      <c r="AA422" s="41"/>
    </row>
    <row r="423" spans="27:27" x14ac:dyDescent="0.2">
      <c r="AA423" s="41"/>
    </row>
    <row r="424" spans="27:27" x14ac:dyDescent="0.2">
      <c r="AA424" s="41"/>
    </row>
    <row r="425" spans="27:27" x14ac:dyDescent="0.2">
      <c r="AA425" s="41"/>
    </row>
    <row r="426" spans="27:27" x14ac:dyDescent="0.2">
      <c r="AA426" s="41"/>
    </row>
    <row r="427" spans="27:27" x14ac:dyDescent="0.2">
      <c r="AA427" s="41"/>
    </row>
    <row r="428" spans="27:27" x14ac:dyDescent="0.2">
      <c r="AA428" s="41"/>
    </row>
    <row r="429" spans="27:27" x14ac:dyDescent="0.2">
      <c r="AA429" s="41"/>
    </row>
    <row r="430" spans="27:27" x14ac:dyDescent="0.2">
      <c r="AA430" s="41"/>
    </row>
    <row r="431" spans="27:27" x14ac:dyDescent="0.2">
      <c r="AA431" s="41"/>
    </row>
    <row r="432" spans="27:27" x14ac:dyDescent="0.2">
      <c r="AA432" s="41"/>
    </row>
    <row r="433" spans="27:27" x14ac:dyDescent="0.2">
      <c r="AA433" s="41"/>
    </row>
    <row r="434" spans="27:27" x14ac:dyDescent="0.2">
      <c r="AA434" s="41"/>
    </row>
    <row r="435" spans="27:27" x14ac:dyDescent="0.2">
      <c r="AA435" s="41"/>
    </row>
    <row r="436" spans="27:27" x14ac:dyDescent="0.2">
      <c r="AA436" s="41"/>
    </row>
    <row r="437" spans="27:27" x14ac:dyDescent="0.2">
      <c r="AA437" s="41"/>
    </row>
    <row r="438" spans="27:27" x14ac:dyDescent="0.2">
      <c r="AA438" s="41"/>
    </row>
    <row r="439" spans="27:27" x14ac:dyDescent="0.2">
      <c r="AA439" s="41"/>
    </row>
    <row r="440" spans="27:27" x14ac:dyDescent="0.2">
      <c r="AA440" s="41"/>
    </row>
    <row r="441" spans="27:27" x14ac:dyDescent="0.2">
      <c r="AA441" s="41"/>
    </row>
    <row r="442" spans="27:27" x14ac:dyDescent="0.2">
      <c r="AA442" s="41"/>
    </row>
    <row r="443" spans="27:27" x14ac:dyDescent="0.2">
      <c r="AA443" s="41"/>
    </row>
    <row r="444" spans="27:27" x14ac:dyDescent="0.2">
      <c r="AA444" s="41"/>
    </row>
    <row r="445" spans="27:27" x14ac:dyDescent="0.2">
      <c r="AA445" s="41"/>
    </row>
    <row r="446" spans="27:27" x14ac:dyDescent="0.2">
      <c r="AA446" s="41"/>
    </row>
    <row r="447" spans="27:27" x14ac:dyDescent="0.2">
      <c r="AA447" s="41"/>
    </row>
    <row r="448" spans="27:27" x14ac:dyDescent="0.2">
      <c r="AA448" s="41"/>
    </row>
    <row r="449" spans="27:27" x14ac:dyDescent="0.2">
      <c r="AA449" s="41"/>
    </row>
    <row r="450" spans="27:27" x14ac:dyDescent="0.2">
      <c r="AA450" s="41"/>
    </row>
    <row r="451" spans="27:27" x14ac:dyDescent="0.2">
      <c r="AA451" s="41"/>
    </row>
    <row r="452" spans="27:27" x14ac:dyDescent="0.2">
      <c r="AA452" s="41"/>
    </row>
    <row r="453" spans="27:27" x14ac:dyDescent="0.2">
      <c r="AA453" s="41"/>
    </row>
    <row r="454" spans="27:27" x14ac:dyDescent="0.2">
      <c r="AA454" s="41"/>
    </row>
    <row r="455" spans="27:27" x14ac:dyDescent="0.2">
      <c r="AA455" s="41"/>
    </row>
    <row r="456" spans="27:27" x14ac:dyDescent="0.2">
      <c r="AA456" s="41"/>
    </row>
    <row r="457" spans="27:27" x14ac:dyDescent="0.2">
      <c r="AA457" s="41"/>
    </row>
    <row r="458" spans="27:27" x14ac:dyDescent="0.2">
      <c r="AA458" s="41"/>
    </row>
    <row r="459" spans="27:27" x14ac:dyDescent="0.2">
      <c r="AA459" s="41"/>
    </row>
    <row r="460" spans="27:27" x14ac:dyDescent="0.2">
      <c r="AA460" s="41"/>
    </row>
    <row r="461" spans="27:27" x14ac:dyDescent="0.2">
      <c r="AA461" s="41"/>
    </row>
    <row r="462" spans="27:27" x14ac:dyDescent="0.2">
      <c r="AA462" s="41"/>
    </row>
    <row r="463" spans="27:27" x14ac:dyDescent="0.2">
      <c r="AA463" s="41"/>
    </row>
    <row r="464" spans="27:27" x14ac:dyDescent="0.2">
      <c r="AA464" s="41"/>
    </row>
    <row r="465" spans="27:27" x14ac:dyDescent="0.2">
      <c r="AA465" s="41"/>
    </row>
    <row r="466" spans="27:27" x14ac:dyDescent="0.2">
      <c r="AA466" s="41"/>
    </row>
    <row r="467" spans="27:27" x14ac:dyDescent="0.2">
      <c r="AA467" s="41"/>
    </row>
    <row r="468" spans="27:27" x14ac:dyDescent="0.2">
      <c r="AA468" s="41"/>
    </row>
    <row r="469" spans="27:27" x14ac:dyDescent="0.2">
      <c r="AA469" s="41"/>
    </row>
    <row r="470" spans="27:27" x14ac:dyDescent="0.2">
      <c r="AA470" s="41"/>
    </row>
    <row r="471" spans="27:27" x14ac:dyDescent="0.2">
      <c r="AA471" s="41"/>
    </row>
    <row r="472" spans="27:27" x14ac:dyDescent="0.2">
      <c r="AA472" s="41"/>
    </row>
    <row r="473" spans="27:27" x14ac:dyDescent="0.2">
      <c r="AA473" s="41"/>
    </row>
    <row r="474" spans="27:27" x14ac:dyDescent="0.2">
      <c r="AA474" s="41"/>
    </row>
    <row r="475" spans="27:27" x14ac:dyDescent="0.2">
      <c r="AA475" s="41"/>
    </row>
    <row r="476" spans="27:27" x14ac:dyDescent="0.2">
      <c r="AA476" s="41"/>
    </row>
    <row r="477" spans="27:27" x14ac:dyDescent="0.2">
      <c r="AA477" s="41"/>
    </row>
    <row r="478" spans="27:27" x14ac:dyDescent="0.2">
      <c r="AA478" s="41"/>
    </row>
    <row r="479" spans="27:27" x14ac:dyDescent="0.2">
      <c r="AA479" s="41"/>
    </row>
    <row r="480" spans="27:27" x14ac:dyDescent="0.2">
      <c r="AA480" s="41"/>
    </row>
    <row r="481" spans="27:27" x14ac:dyDescent="0.2">
      <c r="AA481" s="41"/>
    </row>
    <row r="482" spans="27:27" x14ac:dyDescent="0.2">
      <c r="AA482" s="41"/>
    </row>
    <row r="483" spans="27:27" x14ac:dyDescent="0.2">
      <c r="AA483" s="41"/>
    </row>
    <row r="484" spans="27:27" x14ac:dyDescent="0.2">
      <c r="AA484" s="41"/>
    </row>
    <row r="485" spans="27:27" x14ac:dyDescent="0.2">
      <c r="AA485" s="41"/>
    </row>
    <row r="486" spans="27:27" x14ac:dyDescent="0.2">
      <c r="AA486" s="41"/>
    </row>
  </sheetData>
  <phoneticPr fontId="0" type="noConversion"/>
  <pageMargins left="0.75" right="0.75" top="1" bottom="1" header="0.5" footer="0.5"/>
  <pageSetup scale="83" orientation="portrait" horizontalDpi="300" verticalDpi="300" r:id="rId1"/>
  <headerFooter alignWithMargins="0"/>
  <rowBreaks count="4" manualBreakCount="4">
    <brk id="51" max="16383" man="1"/>
    <brk id="102" max="16383" man="1"/>
    <brk id="153" max="16383" man="1"/>
    <brk id="20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BacktoWorksheet">
                <anchor moveWithCells="1" sizeWithCells="1">
                  <from>
                    <xdr:col>10</xdr:col>
                    <xdr:colOff>190500</xdr:colOff>
                    <xdr:row>1</xdr:row>
                    <xdr:rowOff>85725</xdr:rowOff>
                  </from>
                  <to>
                    <xdr:col>11</xdr:col>
                    <xdr:colOff>752475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E50:P550"/>
  <sheetViews>
    <sheetView topLeftCell="A34" workbookViewId="0">
      <selection activeCell="E51" sqref="E51"/>
    </sheetView>
  </sheetViews>
  <sheetFormatPr defaultRowHeight="12.75" x14ac:dyDescent="0.2"/>
  <sheetData>
    <row r="50" spans="5:16" x14ac:dyDescent="0.2">
      <c r="E50">
        <v>0</v>
      </c>
      <c r="F50">
        <v>1</v>
      </c>
      <c r="G50">
        <v>2</v>
      </c>
      <c r="H50">
        <v>3</v>
      </c>
      <c r="I50">
        <v>4</v>
      </c>
      <c r="J50">
        <v>5</v>
      </c>
      <c r="K50">
        <v>6</v>
      </c>
      <c r="L50">
        <v>7</v>
      </c>
      <c r="M50">
        <v>8</v>
      </c>
      <c r="N50">
        <v>9</v>
      </c>
      <c r="O50">
        <v>10</v>
      </c>
    </row>
    <row r="51" spans="5:16" x14ac:dyDescent="0.2">
      <c r="E51">
        <f ca="1">BINOMDIST(Worksheet!$A$22,Worksheet!$B$15,$P51,1)</f>
        <v>1.4012984643248261E-45</v>
      </c>
      <c r="F51">
        <f ca="1">BINOMDIST(Worksheet!$A$23,Worksheet!$B$15,$P51,1)</f>
        <v>2.1019476964872463E-43</v>
      </c>
      <c r="G51">
        <f ca="1">BINOMDIST(Worksheet!$A$24,Worksheet!$B$15,$P51,1)</f>
        <v>1.566091163729412E-41</v>
      </c>
      <c r="H51">
        <f ca="1">BINOMDIST(Worksheet!$A$25,Worksheet!$B$15,$P51,1)</f>
        <v>7.7274603815192005E-40</v>
      </c>
      <c r="I51">
        <f ca="1">BINOMDIST(Worksheet!$A$26,Worksheet!$B$15,$P51,1)</f>
        <v>2.8406353155935824E-38</v>
      </c>
      <c r="J51">
        <f ca="1">BINOMDIST(Worksheet!$A$27,Worksheet!$B$15,$P51,1)</f>
        <v>8.2978095957167047E-37</v>
      </c>
      <c r="K51">
        <f ca="1">BINOMDIST(Worksheet!$A$28,Worksheet!$B$15,$P51,1)</f>
        <v>2.0062771513549331E-35</v>
      </c>
      <c r="L51">
        <f ca="1">BINOMDIST(Worksheet!$A$29,Worksheet!$B$15,$P51,1)</f>
        <v>4.1296529283052264E-34</v>
      </c>
      <c r="M51">
        <f ca="1">BINOMDIST(Worksheet!$A$30,Worksheet!$B$15,$P51,1)</f>
        <v>7.3869850462068098E-33</v>
      </c>
      <c r="N51">
        <f ca="1">BINOMDIST(Worksheet!$A$31,Worksheet!$B$15,$P51,1)</f>
        <v>1.1664662784910047E-31</v>
      </c>
      <c r="O51">
        <f ca="1">BINOMDIST(Worksheet!$A$32,Worksheet!$B$15,$P51,1)</f>
        <v>1.6462816270896161E-30</v>
      </c>
      <c r="P51">
        <v>0.5</v>
      </c>
    </row>
    <row r="52" spans="5:16" x14ac:dyDescent="0.2">
      <c r="E52">
        <f ca="1">BINOMDIST(Worksheet!$A$22,Worksheet!$B$15,$P52,1)</f>
        <v>1.8872140199234059E-45</v>
      </c>
      <c r="F52">
        <f ca="1">BINOMDIST(Worksheet!$A$23,Worksheet!$B$15,$P52,1)</f>
        <v>2.8195956850161075E-43</v>
      </c>
      <c r="G52">
        <f ca="1">BINOMDIST(Worksheet!$A$24,Worksheet!$B$15,$P52,1)</f>
        <v>2.0924577855109989E-41</v>
      </c>
      <c r="H52">
        <f ca="1">BINOMDIST(Worksheet!$A$25,Worksheet!$B$15,$P52,1)</f>
        <v>1.0283749964696049E-39</v>
      </c>
      <c r="I52">
        <f ca="1">BINOMDIST(Worksheet!$A$26,Worksheet!$B$15,$P52,1)</f>
        <v>3.7653521103126548E-38</v>
      </c>
      <c r="J52">
        <f ca="1">BINOMDIST(Worksheet!$A$27,Worksheet!$B$15,$P52,1)</f>
        <v>1.0955427213215555E-36</v>
      </c>
      <c r="K52">
        <f ca="1">BINOMDIST(Worksheet!$A$28,Worksheet!$B$15,$P52,1)</f>
        <v>2.6383528872650721E-35</v>
      </c>
      <c r="L52">
        <f ca="1">BINOMDIST(Worksheet!$A$29,Worksheet!$B$15,$P52,1)</f>
        <v>5.4091869505468628E-34</v>
      </c>
      <c r="M52">
        <f ca="1">BINOMDIST(Worksheet!$A$30,Worksheet!$B$15,$P52,1)</f>
        <v>9.6374588161441757E-33</v>
      </c>
      <c r="N52">
        <f ca="1">BINOMDIST(Worksheet!$A$31,Worksheet!$B$15,$P52,1)</f>
        <v>1.5158100868967182E-31</v>
      </c>
      <c r="O52">
        <f ca="1">BINOMDIST(Worksheet!$A$32,Worksheet!$B$15,$P52,1)</f>
        <v>2.1308577340718379E-30</v>
      </c>
      <c r="P52">
        <v>0.499</v>
      </c>
    </row>
    <row r="53" spans="5:16" x14ac:dyDescent="0.2">
      <c r="E53">
        <f ca="1">BINOMDIST(Worksheet!$A$22,Worksheet!$B$15,$P53,1)</f>
        <v>2.540117781085039E-45</v>
      </c>
      <c r="F53">
        <f ca="1">BINOMDIST(Worksheet!$A$23,Worksheet!$B$15,$P53,1)</f>
        <v>3.7800190979716476E-43</v>
      </c>
      <c r="G53">
        <f ca="1">BINOMDIST(Worksheet!$A$24,Worksheet!$B$15,$P53,1)</f>
        <v>2.7940786689431767E-41</v>
      </c>
      <c r="H53">
        <f ca="1">BINOMDIST(Worksheet!$A$25,Worksheet!$B$15,$P53,1)</f>
        <v>1.3677556755193996E-39</v>
      </c>
      <c r="I53">
        <f ca="1">BINOMDIST(Worksheet!$A$26,Worksheet!$B$15,$P53,1)</f>
        <v>4.9881331839388561E-38</v>
      </c>
      <c r="J53">
        <f ca="1">BINOMDIST(Worksheet!$A$27,Worksheet!$B$15,$P53,1)</f>
        <v>1.445564732155322E-36</v>
      </c>
      <c r="K53">
        <f ca="1">BINOMDIST(Worksheet!$A$28,Worksheet!$B$15,$P53,1)</f>
        <v>3.4675062741270929E-35</v>
      </c>
      <c r="L53">
        <f ca="1">BINOMDIST(Worksheet!$A$29,Worksheet!$B$15,$P53,1)</f>
        <v>7.0809722302048545E-34</v>
      </c>
      <c r="M53">
        <f ca="1">BINOMDIST(Worksheet!$A$30,Worksheet!$B$15,$P53,1)</f>
        <v>1.2566095601084463E-32</v>
      </c>
      <c r="N53">
        <f ca="1">BINOMDIST(Worksheet!$A$31,Worksheet!$B$15,$P53,1)</f>
        <v>1.9686112218605484E-31</v>
      </c>
      <c r="O53">
        <f ca="1">BINOMDIST(Worksheet!$A$32,Worksheet!$B$15,$P53,1)</f>
        <v>2.7564326866291094E-30</v>
      </c>
      <c r="P53">
        <v>0.498</v>
      </c>
    </row>
    <row r="54" spans="5:16" x14ac:dyDescent="0.2">
      <c r="E54">
        <f ca="1">BINOMDIST(Worksheet!$A$22,Worksheet!$B$15,$P54,1)</f>
        <v>3.416880366505902E-45</v>
      </c>
      <c r="F54">
        <f ca="1">BINOMDIST(Worksheet!$A$23,Worksheet!$B$15,$P54,1)</f>
        <v>5.0645911054715095E-43</v>
      </c>
      <c r="G54">
        <f ca="1">BINOMDIST(Worksheet!$A$24,Worksheet!$B$15,$P54,1)</f>
        <v>3.7287546867174867E-41</v>
      </c>
      <c r="H54">
        <f ca="1">BINOMDIST(Worksheet!$A$25,Worksheet!$B$15,$P54,1)</f>
        <v>1.8180625570802045E-39</v>
      </c>
      <c r="I54">
        <f ca="1">BINOMDIST(Worksheet!$A$26,Worksheet!$B$15,$P54,1)</f>
        <v>6.6041022940319624E-38</v>
      </c>
      <c r="J54">
        <f ca="1">BINOMDIST(Worksheet!$A$27,Worksheet!$B$15,$P54,1)</f>
        <v>1.9062905815956449E-36</v>
      </c>
      <c r="K54">
        <f ca="1">BINOMDIST(Worksheet!$A$28,Worksheet!$B$15,$P54,1)</f>
        <v>4.5545449101756059E-35</v>
      </c>
      <c r="L54">
        <f ca="1">BINOMDIST(Worksheet!$A$29,Worksheet!$B$15,$P54,1)</f>
        <v>9.2639709215382049E-34</v>
      </c>
      <c r="M54">
        <f ca="1">BINOMDIST(Worksheet!$A$30,Worksheet!$B$15,$P54,1)</f>
        <v>1.6375011370671797E-32</v>
      </c>
      <c r="N54">
        <f ca="1">BINOMDIST(Worksheet!$A$31,Worksheet!$B$15,$P54,1)</f>
        <v>2.5551628435403865E-31</v>
      </c>
      <c r="O54">
        <f ca="1">BINOMDIST(Worksheet!$A$32,Worksheet!$B$15,$P54,1)</f>
        <v>3.5635579889629144E-30</v>
      </c>
      <c r="P54">
        <v>0.497</v>
      </c>
    </row>
    <row r="55" spans="5:16" x14ac:dyDescent="0.2">
      <c r="E55">
        <f ca="1">BINOMDIST(Worksheet!$A$22,Worksheet!$B$15,$P55,1)</f>
        <v>4.5935656797022506E-45</v>
      </c>
      <c r="F55">
        <f ca="1">BINOMDIST(Worksheet!$A$23,Worksheet!$B$15,$P55,1)</f>
        <v>6.7817070455413273E-43</v>
      </c>
      <c r="G55">
        <f ca="1">BINOMDIST(Worksheet!$A$24,Worksheet!$B$15,$P55,1)</f>
        <v>4.9731693135600163E-41</v>
      </c>
      <c r="H55">
        <f ca="1">BINOMDIST(Worksheet!$A$25,Worksheet!$B$15,$P55,1)</f>
        <v>2.4152015525882743E-39</v>
      </c>
      <c r="I55">
        <f ca="1">BINOMDIST(Worksheet!$A$26,Worksheet!$B$15,$P55,1)</f>
        <v>8.738438078975371E-38</v>
      </c>
      <c r="J55">
        <f ca="1">BINOMDIST(Worksheet!$A$27,Worksheet!$B$15,$P55,1)</f>
        <v>2.5123777818758143E-36</v>
      </c>
      <c r="K55">
        <f ca="1">BINOMDIST(Worksheet!$A$28,Worksheet!$B$15,$P55,1)</f>
        <v>5.9788412398003963E-35</v>
      </c>
      <c r="L55">
        <f ca="1">BINOMDIST(Worksheet!$A$29,Worksheet!$B$15,$P55,1)</f>
        <v>1.2112834756782643E-33</v>
      </c>
      <c r="M55">
        <f ca="1">BINOMDIST(Worksheet!$A$30,Worksheet!$B$15,$P55,1)</f>
        <v>2.1325891684248296E-32</v>
      </c>
      <c r="N55">
        <f ca="1">BINOMDIST(Worksheet!$A$31,Worksheet!$B$15,$P55,1)</f>
        <v>3.3145270819098546E-31</v>
      </c>
      <c r="O55">
        <f ca="1">BINOMDIST(Worksheet!$A$32,Worksheet!$B$15,$P55,1)</f>
        <v>4.6043110689504917E-30</v>
      </c>
      <c r="P55">
        <v>0.496</v>
      </c>
    </row>
    <row r="56" spans="5:16" x14ac:dyDescent="0.2">
      <c r="E56">
        <f ca="1">BINOMDIST(Worksheet!$A$22,Worksheet!$B$15,$P56,1)</f>
        <v>6.1718496761132098E-45</v>
      </c>
      <c r="F56">
        <f ca="1">BINOMDIST(Worksheet!$A$23,Worksheet!$B$15,$P56,1)</f>
        <v>9.0756743950131615E-43</v>
      </c>
      <c r="G56">
        <f ca="1">BINOMDIST(Worksheet!$A$24,Worksheet!$B$15,$P56,1)</f>
        <v>6.6289984182663913E-41</v>
      </c>
      <c r="H56">
        <f ca="1">BINOMDIST(Worksheet!$A$25,Worksheet!$B$15,$P56,1)</f>
        <v>3.206588039836931E-39</v>
      </c>
      <c r="I56">
        <f ca="1">BINOMDIST(Worksheet!$A$26,Worksheet!$B$15,$P56,1)</f>
        <v>1.1555774669435835E-37</v>
      </c>
      <c r="J56">
        <f ca="1">BINOMDIST(Worksheet!$A$27,Worksheet!$B$15,$P56,1)</f>
        <v>3.30922286052738E-36</v>
      </c>
      <c r="K56">
        <f ca="1">BINOMDIST(Worksheet!$A$28,Worksheet!$B$15,$P56,1)</f>
        <v>7.8439404152282199E-35</v>
      </c>
      <c r="L56">
        <f ca="1">BINOMDIST(Worksheet!$A$29,Worksheet!$B$15,$P56,1)</f>
        <v>1.5828495548557764E-33</v>
      </c>
      <c r="M56">
        <f ca="1">BINOMDIST(Worksheet!$A$30,Worksheet!$B$15,$P56,1)</f>
        <v>2.7757351904595465E-32</v>
      </c>
      <c r="N56">
        <f ca="1">BINOMDIST(Worksheet!$A$31,Worksheet!$B$15,$P56,1)</f>
        <v>4.2970441274069594E-31</v>
      </c>
      <c r="O56">
        <f ca="1">BINOMDIST(Worksheet!$A$32,Worksheet!$B$15,$P56,1)</f>
        <v>5.9455323960954891E-30</v>
      </c>
      <c r="P56">
        <v>0.495</v>
      </c>
    </row>
    <row r="57" spans="5:16" x14ac:dyDescent="0.2">
      <c r="E57">
        <f ca="1">BINOMDIST(Worksheet!$A$22,Worksheet!$B$15,$P57,1)</f>
        <v>8.2875661735816076E-45</v>
      </c>
      <c r="F57">
        <f ca="1">BINOMDIST(Worksheet!$A$23,Worksheet!$B$15,$P57,1)</f>
        <v>1.2138500084120231E-42</v>
      </c>
      <c r="G57">
        <f ca="1">BINOMDIST(Worksheet!$A$24,Worksheet!$B$15,$P57,1)</f>
        <v>8.8309780123961985E-41</v>
      </c>
      <c r="H57">
        <f ca="1">BINOMDIST(Worksheet!$A$25,Worksheet!$B$15,$P57,1)</f>
        <v>4.2548000654539921E-39</v>
      </c>
      <c r="I57">
        <f ca="1">BINOMDIST(Worksheet!$A$26,Worksheet!$B$15,$P57,1)</f>
        <v>1.5272512879032856E-37</v>
      </c>
      <c r="J57">
        <f ca="1">BINOMDIST(Worksheet!$A$27,Worksheet!$B$15,$P57,1)</f>
        <v>4.356254633360575E-36</v>
      </c>
      <c r="K57">
        <f ca="1">BINOMDIST(Worksheet!$A$28,Worksheet!$B$15,$P57,1)</f>
        <v>1.0284844002107725E-34</v>
      </c>
      <c r="L57">
        <f ca="1">BINOMDIST(Worksheet!$A$29,Worksheet!$B$15,$P57,1)</f>
        <v>2.0671863734369591E-33</v>
      </c>
      <c r="M57">
        <f ca="1">BINOMDIST(Worksheet!$A$30,Worksheet!$B$15,$P57,1)</f>
        <v>3.6107299355961376E-32</v>
      </c>
      <c r="N57">
        <f ca="1">BINOMDIST(Worksheet!$A$31,Worksheet!$B$15,$P57,1)</f>
        <v>5.5675508804387157E-31</v>
      </c>
      <c r="O57">
        <f ca="1">BINOMDIST(Worksheet!$A$32,Worksheet!$B$15,$P57,1)</f>
        <v>7.6729608322446049E-30</v>
      </c>
      <c r="P57">
        <v>0.49399999999999999</v>
      </c>
    </row>
    <row r="58" spans="5:16" x14ac:dyDescent="0.2">
      <c r="E58">
        <f ca="1">BINOMDIST(Worksheet!$A$22,Worksheet!$B$15,$P58,1)</f>
        <v>1.1122078106905463E-44</v>
      </c>
      <c r="F58">
        <f ca="1">BINOMDIST(Worksheet!$A$23,Worksheet!$B$15,$P58,1)</f>
        <v>1.6225510554224068E-42</v>
      </c>
      <c r="G58">
        <f ca="1">BINOMDIST(Worksheet!$A$24,Worksheet!$B$15,$P58,1)</f>
        <v>1.1757551348229479E-40</v>
      </c>
      <c r="H58">
        <f ca="1">BINOMDIST(Worksheet!$A$25,Worksheet!$B$15,$P58,1)</f>
        <v>5.6423796818175323E-39</v>
      </c>
      <c r="I58">
        <f ca="1">BINOMDIST(Worksheet!$A$26,Worksheet!$B$15,$P58,1)</f>
        <v>2.0172933945914942E-37</v>
      </c>
      <c r="J58">
        <f ca="1">BINOMDIST(Worksheet!$A$27,Worksheet!$B$15,$P58,1)</f>
        <v>5.7312269014641292E-36</v>
      </c>
      <c r="K58">
        <f ca="1">BINOMDIST(Worksheet!$A$28,Worksheet!$B$15,$P58,1)</f>
        <v>1.3477464929523747E-34</v>
      </c>
      <c r="L58">
        <f ca="1">BINOMDIST(Worksheet!$A$29,Worksheet!$B$15,$P58,1)</f>
        <v>2.6981536956008617E-33</v>
      </c>
      <c r="M58">
        <f ca="1">BINOMDIST(Worksheet!$A$30,Worksheet!$B$15,$P58,1)</f>
        <v>4.6941722116624541E-32</v>
      </c>
      <c r="N58">
        <f ca="1">BINOMDIST(Worksheet!$A$31,Worksheet!$B$15,$P58,1)</f>
        <v>7.2095074505122458E-31</v>
      </c>
      <c r="O58">
        <f ca="1">BINOMDIST(Worksheet!$A$32,Worksheet!$B$15,$P58,1)</f>
        <v>9.8965134201885573E-30</v>
      </c>
      <c r="P58">
        <v>0.49299999999999999</v>
      </c>
    </row>
    <row r="59" spans="5:16" x14ac:dyDescent="0.2">
      <c r="E59">
        <f ca="1">BINOMDIST(Worksheet!$A$22,Worksheet!$B$15,$P59,1)</f>
        <v>1.4917399831909591E-44</v>
      </c>
      <c r="F59">
        <f ca="1">BINOMDIST(Worksheet!$A$23,Worksheet!$B$15,$P59,1)</f>
        <v>2.1676039094335299E-42</v>
      </c>
      <c r="G59">
        <f ca="1">BINOMDIST(Worksheet!$A$24,Worksheet!$B$15,$P59,1)</f>
        <v>1.564491205267084E-40</v>
      </c>
      <c r="H59">
        <f ca="1">BINOMDIST(Worksheet!$A$25,Worksheet!$B$15,$P59,1)</f>
        <v>7.4781396768441415E-39</v>
      </c>
      <c r="I59">
        <f ca="1">BINOMDIST(Worksheet!$A$26,Worksheet!$B$15,$P59,1)</f>
        <v>2.6630278339800577E-37</v>
      </c>
      <c r="J59">
        <f ca="1">BINOMDIST(Worksheet!$A$27,Worksheet!$B$15,$P59,1)</f>
        <v>7.5358106901175438E-36</v>
      </c>
      <c r="K59">
        <f ca="1">BINOMDIST(Worksheet!$A$28,Worksheet!$B$15,$P59,1)</f>
        <v>1.7650893935654294E-34</v>
      </c>
      <c r="L59">
        <f ca="1">BINOMDIST(Worksheet!$A$29,Worksheet!$B$15,$P59,1)</f>
        <v>3.51966794960823E-33</v>
      </c>
      <c r="M59">
        <f ca="1">BINOMDIST(Worksheet!$A$30,Worksheet!$B$15,$P59,1)</f>
        <v>6.0991730226237984E-32</v>
      </c>
      <c r="N59">
        <f ca="1">BINOMDIST(Worksheet!$A$31,Worksheet!$B$15,$P59,1)</f>
        <v>9.3302845469131898E-31</v>
      </c>
      <c r="O59">
        <f ca="1">BINOMDIST(Worksheet!$A$32,Worksheet!$B$15,$P59,1)</f>
        <v>1.2757022466729817E-29</v>
      </c>
      <c r="P59">
        <v>0.49199999999999999</v>
      </c>
    </row>
    <row r="60" spans="5:16" x14ac:dyDescent="0.2">
      <c r="E60">
        <f ca="1">BINOMDIST(Worksheet!$A$22,Worksheet!$B$15,$P60,1)</f>
        <v>1.9996296520287117E-44</v>
      </c>
      <c r="F60">
        <f ca="1">BINOMDIST(Worksheet!$A$23,Worksheet!$B$15,$P60,1)</f>
        <v>2.8940808881267097E-42</v>
      </c>
      <c r="G60">
        <f ca="1">BINOMDIST(Worksheet!$A$24,Worksheet!$B$15,$P60,1)</f>
        <v>2.0805516055694388E-40</v>
      </c>
      <c r="H60">
        <f ca="1">BINOMDIST(Worksheet!$A$25,Worksheet!$B$15,$P60,1)</f>
        <v>9.905443010757499E-39</v>
      </c>
      <c r="I60">
        <f ca="1">BINOMDIST(Worksheet!$A$26,Worksheet!$B$15,$P60,1)</f>
        <v>3.5134303899773118E-37</v>
      </c>
      <c r="J60">
        <f ca="1">BINOMDIST(Worksheet!$A$27,Worksheet!$B$15,$P60,1)</f>
        <v>9.9028753165193934E-36</v>
      </c>
      <c r="K60">
        <f ca="1">BINOMDIST(Worksheet!$A$28,Worksheet!$B$15,$P60,1)</f>
        <v>2.3103304497922168E-34</v>
      </c>
      <c r="L60">
        <f ca="1">BINOMDIST(Worksheet!$A$29,Worksheet!$B$15,$P60,1)</f>
        <v>4.5886565651945891E-33</v>
      </c>
      <c r="M60">
        <f ca="1">BINOMDIST(Worksheet!$A$30,Worksheet!$B$15,$P60,1)</f>
        <v>7.9201187772575803E-32</v>
      </c>
      <c r="N60">
        <f ca="1">BINOMDIST(Worksheet!$A$31,Worksheet!$B$15,$P60,1)</f>
        <v>1.2067934488549022E-30</v>
      </c>
      <c r="O60">
        <f ca="1">BINOMDIST(Worksheet!$A$32,Worksheet!$B$15,$P60,1)</f>
        <v>1.6434827245868524E-29</v>
      </c>
      <c r="P60">
        <v>0.49099999999999999</v>
      </c>
    </row>
    <row r="61" spans="5:16" x14ac:dyDescent="0.2">
      <c r="E61">
        <f ca="1">BINOMDIST(Worksheet!$A$22,Worksheet!$B$15,$P61,1)</f>
        <v>2.6788983737262862E-44</v>
      </c>
      <c r="F61">
        <f ca="1">BINOMDIST(Worksheet!$A$23,Worksheet!$B$15,$P61,1)</f>
        <v>3.8618158516932786E-42</v>
      </c>
      <c r="G61">
        <f ca="1">BINOMDIST(Worksheet!$A$24,Worksheet!$B$15,$P61,1)</f>
        <v>2.7652470650283913E-40</v>
      </c>
      <c r="H61">
        <f ca="1">BINOMDIST(Worksheet!$A$25,Worksheet!$B$15,$P61,1)</f>
        <v>1.3113065891863768E-38</v>
      </c>
      <c r="I61">
        <f ca="1">BINOMDIST(Worksheet!$A$26,Worksheet!$B$15,$P61,1)</f>
        <v>4.6327294648044991E-37</v>
      </c>
      <c r="J61">
        <f ca="1">BINOMDIST(Worksheet!$A$27,Worksheet!$B$15,$P61,1)</f>
        <v>1.300596295268393E-35</v>
      </c>
      <c r="K61">
        <f ca="1">BINOMDIST(Worksheet!$A$28,Worksheet!$B$15,$P61,1)</f>
        <v>3.022256383898492E-34</v>
      </c>
      <c r="L61">
        <f ca="1">BINOMDIST(Worksheet!$A$29,Worksheet!$B$15,$P61,1)</f>
        <v>5.9788706405977096E-33</v>
      </c>
      <c r="M61">
        <f ca="1">BINOMDIST(Worksheet!$A$30,Worksheet!$B$15,$P61,1)</f>
        <v>1.0278792928119246E-31</v>
      </c>
      <c r="N61">
        <f ca="1">BINOMDIST(Worksheet!$A$31,Worksheet!$B$15,$P61,1)</f>
        <v>1.559985720453011E-30</v>
      </c>
      <c r="O61">
        <f ca="1">BINOMDIST(Worksheet!$A$32,Worksheet!$B$15,$P61,1)</f>
        <v>2.1160724636999323E-29</v>
      </c>
      <c r="P61">
        <v>0.49</v>
      </c>
    </row>
    <row r="62" spans="5:16" x14ac:dyDescent="0.2">
      <c r="E62">
        <f ca="1">BINOMDIST(Worksheet!$A$22,Worksheet!$B$15,$P62,1)</f>
        <v>3.5868574741090464E-44</v>
      </c>
      <c r="F62">
        <f ca="1">BINOMDIST(Worksheet!$A$23,Worksheet!$B$15,$P62,1)</f>
        <v>5.1501938667383678E-42</v>
      </c>
      <c r="G62">
        <f ca="1">BINOMDIST(Worksheet!$A$24,Worksheet!$B$15,$P62,1)</f>
        <v>3.6731648548359315E-40</v>
      </c>
      <c r="H62">
        <f ca="1">BINOMDIST(Worksheet!$A$25,Worksheet!$B$15,$P62,1)</f>
        <v>1.7349442734860161E-38</v>
      </c>
      <c r="I62">
        <f ca="1">BINOMDIST(Worksheet!$A$26,Worksheet!$B$15,$P62,1)</f>
        <v>6.1051085244523366E-37</v>
      </c>
      <c r="J62">
        <f ca="1">BINOMDIST(Worksheet!$A$27,Worksheet!$B$15,$P62,1)</f>
        <v>1.7071610561061228E-35</v>
      </c>
      <c r="K62">
        <f ca="1">BINOMDIST(Worksheet!$A$28,Worksheet!$B$15,$P62,1)</f>
        <v>3.9512927431901934E-34</v>
      </c>
      <c r="L62">
        <f ca="1">BINOMDIST(Worksheet!$A$29,Worksheet!$B$15,$P62,1)</f>
        <v>7.7858025350411409E-33</v>
      </c>
      <c r="M62">
        <f ca="1">BINOMDIST(Worksheet!$A$30,Worksheet!$B$15,$P62,1)</f>
        <v>1.3332239007858825E-31</v>
      </c>
      <c r="N62">
        <f ca="1">BINOMDIST(Worksheet!$A$31,Worksheet!$B$15,$P62,1)</f>
        <v>2.0153885293566904E-30</v>
      </c>
      <c r="O62">
        <f ca="1">BINOMDIST(Worksheet!$A$32,Worksheet!$B$15,$P62,1)</f>
        <v>2.7229918450096087E-29</v>
      </c>
      <c r="P62">
        <v>0.48899999999999999</v>
      </c>
    </row>
    <row r="63" spans="5:16" x14ac:dyDescent="0.2">
      <c r="E63">
        <f ca="1">BINOMDIST(Worksheet!$A$22,Worksheet!$B$15,$P63,1)</f>
        <v>4.7998115382874355E-44</v>
      </c>
      <c r="F63">
        <f ca="1">BINOMDIST(Worksheet!$A$23,Worksheet!$B$15,$P63,1)</f>
        <v>6.8644804703038495E-42</v>
      </c>
      <c r="G63">
        <f ca="1">BINOMDIST(Worksheet!$A$24,Worksheet!$B$15,$P63,1)</f>
        <v>4.8763950156582259E-40</v>
      </c>
      <c r="H63">
        <f ca="1">BINOMDIST(Worksheet!$A$25,Worksheet!$B$15,$P63,1)</f>
        <v>2.2941335408667732E-38</v>
      </c>
      <c r="I63">
        <f ca="1">BINOMDIST(Worksheet!$A$26,Worksheet!$B$15,$P63,1)</f>
        <v>8.0408436567682793E-37</v>
      </c>
      <c r="J63">
        <f ca="1">BINOMDIST(Worksheet!$A$27,Worksheet!$B$15,$P63,1)</f>
        <v>2.2395365936682628E-35</v>
      </c>
      <c r="K63">
        <f ca="1">BINOMDIST(Worksheet!$A$28,Worksheet!$B$15,$P63,1)</f>
        <v>5.1629593187343864E-34</v>
      </c>
      <c r="L63">
        <f ca="1">BINOMDIST(Worksheet!$A$29,Worksheet!$B$15,$P63,1)</f>
        <v>1.0133025031575035E-32</v>
      </c>
      <c r="M63">
        <f ca="1">BINOMDIST(Worksheet!$A$30,Worksheet!$B$15,$P63,1)</f>
        <v>1.7282854741754424E-31</v>
      </c>
      <c r="N63">
        <f ca="1">BINOMDIST(Worksheet!$A$31,Worksheet!$B$15,$P63,1)</f>
        <v>2.6022455405455215E-30</v>
      </c>
      <c r="O63">
        <f ca="1">BINOMDIST(Worksheet!$A$32,Worksheet!$B$15,$P63,1)</f>
        <v>3.5019778542596864E-29</v>
      </c>
      <c r="P63">
        <v>0.48799999999999999</v>
      </c>
    </row>
    <row r="64" spans="5:16" x14ac:dyDescent="0.2">
      <c r="E64">
        <f ca="1">BINOMDIST(Worksheet!$A$22,Worksheet!$B$15,$P64,1)</f>
        <v>6.4192959966366081E-44</v>
      </c>
      <c r="F64">
        <f ca="1">BINOMDIST(Worksheet!$A$23,Worksheet!$B$15,$P64,1)</f>
        <v>9.1441807846045779E-42</v>
      </c>
      <c r="G64">
        <f ca="1">BINOMDIST(Worksheet!$A$24,Worksheet!$B$15,$P64,1)</f>
        <v>6.4700890052011331E-40</v>
      </c>
      <c r="H64">
        <f ca="1">BINOMDIST(Worksheet!$A$25,Worksheet!$B$15,$P64,1)</f>
        <v>3.0318287276832827E-38</v>
      </c>
      <c r="I64">
        <f ca="1">BINOMDIST(Worksheet!$A$26,Worksheet!$B$15,$P64,1)</f>
        <v>1.0584309749535294E-36</v>
      </c>
      <c r="J64">
        <f ca="1">BINOMDIST(Worksheet!$A$27,Worksheet!$B$15,$P64,1)</f>
        <v>2.9362593719705893E-35</v>
      </c>
      <c r="K64">
        <f ca="1">BINOMDIST(Worksheet!$A$28,Worksheet!$B$15,$P64,1)</f>
        <v>6.7423404432529066E-34</v>
      </c>
      <c r="L64">
        <f ca="1">BINOMDIST(Worksheet!$A$29,Worksheet!$B$15,$P64,1)</f>
        <v>1.3180358436311771E-32</v>
      </c>
      <c r="M64">
        <f ca="1">BINOMDIST(Worksheet!$A$30,Worksheet!$B$15,$P64,1)</f>
        <v>2.2391343012330773E-31</v>
      </c>
      <c r="N64">
        <f ca="1">BINOMDIST(Worksheet!$A$31,Worksheet!$B$15,$P64,1)</f>
        <v>3.3580715053953762E-30</v>
      </c>
      <c r="O64">
        <f ca="1">BINOMDIST(Worksheet!$A$32,Worksheet!$B$15,$P64,1)</f>
        <v>4.5012437503845465E-29</v>
      </c>
      <c r="P64">
        <v>0.48699999999999999</v>
      </c>
    </row>
    <row r="65" spans="5:16" x14ac:dyDescent="0.2">
      <c r="E65">
        <f ca="1">BINOMDIST(Worksheet!$A$22,Worksheet!$B$15,$P65,1)</f>
        <v>8.5803446030519005E-44</v>
      </c>
      <c r="F65">
        <f ca="1">BINOMDIST(Worksheet!$A$23,Worksheet!$B$15,$P65,1)</f>
        <v>1.2174073369870952E-41</v>
      </c>
      <c r="G65">
        <f ca="1">BINOMDIST(Worksheet!$A$24,Worksheet!$B$15,$P65,1)</f>
        <v>8.5797667948075924E-40</v>
      </c>
      <c r="H65">
        <f ca="1">BINOMDIST(Worksheet!$A$25,Worksheet!$B$15,$P65,1)</f>
        <v>4.0044636722135757E-38</v>
      </c>
      <c r="I65">
        <f ca="1">BINOMDIST(Worksheet!$A$26,Worksheet!$B$15,$P65,1)</f>
        <v>1.392441840023023E-36</v>
      </c>
      <c r="J65">
        <f ca="1">BINOMDIST(Worksheet!$A$27,Worksheet!$B$15,$P65,1)</f>
        <v>3.847548888928893E-35</v>
      </c>
      <c r="K65">
        <f ca="1">BINOMDIST(Worksheet!$A$28,Worksheet!$B$15,$P65,1)</f>
        <v>8.7998650208509287E-34</v>
      </c>
      <c r="L65">
        <f ca="1">BINOMDIST(Worksheet!$A$29,Worksheet!$B$15,$P65,1)</f>
        <v>1.713438683423681E-32</v>
      </c>
      <c r="M65">
        <f ca="1">BINOMDIST(Worksheet!$A$30,Worksheet!$B$15,$P65,1)</f>
        <v>2.8993318929592276E-31</v>
      </c>
      <c r="N65">
        <f ca="1">BINOMDIST(Worksheet!$A$31,Worksheet!$B$15,$P65,1)</f>
        <v>4.3309644771233008E-30</v>
      </c>
      <c r="O65">
        <f ca="1">BINOMDIST(Worksheet!$A$32,Worksheet!$B$15,$P65,1)</f>
        <v>5.7823526505094987E-29</v>
      </c>
      <c r="P65">
        <v>0.48599999999999999</v>
      </c>
    </row>
    <row r="66" spans="5:16" x14ac:dyDescent="0.2">
      <c r="E66">
        <f ca="1">BINOMDIST(Worksheet!$A$22,Worksheet!$B$15,$P66,1)</f>
        <v>1.1462441366180651E-43</v>
      </c>
      <c r="F66">
        <f ca="1">BINOMDIST(Worksheet!$A$23,Worksheet!$B$15,$P66,1)</f>
        <v>1.6198766653021908E-41</v>
      </c>
      <c r="G66">
        <f ca="1">BINOMDIST(Worksheet!$A$24,Worksheet!$B$15,$P66,1)</f>
        <v>1.1370917083435818E-39</v>
      </c>
      <c r="H66">
        <f ca="1">BINOMDIST(Worksheet!$A$25,Worksheet!$B$15,$P66,1)</f>
        <v>5.2861403862277505E-38</v>
      </c>
      <c r="I66">
        <f ca="1">BINOMDIST(Worksheet!$A$26,Worksheet!$B$15,$P66,1)</f>
        <v>1.8308218619302559E-36</v>
      </c>
      <c r="J66">
        <f ca="1">BINOMDIST(Worksheet!$A$27,Worksheet!$B$15,$P66,1)</f>
        <v>5.0388130294408551E-35</v>
      </c>
      <c r="K66">
        <f ca="1">BINOMDIST(Worksheet!$A$28,Worksheet!$B$15,$P66,1)</f>
        <v>1.147877586904201E-33</v>
      </c>
      <c r="L66">
        <f ca="1">BINOMDIST(Worksheet!$A$29,Worksheet!$B$15,$P66,1)</f>
        <v>2.2261991668228144E-32</v>
      </c>
      <c r="M66">
        <f ca="1">BINOMDIST(Worksheet!$A$30,Worksheet!$B$15,$P66,1)</f>
        <v>3.7520593263443431E-31</v>
      </c>
      <c r="N66">
        <f ca="1">BINOMDIST(Worksheet!$A$31,Worksheet!$B$15,$P66,1)</f>
        <v>5.5825568286374982E-30</v>
      </c>
      <c r="O66">
        <f ca="1">BINOMDIST(Worksheet!$A$32,Worksheet!$B$15,$P66,1)</f>
        <v>7.4238697768172434E-29</v>
      </c>
      <c r="P66">
        <v>0.48499999999999999</v>
      </c>
    </row>
    <row r="67" spans="5:16" x14ac:dyDescent="0.2">
      <c r="E67">
        <f ca="1">BINOMDIST(Worksheet!$A$22,Worksheet!$B$15,$P67,1)</f>
        <v>1.530402063002766E-43</v>
      </c>
      <c r="F67">
        <f ca="1">BINOMDIST(Worksheet!$A$23,Worksheet!$B$15,$P67,1)</f>
        <v>2.1541891984499342E-41</v>
      </c>
      <c r="G67">
        <f ca="1">BINOMDIST(Worksheet!$A$24,Worksheet!$B$15,$P67,1)</f>
        <v>1.5061603324650854E-39</v>
      </c>
      <c r="H67">
        <f ca="1">BINOMDIST(Worksheet!$A$25,Worksheet!$B$15,$P67,1)</f>
        <v>6.9741065244165242E-38</v>
      </c>
      <c r="I67">
        <f ca="1">BINOMDIST(Worksheet!$A$26,Worksheet!$B$15,$P67,1)</f>
        <v>2.4058608911552173E-36</v>
      </c>
      <c r="J67">
        <f ca="1">BINOMDIST(Worksheet!$A$27,Worksheet!$B$15,$P67,1)</f>
        <v>6.5951942047138251E-35</v>
      </c>
      <c r="K67">
        <f ca="1">BINOMDIST(Worksheet!$A$28,Worksheet!$B$15,$P67,1)</f>
        <v>1.4964776759771836E-33</v>
      </c>
      <c r="L67">
        <f ca="1">BINOMDIST(Worksheet!$A$29,Worksheet!$B$15,$P67,1)</f>
        <v>2.8907758710519122E-32</v>
      </c>
      <c r="M67">
        <f ca="1">BINOMDIST(Worksheet!$A$30,Worksheet!$B$15,$P67,1)</f>
        <v>4.8528433888057986E-31</v>
      </c>
      <c r="N67">
        <f ca="1">BINOMDIST(Worksheet!$A$31,Worksheet!$B$15,$P67,1)</f>
        <v>7.1917794588473745E-30</v>
      </c>
      <c r="O67">
        <f ca="1">BINOMDIST(Worksheet!$A$32,Worksheet!$B$15,$P67,1)</f>
        <v>9.5260017700891095E-29</v>
      </c>
      <c r="P67">
        <v>0.48399999999999999</v>
      </c>
    </row>
    <row r="68" spans="5:16" x14ac:dyDescent="0.2">
      <c r="E68">
        <f ca="1">BINOMDIST(Worksheet!$A$22,Worksheet!$B$15,$P68,1)</f>
        <v>2.0421654340606312E-43</v>
      </c>
      <c r="F68">
        <f ca="1">BINOMDIST(Worksheet!$A$23,Worksheet!$B$15,$P68,1)</f>
        <v>2.8631396387321263E-41</v>
      </c>
      <c r="G68">
        <f ca="1">BINOMDIST(Worksheet!$A$24,Worksheet!$B$15,$P68,1)</f>
        <v>1.9939007619215917E-39</v>
      </c>
      <c r="H68">
        <f ca="1">BINOMDIST(Worksheet!$A$25,Worksheet!$B$15,$P68,1)</f>
        <v>9.1959142684744828E-38</v>
      </c>
      <c r="I68">
        <f ca="1">BINOMDIST(Worksheet!$A$26,Worksheet!$B$15,$P68,1)</f>
        <v>3.1597390894515031E-36</v>
      </c>
      <c r="J68">
        <f ca="1">BINOMDIST(Worksheet!$A$27,Worksheet!$B$15,$P68,1)</f>
        <v>8.627462054856562E-35</v>
      </c>
      <c r="K68">
        <f ca="1">BINOMDIST(Worksheet!$A$28,Worksheet!$B$15,$P68,1)</f>
        <v>1.9498485197246799E-33</v>
      </c>
      <c r="L68">
        <f ca="1">BINOMDIST(Worksheet!$A$29,Worksheet!$B$15,$P68,1)</f>
        <v>3.7516354638043354E-32</v>
      </c>
      <c r="M68">
        <f ca="1">BINOMDIST(Worksheet!$A$30,Worksheet!$B$15,$P68,1)</f>
        <v>6.2730464976159396E-31</v>
      </c>
      <c r="N68">
        <f ca="1">BINOMDIST(Worksheet!$A$31,Worksheet!$B$15,$P68,1)</f>
        <v>9.2596606056608365E-30</v>
      </c>
      <c r="O68">
        <f ca="1">BINOMDIST(Worksheet!$A$32,Worksheet!$B$15,$P68,1)</f>
        <v>1.2216486558397769E-28</v>
      </c>
      <c r="P68">
        <v>0.48299999999999998</v>
      </c>
    </row>
    <row r="69" spans="5:16" x14ac:dyDescent="0.2">
      <c r="E69">
        <f ca="1">BINOMDIST(Worksheet!$A$22,Worksheet!$B$15,$P69,1)</f>
        <v>2.7235427844156167E-43</v>
      </c>
      <c r="F69">
        <f ca="1">BINOMDIST(Worksheet!$A$23,Worksheet!$B$15,$P69,1)</f>
        <v>3.8032855377121379E-41</v>
      </c>
      <c r="G69">
        <f ca="1">BINOMDIST(Worksheet!$A$24,Worksheet!$B$15,$P69,1)</f>
        <v>2.6381130738861842E-39</v>
      </c>
      <c r="H69">
        <f ca="1">BINOMDIST(Worksheet!$A$25,Worksheet!$B$15,$P69,1)</f>
        <v>1.2118771655023213E-37</v>
      </c>
      <c r="I69">
        <f ca="1">BINOMDIST(Worksheet!$A$26,Worksheet!$B$15,$P69,1)</f>
        <v>4.1475258902169458E-36</v>
      </c>
      <c r="J69">
        <f ca="1">BINOMDIST(Worksheet!$A$27,Worksheet!$B$15,$P69,1)</f>
        <v>1.127964737502815E-34</v>
      </c>
      <c r="K69">
        <f ca="1">BINOMDIST(Worksheet!$A$28,Worksheet!$B$15,$P69,1)</f>
        <v>2.5391498112893321E-33</v>
      </c>
      <c r="L69">
        <f ca="1">BINOMDIST(Worksheet!$A$29,Worksheet!$B$15,$P69,1)</f>
        <v>4.8661276160770041E-32</v>
      </c>
      <c r="M69">
        <f ca="1">BINOMDIST(Worksheet!$A$30,Worksheet!$B$15,$P69,1)</f>
        <v>8.1043319118583338E-31</v>
      </c>
      <c r="N69">
        <f ca="1">BINOMDIST(Worksheet!$A$31,Worksheet!$B$15,$P69,1)</f>
        <v>1.1915440245868943E-29</v>
      </c>
      <c r="O69">
        <f ca="1">BINOMDIST(Worksheet!$A$32,Worksheet!$B$15,$P69,1)</f>
        <v>1.5658066728255204E-28</v>
      </c>
      <c r="P69">
        <v>0.48199999999999998</v>
      </c>
    </row>
    <row r="70" spans="5:16" x14ac:dyDescent="0.2">
      <c r="E70">
        <f ca="1">BINOMDIST(Worksheet!$A$22,Worksheet!$B$15,$P70,1)</f>
        <v>3.6302482055469757E-43</v>
      </c>
      <c r="F70">
        <f ca="1">BINOMDIST(Worksheet!$A$23,Worksheet!$B$15,$P70,1)</f>
        <v>5.0493325137191795E-41</v>
      </c>
      <c r="G70">
        <f ca="1">BINOMDIST(Worksheet!$A$24,Worksheet!$B$15,$P70,1)</f>
        <v>3.4885239792226834E-39</v>
      </c>
      <c r="H70">
        <f ca="1">BINOMDIST(Worksheet!$A$25,Worksheet!$B$15,$P70,1)</f>
        <v>1.5961751142843583E-37</v>
      </c>
      <c r="I70">
        <f ca="1">BINOMDIST(Worksheet!$A$26,Worksheet!$B$15,$P70,1)</f>
        <v>5.4410791070972049E-36</v>
      </c>
      <c r="J70">
        <f ca="1">BINOMDIST(Worksheet!$A$27,Worksheet!$B$15,$P70,1)</f>
        <v>1.4738926368895312E-34</v>
      </c>
      <c r="K70">
        <f ca="1">BINOMDIST(Worksheet!$A$28,Worksheet!$B$15,$P70,1)</f>
        <v>3.3047107334634395E-33</v>
      </c>
      <c r="L70">
        <f ca="1">BINOMDIST(Worksheet!$A$29,Worksheet!$B$15,$P70,1)</f>
        <v>6.3081766240068711E-32</v>
      </c>
      <c r="M70">
        <f ca="1">BINOMDIST(Worksheet!$A$30,Worksheet!$B$15,$P70,1)</f>
        <v>1.0464373647979178E-30</v>
      </c>
      <c r="N70">
        <f ca="1">BINOMDIST(Worksheet!$A$31,Worksheet!$B$15,$P70,1)</f>
        <v>1.5324356450602114E-29</v>
      </c>
      <c r="O70">
        <f ca="1">BINOMDIST(Worksheet!$A$32,Worksheet!$B$15,$P70,1)</f>
        <v>2.0057966882787826E-28</v>
      </c>
      <c r="P70">
        <v>0.48099999999999998</v>
      </c>
    </row>
    <row r="71" spans="5:16" x14ac:dyDescent="0.2">
      <c r="E71">
        <f ca="1">BINOMDIST(Worksheet!$A$22,Worksheet!$B$15,$P71,1)</f>
        <v>4.8361326165374617E-43</v>
      </c>
      <c r="F71">
        <f ca="1">BINOMDIST(Worksheet!$A$23,Worksheet!$B$15,$P71,1)</f>
        <v>6.6999037249107283E-41</v>
      </c>
      <c r="G71">
        <f ca="1">BINOMDIST(Worksheet!$A$24,Worksheet!$B$15,$P71,1)</f>
        <v>4.6105141526997757E-39</v>
      </c>
      <c r="H71">
        <f ca="1">BINOMDIST(Worksheet!$A$25,Worksheet!$B$15,$P71,1)</f>
        <v>2.1011719783616057E-37</v>
      </c>
      <c r="I71">
        <f ca="1">BINOMDIST(Worksheet!$A$26,Worksheet!$B$15,$P71,1)</f>
        <v>7.1341116173250621E-36</v>
      </c>
      <c r="J71">
        <f ca="1">BINOMDIST(Worksheet!$A$27,Worksheet!$B$15,$P71,1)</f>
        <v>1.9248411607748934E-34</v>
      </c>
      <c r="K71">
        <f ca="1">BINOMDIST(Worksheet!$A$28,Worksheet!$B$15,$P71,1)</f>
        <v>4.2986995995026619E-33</v>
      </c>
      <c r="L71">
        <f ca="1">BINOMDIST(Worksheet!$A$29,Worksheet!$B$15,$P71,1)</f>
        <v>8.1730191572662993E-32</v>
      </c>
      <c r="M71">
        <f ca="1">BINOMDIST(Worksheet!$A$30,Worksheet!$B$15,$P71,1)</f>
        <v>1.3504154062098271E-30</v>
      </c>
      <c r="N71">
        <f ca="1">BINOMDIST(Worksheet!$A$31,Worksheet!$B$15,$P71,1)</f>
        <v>1.9697555433270328E-29</v>
      </c>
      <c r="O71">
        <f ca="1">BINOMDIST(Worksheet!$A$32,Worksheet!$B$15,$P71,1)</f>
        <v>2.5679905732143658E-28</v>
      </c>
      <c r="P71">
        <v>0.48</v>
      </c>
    </row>
    <row r="72" spans="5:16" x14ac:dyDescent="0.2">
      <c r="E72">
        <f ca="1">BINOMDIST(Worksheet!$A$22,Worksheet!$B$15,$P72,1)</f>
        <v>6.4390347906623699E-43</v>
      </c>
      <c r="F72">
        <f ca="1">BINOMDIST(Worksheet!$A$23,Worksheet!$B$15,$P72,1)</f>
        <v>8.8851264715988398E-41</v>
      </c>
      <c r="G72">
        <f ca="1">BINOMDIST(Worksheet!$A$24,Worksheet!$B$15,$P72,1)</f>
        <v>6.0899993000403012E-39</v>
      </c>
      <c r="H72">
        <f ca="1">BINOMDIST(Worksheet!$A$25,Worksheet!$B$15,$P72,1)</f>
        <v>2.7644114236548374E-37</v>
      </c>
      <c r="I72">
        <f ca="1">BINOMDIST(Worksheet!$A$26,Worksheet!$B$15,$P72,1)</f>
        <v>9.3487716793802977E-36</v>
      </c>
      <c r="J72">
        <f ca="1">BINOMDIST(Worksheet!$A$27,Worksheet!$B$15,$P72,1)</f>
        <v>2.5123695496090032E-34</v>
      </c>
      <c r="K72">
        <f ca="1">BINOMDIST(Worksheet!$A$28,Worksheet!$B$15,$P72,1)</f>
        <v>5.5885623964280331E-33</v>
      </c>
      <c r="L72">
        <f ca="1">BINOMDIST(Worksheet!$A$29,Worksheet!$B$15,$P72,1)</f>
        <v>1.0583281267451189E-31</v>
      </c>
      <c r="M72">
        <f ca="1">BINOMDIST(Worksheet!$A$30,Worksheet!$B$15,$P72,1)</f>
        <v>1.7417285457394742E-30</v>
      </c>
      <c r="N72">
        <f ca="1">BINOMDIST(Worksheet!$A$31,Worksheet!$B$15,$P72,1)</f>
        <v>2.530469760427512E-29</v>
      </c>
      <c r="O72">
        <f ca="1">BINOMDIST(Worksheet!$A$32,Worksheet!$B$15,$P72,1)</f>
        <v>3.2859312468016567E-28</v>
      </c>
      <c r="P72">
        <v>0.47899999999999998</v>
      </c>
    </row>
    <row r="73" spans="5:16" x14ac:dyDescent="0.2">
      <c r="E73">
        <f ca="1">BINOMDIST(Worksheet!$A$22,Worksheet!$B$15,$P73,1)</f>
        <v>8.5685028858708938E-43</v>
      </c>
      <c r="F73">
        <f ca="1">BINOMDIST(Worksheet!$A$23,Worksheet!$B$15,$P73,1)</f>
        <v>1.1776602893561758E-40</v>
      </c>
      <c r="G73">
        <f ca="1">BINOMDIST(Worksheet!$A$24,Worksheet!$B$15,$P73,1)</f>
        <v>8.0398186479064419E-39</v>
      </c>
      <c r="H73">
        <f ca="1">BINOMDIST(Worksheet!$A$25,Worksheet!$B$15,$P73,1)</f>
        <v>3.635001949726863E-37</v>
      </c>
      <c r="I73">
        <f ca="1">BINOMDIST(Worksheet!$A$26,Worksheet!$B$15,$P73,1)</f>
        <v>1.2244184458839272E-35</v>
      </c>
      <c r="J73">
        <f ca="1">BINOMDIST(Worksheet!$A$27,Worksheet!$B$15,$P73,1)</f>
        <v>3.2774235546596383E-34</v>
      </c>
      <c r="K73">
        <f ca="1">BINOMDIST(Worksheet!$A$28,Worksheet!$B$15,$P73,1)</f>
        <v>7.2614492861053082E-33</v>
      </c>
      <c r="L73">
        <f ca="1">BINOMDIST(Worksheet!$A$29,Worksheet!$B$15,$P73,1)</f>
        <v>1.3696768999133887E-31</v>
      </c>
      <c r="M73">
        <f ca="1">BINOMDIST(Worksheet!$A$30,Worksheet!$B$15,$P73,1)</f>
        <v>2.2451910602280355E-30</v>
      </c>
      <c r="N73">
        <f ca="1">BINOMDIST(Worksheet!$A$31,Worksheet!$B$15,$P73,1)</f>
        <v>3.2489984314211242E-29</v>
      </c>
      <c r="O73">
        <f ca="1">BINOMDIST(Worksheet!$A$32,Worksheet!$B$15,$P73,1)</f>
        <v>4.202259162215921E-28</v>
      </c>
      <c r="P73">
        <v>0.47799999999999998</v>
      </c>
    </row>
    <row r="74" spans="5:16" x14ac:dyDescent="0.2">
      <c r="E74">
        <f ca="1">BINOMDIST(Worksheet!$A$22,Worksheet!$B$15,$P74,1)</f>
        <v>1.1395979025036139E-42</v>
      </c>
      <c r="F74">
        <f ca="1">BINOMDIST(Worksheet!$A$23,Worksheet!$B$15,$P74,1)</f>
        <v>1.5600506965133607E-40</v>
      </c>
      <c r="G74">
        <f ca="1">BINOMDIST(Worksheet!$A$24,Worksheet!$B$15,$P74,1)</f>
        <v>1.0608091918198736E-38</v>
      </c>
      <c r="H74">
        <f ca="1">BINOMDIST(Worksheet!$A$25,Worksheet!$B$15,$P74,1)</f>
        <v>4.7771445121284213E-37</v>
      </c>
      <c r="I74">
        <f ca="1">BINOMDIST(Worksheet!$A$26,Worksheet!$B$15,$P74,1)</f>
        <v>1.6027533320236531E-35</v>
      </c>
      <c r="J74">
        <f ca="1">BINOMDIST(Worksheet!$A$27,Worksheet!$B$15,$P74,1)</f>
        <v>4.2730983621737772E-34</v>
      </c>
      <c r="K74">
        <f ca="1">BINOMDIST(Worksheet!$A$28,Worksheet!$B$15,$P74,1)</f>
        <v>9.4299098430366379E-33</v>
      </c>
      <c r="L74">
        <f ca="1">BINOMDIST(Worksheet!$A$29,Worksheet!$B$15,$P74,1)</f>
        <v>1.7716450396080471E-31</v>
      </c>
      <c r="M74">
        <f ca="1">BINOMDIST(Worksheet!$A$30,Worksheet!$B$15,$P74,1)</f>
        <v>2.892588738657963E-30</v>
      </c>
      <c r="N74">
        <f ca="1">BINOMDIST(Worksheet!$A$31,Worksheet!$B$15,$P74,1)</f>
        <v>4.1692522401931104E-29</v>
      </c>
      <c r="O74">
        <f ca="1">BINOMDIST(Worksheet!$A$32,Worksheet!$B$15,$P74,1)</f>
        <v>5.3711500233183169E-28</v>
      </c>
      <c r="P74">
        <v>0.47699999999999998</v>
      </c>
    </row>
    <row r="75" spans="5:16" x14ac:dyDescent="0.2">
      <c r="E75">
        <f ca="1">BINOMDIST(Worksheet!$A$22,Worksheet!$B$15,$P75,1)</f>
        <v>1.5148225467558925E-42</v>
      </c>
      <c r="F75">
        <f ca="1">BINOMDIST(Worksheet!$A$23,Worksheet!$B$15,$P75,1)</f>
        <v>2.0654778877980169E-40</v>
      </c>
      <c r="G75">
        <f ca="1">BINOMDIST(Worksheet!$A$24,Worksheet!$B$15,$P75,1)</f>
        <v>1.3989145503651548E-38</v>
      </c>
      <c r="H75">
        <f ca="1">BINOMDIST(Worksheet!$A$25,Worksheet!$B$15,$P75,1)</f>
        <v>6.2747255981981192E-37</v>
      </c>
      <c r="I75">
        <f ca="1">BINOMDIST(Worksheet!$A$26,Worksheet!$B$15,$P75,1)</f>
        <v>2.0968428361974301E-35</v>
      </c>
      <c r="J75">
        <f ca="1">BINOMDIST(Worksheet!$A$27,Worksheet!$B$15,$P75,1)</f>
        <v>5.5682063044773752E-34</v>
      </c>
      <c r="K75">
        <f ca="1">BINOMDIST(Worksheet!$A$28,Worksheet!$B$15,$P75,1)</f>
        <v>1.2239216730882367E-32</v>
      </c>
      <c r="L75">
        <f ca="1">BINOMDIST(Worksheet!$A$29,Worksheet!$B$15,$P75,1)</f>
        <v>2.2903238406032176E-31</v>
      </c>
      <c r="M75">
        <f ca="1">BINOMDIST(Worksheet!$A$30,Worksheet!$B$15,$P75,1)</f>
        <v>3.7246153435382413E-30</v>
      </c>
      <c r="N75">
        <f ca="1">BINOMDIST(Worksheet!$A$31,Worksheet!$B$15,$P75,1)</f>
        <v>5.3472186570918011E-29</v>
      </c>
      <c r="O75">
        <f ca="1">BINOMDIST(Worksheet!$A$32,Worksheet!$B$15,$P75,1)</f>
        <v>6.8613977179850922E-28</v>
      </c>
      <c r="P75">
        <v>0.47599999999999998</v>
      </c>
    </row>
    <row r="76" spans="5:16" x14ac:dyDescent="0.2">
      <c r="E76">
        <f ca="1">BINOMDIST(Worksheet!$A$22,Worksheet!$B$15,$P76,1)</f>
        <v>2.0125014756719425E-42</v>
      </c>
      <c r="F76">
        <f ca="1">BINOMDIST(Worksheet!$A$23,Worksheet!$B$15,$P76,1)</f>
        <v>2.7331686707696738E-40</v>
      </c>
      <c r="G76">
        <f ca="1">BINOMDIST(Worksheet!$A$24,Worksheet!$B$15,$P76,1)</f>
        <v>1.8437790106858975E-38</v>
      </c>
      <c r="H76">
        <f ca="1">BINOMDIST(Worksheet!$A$25,Worksheet!$B$15,$P76,1)</f>
        <v>8.2372943707052958E-37</v>
      </c>
      <c r="I76">
        <f ca="1">BINOMDIST(Worksheet!$A$26,Worksheet!$B$15,$P76,1)</f>
        <v>2.7417527397513691E-35</v>
      </c>
      <c r="J76">
        <f ca="1">BINOMDIST(Worksheet!$A$27,Worksheet!$B$15,$P76,1)</f>
        <v>7.2518813102628542E-34</v>
      </c>
      <c r="K76">
        <f ca="1">BINOMDIST(Worksheet!$A$28,Worksheet!$B$15,$P76,1)</f>
        <v>1.5876778381251066E-32</v>
      </c>
      <c r="L76">
        <f ca="1">BINOMDIST(Worksheet!$A$29,Worksheet!$B$15,$P76,1)</f>
        <v>2.9592351790411377E-31</v>
      </c>
      <c r="M76">
        <f ca="1">BINOMDIST(Worksheet!$A$30,Worksheet!$B$15,$P76,1)</f>
        <v>4.7933407990510464E-30</v>
      </c>
      <c r="N76">
        <f ca="1">BINOMDIST(Worksheet!$A$31,Worksheet!$B$15,$P76,1)</f>
        <v>6.8542446069910656E-29</v>
      </c>
      <c r="O76">
        <f ca="1">BINOMDIST(Worksheet!$A$32,Worksheet!$B$15,$P76,1)</f>
        <v>8.760311128341347E-28</v>
      </c>
      <c r="P76">
        <v>0.47499999999999998</v>
      </c>
    </row>
    <row r="77" spans="5:16" x14ac:dyDescent="0.2">
      <c r="E77">
        <f ca="1">BINOMDIST(Worksheet!$A$22,Worksheet!$B$15,$P77,1)</f>
        <v>2.6722425742507369E-42</v>
      </c>
      <c r="F77">
        <f ca="1">BINOMDIST(Worksheet!$A$23,Worksheet!$B$15,$P77,1)</f>
        <v>3.6147415141271451E-40</v>
      </c>
      <c r="G77">
        <f ca="1">BINOMDIST(Worksheet!$A$24,Worksheet!$B$15,$P77,1)</f>
        <v>2.4287967981104613E-38</v>
      </c>
      <c r="H77">
        <f ca="1">BINOMDIST(Worksheet!$A$25,Worksheet!$B$15,$P77,1)</f>
        <v>1.080783682217651E-36</v>
      </c>
      <c r="I77">
        <f ca="1">BINOMDIST(Worksheet!$A$26,Worksheet!$B$15,$P77,1)</f>
        <v>3.5830655073864932E-35</v>
      </c>
      <c r="J77">
        <f ca="1">BINOMDIST(Worksheet!$A$27,Worksheet!$B$15,$P77,1)</f>
        <v>9.4395181885635468E-34</v>
      </c>
      <c r="K77">
        <f ca="1">BINOMDIST(Worksheet!$A$28,Worksheet!$B$15,$P77,1)</f>
        <v>2.0584230068266204E-32</v>
      </c>
      <c r="L77">
        <f ca="1">BINOMDIST(Worksheet!$A$29,Worksheet!$B$15,$P77,1)</f>
        <v>3.8214244307790713E-31</v>
      </c>
      <c r="M77">
        <f ca="1">BINOMDIST(Worksheet!$A$30,Worksheet!$B$15,$P77,1)</f>
        <v>6.1653554186608132E-30</v>
      </c>
      <c r="N77">
        <f ca="1">BINOMDIST(Worksheet!$A$31,Worksheet!$B$15,$P77,1)</f>
        <v>8.7812008568239849E-29</v>
      </c>
      <c r="O77">
        <f ca="1">BINOMDIST(Worksheet!$A$32,Worksheet!$B$15,$P77,1)</f>
        <v>1.1178637011549422E-27</v>
      </c>
      <c r="P77">
        <v>0.47399999999999998</v>
      </c>
    </row>
    <row r="78" spans="5:16" x14ac:dyDescent="0.2">
      <c r="E78">
        <f ca="1">BINOMDIST(Worksheet!$A$22,Worksheet!$B$15,$P78,1)</f>
        <v>3.5463505834795801E-42</v>
      </c>
      <c r="F78">
        <f ca="1">BINOMDIST(Worksheet!$A$23,Worksheet!$B$15,$P78,1)</f>
        <v>4.7780849493241205E-40</v>
      </c>
      <c r="G78">
        <f ca="1">BINOMDIST(Worksheet!$A$24,Worksheet!$B$15,$P78,1)</f>
        <v>3.1977094218844131E-38</v>
      </c>
      <c r="H78">
        <f ca="1">BINOMDIST(Worksheet!$A$25,Worksheet!$B$15,$P78,1)</f>
        <v>1.4172881857237735E-36</v>
      </c>
      <c r="I78">
        <f ca="1">BINOMDIST(Worksheet!$A$26,Worksheet!$B$15,$P78,1)</f>
        <v>4.6800026969949719E-35</v>
      </c>
      <c r="J78">
        <f ca="1">BINOMDIST(Worksheet!$A$27,Worksheet!$B$15,$P78,1)</f>
        <v>1.228042964167717E-33</v>
      </c>
      <c r="K78">
        <f ca="1">BINOMDIST(Worksheet!$A$28,Worksheet!$B$15,$P78,1)</f>
        <v>2.6672957239440914E-32</v>
      </c>
      <c r="L78">
        <f ca="1">BINOMDIST(Worksheet!$A$29,Worksheet!$B$15,$P78,1)</f>
        <v>4.9321363402589266E-31</v>
      </c>
      <c r="M78">
        <f ca="1">BINOMDIST(Worksheet!$A$30,Worksheet!$B$15,$P78,1)</f>
        <v>7.9257731921470041E-30</v>
      </c>
      <c r="N78">
        <f ca="1">BINOMDIST(Worksheet!$A$31,Worksheet!$B$15,$P78,1)</f>
        <v>1.1243762109637974E-28</v>
      </c>
      <c r="O78">
        <f ca="1">BINOMDIST(Worksheet!$A$32,Worksheet!$B$15,$P78,1)</f>
        <v>1.4256775771150217E-27</v>
      </c>
      <c r="P78">
        <v>0.47299999999999998</v>
      </c>
    </row>
    <row r="79" spans="5:16" x14ac:dyDescent="0.2">
      <c r="E79">
        <f ca="1">BINOMDIST(Worksheet!$A$22,Worksheet!$B$15,$P79,1)</f>
        <v>4.7038607591832818E-42</v>
      </c>
      <c r="F79">
        <f ca="1">BINOMDIST(Worksheet!$A$23,Worksheet!$B$15,$P79,1)</f>
        <v>6.3124385975888336E-40</v>
      </c>
      <c r="G79">
        <f ca="1">BINOMDIST(Worksheet!$A$24,Worksheet!$B$15,$P79,1)</f>
        <v>4.207781409661782E-38</v>
      </c>
      <c r="H79">
        <f ca="1">BINOMDIST(Worksheet!$A$25,Worksheet!$B$15,$P79,1)</f>
        <v>1.8575631861384237E-36</v>
      </c>
      <c r="I79">
        <f ca="1">BINOMDIST(Worksheet!$A$26,Worksheet!$B$15,$P79,1)</f>
        <v>6.1094650287532792E-35</v>
      </c>
      <c r="J79">
        <f ca="1">BINOMDIST(Worksheet!$A$27,Worksheet!$B$15,$P79,1)</f>
        <v>1.5967712568100447E-33</v>
      </c>
      <c r="K79">
        <f ca="1">BINOMDIST(Worksheet!$A$28,Worksheet!$B$15,$P79,1)</f>
        <v>3.4544014814929369E-32</v>
      </c>
      <c r="L79">
        <f ca="1">BINOMDIST(Worksheet!$A$29,Worksheet!$B$15,$P79,1)</f>
        <v>6.3622343884058504E-31</v>
      </c>
      <c r="M79">
        <f ca="1">BINOMDIST(Worksheet!$A$30,Worksheet!$B$15,$P79,1)</f>
        <v>1.0183326117793123E-29</v>
      </c>
      <c r="N79">
        <f ca="1">BINOMDIST(Worksheet!$A$31,Worksheet!$B$15,$P79,1)</f>
        <v>1.4389098131342638E-28</v>
      </c>
      <c r="O79">
        <f ca="1">BINOMDIST(Worksheet!$A$32,Worksheet!$B$15,$P79,1)</f>
        <v>1.8172625448224108E-27</v>
      </c>
      <c r="P79">
        <v>0.47199999999999998</v>
      </c>
    </row>
    <row r="80" spans="5:16" x14ac:dyDescent="0.2">
      <c r="E80">
        <f ca="1">BINOMDIST(Worksheet!$A$22,Worksheet!$B$15,$P80,1)</f>
        <v>6.2358424376183299E-42</v>
      </c>
      <c r="F80">
        <f ca="1">BINOMDIST(Worksheet!$A$23,Worksheet!$B$15,$P80,1)</f>
        <v>8.335046258584432E-40</v>
      </c>
      <c r="G80">
        <f ca="1">BINOMDIST(Worksheet!$A$24,Worksheet!$B$15,$P80,1)</f>
        <v>5.5339414223872475E-38</v>
      </c>
      <c r="H80">
        <f ca="1">BINOMDIST(Worksheet!$A$25,Worksheet!$B$15,$P80,1)</f>
        <v>2.4333013945878915E-36</v>
      </c>
      <c r="I80">
        <f ca="1">BINOMDIST(Worksheet!$A$26,Worksheet!$B$15,$P80,1)</f>
        <v>7.971257055418713E-35</v>
      </c>
      <c r="J80">
        <f ca="1">BINOMDIST(Worksheet!$A$27,Worksheet!$B$15,$P80,1)</f>
        <v>2.0750954390815341E-33</v>
      </c>
      <c r="K80">
        <f ca="1">BINOMDIST(Worksheet!$A$28,Worksheet!$B$15,$P80,1)</f>
        <v>4.4713673786592163E-32</v>
      </c>
      <c r="L80">
        <f ca="1">BINOMDIST(Worksheet!$A$29,Worksheet!$B$15,$P80,1)</f>
        <v>8.202567921878567E-31</v>
      </c>
      <c r="M80">
        <f ca="1">BINOMDIST(Worksheet!$A$30,Worksheet!$B$15,$P80,1)</f>
        <v>1.3076843475768514E-29</v>
      </c>
      <c r="N80">
        <f ca="1">BINOMDIST(Worksheet!$A$31,Worksheet!$B$15,$P80,1)</f>
        <v>1.8404348456866386E-28</v>
      </c>
      <c r="O80">
        <f ca="1">BINOMDIST(Worksheet!$A$32,Worksheet!$B$15,$P80,1)</f>
        <v>2.315147513616966E-27</v>
      </c>
      <c r="P80">
        <v>0.47099999999999997</v>
      </c>
    </row>
    <row r="81" spans="5:16" x14ac:dyDescent="0.2">
      <c r="E81">
        <f ca="1">BINOMDIST(Worksheet!$A$22,Worksheet!$B$15,$P81,1)</f>
        <v>8.2623686901930215E-42</v>
      </c>
      <c r="F81">
        <f ca="1">BINOMDIST(Worksheet!$A$23,Worksheet!$B$15,$P81,1)</f>
        <v>1.099986292037772E-39</v>
      </c>
      <c r="G81">
        <f ca="1">BINOMDIST(Worksheet!$A$24,Worksheet!$B$15,$P81,1)</f>
        <v>7.2741793941148709E-38</v>
      </c>
      <c r="H81">
        <f ca="1">BINOMDIST(Worksheet!$A$25,Worksheet!$B$15,$P81,1)</f>
        <v>3.1857810961279877E-36</v>
      </c>
      <c r="I81">
        <f ca="1">BINOMDIST(Worksheet!$A$26,Worksheet!$B$15,$P81,1)</f>
        <v>1.0394840228294918E-34</v>
      </c>
      <c r="J81">
        <f ca="1">BINOMDIST(Worksheet!$A$27,Worksheet!$B$15,$P81,1)</f>
        <v>2.6952588301628967E-33</v>
      </c>
      <c r="K81">
        <f ca="1">BINOMDIST(Worksheet!$A$28,Worksheet!$B$15,$P81,1)</f>
        <v>5.7846167559381359E-32</v>
      </c>
      <c r="L81">
        <f ca="1">BINOMDIST(Worksheet!$A$29,Worksheet!$B$15,$P81,1)</f>
        <v>1.0569546785272457E-30</v>
      </c>
      <c r="M81">
        <f ca="1">BINOMDIST(Worksheet!$A$30,Worksheet!$B$15,$P81,1)</f>
        <v>1.6783488174280834E-29</v>
      </c>
      <c r="N81">
        <f ca="1">BINOMDIST(Worksheet!$A$31,Worksheet!$B$15,$P81,1)</f>
        <v>2.3527350384798937E-28</v>
      </c>
      <c r="O81">
        <f ca="1">BINOMDIST(Worksheet!$A$32,Worksheet!$B$15,$P81,1)</f>
        <v>2.9478476607027114E-27</v>
      </c>
      <c r="P81">
        <v>0.47</v>
      </c>
    </row>
    <row r="82" spans="5:16" x14ac:dyDescent="0.2">
      <c r="E82">
        <f ca="1">BINOMDIST(Worksheet!$A$22,Worksheet!$B$15,$P82,1)</f>
        <v>1.0941670725365252E-41</v>
      </c>
      <c r="F82">
        <f ca="1">BINOMDIST(Worksheet!$A$23,Worksheet!$B$15,$P82,1)</f>
        <v>1.4508943862795003E-39</v>
      </c>
      <c r="G82">
        <f ca="1">BINOMDIST(Worksheet!$A$24,Worksheet!$B$15,$P82,1)</f>
        <v>9.5565769990840185E-38</v>
      </c>
      <c r="H82">
        <f ca="1">BINOMDIST(Worksheet!$A$25,Worksheet!$B$15,$P82,1)</f>
        <v>4.1687370623984409E-36</v>
      </c>
      <c r="I82">
        <f ca="1">BINOMDIST(Worksheet!$A$26,Worksheet!$B$15,$P82,1)</f>
        <v>1.3548056901923335E-34</v>
      </c>
      <c r="J82">
        <f ca="1">BINOMDIST(Worksheet!$A$27,Worksheet!$B$15,$P82,1)</f>
        <v>3.4988934248476863E-33</v>
      </c>
      <c r="K82">
        <f ca="1">BINOMDIST(Worksheet!$A$28,Worksheet!$B$15,$P82,1)</f>
        <v>7.4795645035403202E-32</v>
      </c>
      <c r="L82">
        <f ca="1">BINOMDIST(Worksheet!$A$29,Worksheet!$B$15,$P82,1)</f>
        <v>1.3612253572401699E-30</v>
      </c>
      <c r="M82">
        <f ca="1">BINOMDIST(Worksheet!$A$30,Worksheet!$B$15,$P82,1)</f>
        <v>2.1529221113693293E-29</v>
      </c>
      <c r="N82">
        <f ca="1">BINOMDIST(Worksheet!$A$31,Worksheet!$B$15,$P82,1)</f>
        <v>3.0060212159046357E-28</v>
      </c>
      <c r="O82">
        <f ca="1">BINOMDIST(Worksheet!$A$32,Worksheet!$B$15,$P82,1)</f>
        <v>3.7514357647740769E-27</v>
      </c>
      <c r="P82">
        <v>0.46899999999999997</v>
      </c>
    </row>
    <row r="83" spans="5:16" x14ac:dyDescent="0.2">
      <c r="E83">
        <f ca="1">BINOMDIST(Worksheet!$A$22,Worksheet!$B$15,$P83,1)</f>
        <v>1.4482155687403904E-41</v>
      </c>
      <c r="F83">
        <f ca="1">BINOMDIST(Worksheet!$A$23,Worksheet!$B$15,$P83,1)</f>
        <v>1.9127334346235846E-39</v>
      </c>
      <c r="G83">
        <f ca="1">BINOMDIST(Worksheet!$A$24,Worksheet!$B$15,$P83,1)</f>
        <v>1.2548460992356769E-37</v>
      </c>
      <c r="H83">
        <f ca="1">BINOMDIST(Worksheet!$A$25,Worksheet!$B$15,$P83,1)</f>
        <v>5.4520828648943287E-36</v>
      </c>
      <c r="I83">
        <f ca="1">BINOMDIST(Worksheet!$A$26,Worksheet!$B$15,$P83,1)</f>
        <v>1.7648394638258448E-34</v>
      </c>
      <c r="J83">
        <f ca="1">BINOMDIST(Worksheet!$A$27,Worksheet!$B$15,$P83,1)</f>
        <v>4.5397253968752035E-33</v>
      </c>
      <c r="K83">
        <f ca="1">BINOMDIST(Worksheet!$A$28,Worksheet!$B$15,$P83,1)</f>
        <v>9.6659890757652361E-32</v>
      </c>
      <c r="L83">
        <f ca="1">BINOMDIST(Worksheet!$A$29,Worksheet!$B$15,$P83,1)</f>
        <v>1.7521512835086196E-30</v>
      </c>
      <c r="M83">
        <f ca="1">BINOMDIST(Worksheet!$A$30,Worksheet!$B$15,$P83,1)</f>
        <v>2.7602089252648455E-29</v>
      </c>
      <c r="N83">
        <f ca="1">BINOMDIST(Worksheet!$A$31,Worksheet!$B$15,$P83,1)</f>
        <v>3.8386476818071528E-28</v>
      </c>
      <c r="O83">
        <f ca="1">BINOMDIST(Worksheet!$A$32,Worksheet!$B$15,$P83,1)</f>
        <v>4.7715209191895723E-27</v>
      </c>
      <c r="P83">
        <v>0.46800000000000003</v>
      </c>
    </row>
    <row r="84" spans="5:16" x14ac:dyDescent="0.2">
      <c r="E84">
        <f ca="1">BINOMDIST(Worksheet!$A$22,Worksheet!$B$15,$P84,1)</f>
        <v>1.9158175395389125E-41</v>
      </c>
      <c r="F84">
        <f ca="1">BINOMDIST(Worksheet!$A$23,Worksheet!$B$15,$P84,1)</f>
        <v>2.5202525816568496E-39</v>
      </c>
      <c r="G84">
        <f ca="1">BINOMDIST(Worksheet!$A$24,Worksheet!$B$15,$P84,1)</f>
        <v>1.6468314280976848E-37</v>
      </c>
      <c r="H84">
        <f ca="1">BINOMDIST(Worksheet!$A$25,Worksheet!$B$15,$P84,1)</f>
        <v>7.1267345820027834E-36</v>
      </c>
      <c r="I84">
        <f ca="1">BINOMDIST(Worksheet!$A$26,Worksheet!$B$15,$P84,1)</f>
        <v>2.2977522952902795E-34</v>
      </c>
      <c r="J84">
        <f ca="1">BINOMDIST(Worksheet!$A$27,Worksheet!$B$15,$P84,1)</f>
        <v>5.8870520908190097E-33</v>
      </c>
      <c r="K84">
        <f ca="1">BINOMDIST(Worksheet!$A$28,Worksheet!$B$15,$P84,1)</f>
        <v>1.2484907659614363E-31</v>
      </c>
      <c r="L84">
        <f ca="1">BINOMDIST(Worksheet!$A$29,Worksheet!$B$15,$P84,1)</f>
        <v>2.2541449646931912E-30</v>
      </c>
      <c r="M84">
        <f ca="1">BINOMDIST(Worksheet!$A$30,Worksheet!$B$15,$P84,1)</f>
        <v>3.5369090443883492E-29</v>
      </c>
      <c r="N84">
        <f ca="1">BINOMDIST(Worksheet!$A$31,Worksheet!$B$15,$P84,1)</f>
        <v>4.8992815130864107E-28</v>
      </c>
      <c r="O84">
        <f ca="1">BINOMDIST(Worksheet!$A$32,Worksheet!$B$15,$P84,1)</f>
        <v>6.0657389204151757E-27</v>
      </c>
      <c r="P84">
        <v>0.46700000000000003</v>
      </c>
    </row>
    <row r="85" spans="5:16" x14ac:dyDescent="0.2">
      <c r="E85">
        <f ca="1">BINOMDIST(Worksheet!$A$22,Worksheet!$B$15,$P85,1)</f>
        <v>2.5330706171411681E-41</v>
      </c>
      <c r="F85">
        <f ca="1">BINOMDIST(Worksheet!$A$23,Worksheet!$B$15,$P85,1)</f>
        <v>3.3189866093657809E-39</v>
      </c>
      <c r="G85">
        <f ca="1">BINOMDIST(Worksheet!$A$24,Worksheet!$B$15,$P85,1)</f>
        <v>2.1601267605834271E-37</v>
      </c>
      <c r="H85">
        <f ca="1">BINOMDIST(Worksheet!$A$25,Worksheet!$B$15,$P85,1)</f>
        <v>9.3108585653429302E-36</v>
      </c>
      <c r="I85">
        <f ca="1">BINOMDIST(Worksheet!$A$26,Worksheet!$B$15,$P85,1)</f>
        <v>2.9900043484032876E-34</v>
      </c>
      <c r="J85">
        <f ca="1">BINOMDIST(Worksheet!$A$27,Worksheet!$B$15,$P85,1)</f>
        <v>7.6302081760016105E-33</v>
      </c>
      <c r="K85">
        <f ca="1">BINOMDIST(Worksheet!$A$28,Worksheet!$B$15,$P85,1)</f>
        <v>1.6117370513695345E-31</v>
      </c>
      <c r="L85">
        <f ca="1">BINOMDIST(Worksheet!$A$29,Worksheet!$B$15,$P85,1)</f>
        <v>2.8984213109378686E-30</v>
      </c>
      <c r="M85">
        <f ca="1">BINOMDIST(Worksheet!$A$30,Worksheet!$B$15,$P85,1)</f>
        <v>4.5297566575698946E-29</v>
      </c>
      <c r="N85">
        <f ca="1">BINOMDIST(Worksheet!$A$31,Worksheet!$B$15,$P85,1)</f>
        <v>6.2496428292326572E-28</v>
      </c>
      <c r="O85">
        <f ca="1">BINOMDIST(Worksheet!$A$32,Worksheet!$B$15,$P85,1)</f>
        <v>7.7068849897612612E-27</v>
      </c>
      <c r="P85">
        <v>0.46600000000000003</v>
      </c>
    </row>
    <row r="86" spans="5:16" x14ac:dyDescent="0.2">
      <c r="E86">
        <f ca="1">BINOMDIST(Worksheet!$A$22,Worksheet!$B$15,$P86,1)</f>
        <v>3.3474455477958906E-41</v>
      </c>
      <c r="F86">
        <f ca="1">BINOMDIST(Worksheet!$A$23,Worksheet!$B$15,$P86,1)</f>
        <v>4.3685728625627846E-39</v>
      </c>
      <c r="G86">
        <f ca="1">BINOMDIST(Worksheet!$A$24,Worksheet!$B$15,$P86,1)</f>
        <v>2.8319237882104867E-37</v>
      </c>
      <c r="H86">
        <f ca="1">BINOMDIST(Worksheet!$A$25,Worksheet!$B$15,$P86,1)</f>
        <v>1.2157959516697789E-35</v>
      </c>
      <c r="I86">
        <f ca="1">BINOMDIST(Worksheet!$A$26,Worksheet!$B$15,$P86,1)</f>
        <v>3.8887662353093055E-34</v>
      </c>
      <c r="J86">
        <f ca="1">BINOMDIST(Worksheet!$A$27,Worksheet!$B$15,$P86,1)</f>
        <v>9.8842993977961439E-33</v>
      </c>
      <c r="K86">
        <f ca="1">BINOMDIST(Worksheet!$A$28,Worksheet!$B$15,$P86,1)</f>
        <v>2.0795704362359159E-31</v>
      </c>
      <c r="L86">
        <f ca="1">BINOMDIST(Worksheet!$A$29,Worksheet!$B$15,$P86,1)</f>
        <v>3.7248721643964037E-30</v>
      </c>
      <c r="M86">
        <f ca="1">BINOMDIST(Worksheet!$A$30,Worksheet!$B$15,$P86,1)</f>
        <v>5.7982326702861476E-29</v>
      </c>
      <c r="N86">
        <f ca="1">BINOMDIST(Worksheet!$A$31,Worksheet!$B$15,$P86,1)</f>
        <v>7.9679645065186101E-28</v>
      </c>
      <c r="O86">
        <f ca="1">BINOMDIST(Worksheet!$A$32,Worksheet!$B$15,$P86,1)</f>
        <v>9.7868524261808822E-27</v>
      </c>
      <c r="P86">
        <v>0.46500000000000002</v>
      </c>
    </row>
    <row r="87" spans="5:16" x14ac:dyDescent="0.2">
      <c r="E87">
        <f ca="1">BINOMDIST(Worksheet!$A$22,Worksheet!$B$15,$P87,1)</f>
        <v>4.4213374639311195E-41</v>
      </c>
      <c r="F87">
        <f ca="1">BINOMDIST(Worksheet!$A$23,Worksheet!$B$15,$P87,1)</f>
        <v>5.7470788019964231E-39</v>
      </c>
      <c r="G87">
        <f ca="1">BINOMDIST(Worksheet!$A$24,Worksheet!$B$15,$P87,1)</f>
        <v>3.7107093573060646E-37</v>
      </c>
      <c r="H87">
        <f ca="1">BINOMDIST(Worksheet!$A$25,Worksheet!$B$15,$P87,1)</f>
        <v>1.5867345583358984E-35</v>
      </c>
      <c r="I87">
        <f ca="1">BINOMDIST(Worksheet!$A$26,Worksheet!$B$15,$P87,1)</f>
        <v>5.0550336691215708E-34</v>
      </c>
      <c r="J87">
        <f ca="1">BINOMDIST(Worksheet!$A$27,Worksheet!$B$15,$P87,1)</f>
        <v>1.2797559902360393E-32</v>
      </c>
      <c r="K87">
        <f ca="1">BINOMDIST(Worksheet!$A$28,Worksheet!$B$15,$P87,1)</f>
        <v>2.6817879419107761E-31</v>
      </c>
      <c r="L87">
        <f ca="1">BINOMDIST(Worksheet!$A$29,Worksheet!$B$15,$P87,1)</f>
        <v>4.7844516240218514E-30</v>
      </c>
      <c r="M87">
        <f ca="1">BINOMDIST(Worksheet!$A$30,Worksheet!$B$15,$P87,1)</f>
        <v>7.4180016971943382E-29</v>
      </c>
      <c r="N87">
        <f ca="1">BINOMDIST(Worksheet!$A$31,Worksheet!$B$15,$P87,1)</f>
        <v>1.0153357937800796E-27</v>
      </c>
      <c r="O87">
        <f ca="1">BINOMDIST(Worksheet!$A$32,Worksheet!$B$15,$P87,1)</f>
        <v>1.2421581924648731E-26</v>
      </c>
      <c r="P87">
        <v>0.46400000000000002</v>
      </c>
    </row>
    <row r="88" spans="5:16" x14ac:dyDescent="0.2">
      <c r="E88">
        <f ca="1">BINOMDIST(Worksheet!$A$22,Worksheet!$B$15,$P88,1)</f>
        <v>5.8367160953215244E-41</v>
      </c>
      <c r="F88">
        <f ca="1">BINOMDIST(Worksheet!$A$23,Worksheet!$B$15,$P88,1)</f>
        <v>7.5566452478796128E-39</v>
      </c>
      <c r="G88">
        <f ca="1">BINOMDIST(Worksheet!$A$24,Worksheet!$B$15,$P88,1)</f>
        <v>4.8596633577725529E-37</v>
      </c>
      <c r="H88">
        <f ca="1">BINOMDIST(Worksheet!$A$25,Worksheet!$B$15,$P88,1)</f>
        <v>2.0697662144045203E-35</v>
      </c>
      <c r="I88">
        <f ca="1">BINOMDIST(Worksheet!$A$26,Worksheet!$B$15,$P88,1)</f>
        <v>6.5676386942863089E-34</v>
      </c>
      <c r="J88">
        <f ca="1">BINOMDIST(Worksheet!$A$27,Worksheet!$B$15,$P88,1)</f>
        <v>1.6560788013209298E-32</v>
      </c>
      <c r="K88">
        <f ca="1">BINOMDIST(Worksheet!$A$28,Worksheet!$B$15,$P88,1)</f>
        <v>3.456585837035069E-31</v>
      </c>
      <c r="L88">
        <f ca="1">BINOMDIST(Worksheet!$A$29,Worksheet!$B$15,$P88,1)</f>
        <v>6.1422097821229802E-30</v>
      </c>
      <c r="M88">
        <f ca="1">BINOMDIST(Worksheet!$A$30,Worksheet!$B$15,$P88,1)</f>
        <v>9.4852650911380578E-29</v>
      </c>
      <c r="N88">
        <f ca="1">BINOMDIST(Worksheet!$A$31,Worksheet!$B$15,$P88,1)</f>
        <v>1.293131924290501E-27</v>
      </c>
      <c r="O88">
        <f ca="1">BINOMDIST(Worksheet!$A$32,Worksheet!$B$15,$P88,1)</f>
        <v>1.5757277641317351E-26</v>
      </c>
      <c r="P88">
        <v>0.46300000000000002</v>
      </c>
    </row>
    <row r="89" spans="5:16" x14ac:dyDescent="0.2">
      <c r="E89">
        <f ca="1">BINOMDIST(Worksheet!$A$22,Worksheet!$B$15,$P89,1)</f>
        <v>7.7012119187736542E-41</v>
      </c>
      <c r="F89">
        <f ca="1">BINOMDIST(Worksheet!$A$23,Worksheet!$B$15,$P89,1)</f>
        <v>9.9308415999413642E-39</v>
      </c>
      <c r="G89">
        <f ca="1">BINOMDIST(Worksheet!$A$24,Worksheet!$B$15,$P89,1)</f>
        <v>6.3610690533228633E-37</v>
      </c>
      <c r="H89">
        <f ca="1">BINOMDIST(Worksheet!$A$25,Worksheet!$B$15,$P89,1)</f>
        <v>2.6984385215319077E-35</v>
      </c>
      <c r="I89">
        <f ca="1">BINOMDIST(Worksheet!$A$26,Worksheet!$B$15,$P89,1)</f>
        <v>8.5284129439990824E-34</v>
      </c>
      <c r="J89">
        <f ca="1">BINOMDIST(Worksheet!$A$27,Worksheet!$B$15,$P89,1)</f>
        <v>2.1419441423126694E-32</v>
      </c>
      <c r="K89">
        <f ca="1">BINOMDIST(Worksheet!$A$28,Worksheet!$B$15,$P89,1)</f>
        <v>4.4529018905755725E-31</v>
      </c>
      <c r="L89">
        <f ca="1">BINOMDIST(Worksheet!$A$29,Worksheet!$B$15,$P89,1)</f>
        <v>7.8811491410534191E-30</v>
      </c>
      <c r="M89">
        <f ca="1">BINOMDIST(Worksheet!$A$30,Worksheet!$B$15,$P89,1)</f>
        <v>1.212227129623217E-28</v>
      </c>
      <c r="N89">
        <f ca="1">BINOMDIST(Worksheet!$A$31,Worksheet!$B$15,$P89,1)</f>
        <v>1.6460670232566153E-27</v>
      </c>
      <c r="O89">
        <f ca="1">BINOMDIST(Worksheet!$A$32,Worksheet!$B$15,$P89,1)</f>
        <v>1.9978210144043874E-26</v>
      </c>
      <c r="P89">
        <v>0.46200000000000002</v>
      </c>
    </row>
    <row r="90" spans="5:16" x14ac:dyDescent="0.2">
      <c r="E90">
        <f ca="1">BINOMDIST(Worksheet!$A$22,Worksheet!$B$15,$P90,1)</f>
        <v>1.0156077653231019E-40</v>
      </c>
      <c r="F90">
        <f ca="1">BINOMDIST(Worksheet!$A$23,Worksheet!$B$15,$P90,1)</f>
        <v>1.3044247565452284E-38</v>
      </c>
      <c r="G90">
        <f ca="1">BINOMDIST(Worksheet!$A$24,Worksheet!$B$15,$P90,1)</f>
        <v>8.3220346299628103E-37</v>
      </c>
      <c r="H90">
        <f ca="1">BINOMDIST(Worksheet!$A$25,Worksheet!$B$15,$P90,1)</f>
        <v>3.516242149150651E-35</v>
      </c>
      <c r="I90">
        <f ca="1">BINOMDIST(Worksheet!$A$26,Worksheet!$B$15,$P90,1)</f>
        <v>1.106883040520686E-33</v>
      </c>
      <c r="J90">
        <f ca="1">BINOMDIST(Worksheet!$A$27,Worksheet!$B$15,$P90,1)</f>
        <v>2.7689133422340962E-32</v>
      </c>
      <c r="K90">
        <f ca="1">BINOMDIST(Worksheet!$A$28,Worksheet!$B$15,$P90,1)</f>
        <v>5.7334037317087492E-31</v>
      </c>
      <c r="L90">
        <f ca="1">BINOMDIST(Worksheet!$A$29,Worksheet!$B$15,$P90,1)</f>
        <v>1.0107124279331131E-29</v>
      </c>
      <c r="M90">
        <f ca="1">BINOMDIST(Worksheet!$A$30,Worksheet!$B$15,$P90,1)</f>
        <v>1.5484287614970759E-28</v>
      </c>
      <c r="N90">
        <f ca="1">BINOMDIST(Worksheet!$A$31,Worksheet!$B$15,$P90,1)</f>
        <v>2.0942303441617363E-27</v>
      </c>
      <c r="O90">
        <f ca="1">BINOMDIST(Worksheet!$A$32,Worksheet!$B$15,$P90,1)</f>
        <v>2.5316506259838269E-26</v>
      </c>
      <c r="P90">
        <v>0.46100000000000002</v>
      </c>
    </row>
    <row r="91" spans="5:16" x14ac:dyDescent="0.2">
      <c r="E91">
        <f ca="1">BINOMDIST(Worksheet!$A$22,Worksheet!$B$15,$P91,1)</f>
        <v>1.3386597750835312E-40</v>
      </c>
      <c r="F91">
        <f ca="1">BINOMDIST(Worksheet!$A$23,Worksheet!$B$15,$P91,1)</f>
        <v>1.7124929122735255E-38</v>
      </c>
      <c r="G91">
        <f ca="1">BINOMDIST(Worksheet!$A$24,Worksheet!$B$15,$P91,1)</f>
        <v>1.0881912059070386E-36</v>
      </c>
      <c r="H91">
        <f ca="1">BINOMDIST(Worksheet!$A$25,Worksheet!$B$15,$P91,1)</f>
        <v>4.5795290981311159E-35</v>
      </c>
      <c r="I91">
        <f ca="1">BINOMDIST(Worksheet!$A$26,Worksheet!$B$15,$P91,1)</f>
        <v>1.4358549302943389E-33</v>
      </c>
      <c r="J91">
        <f ca="1">BINOMDIST(Worksheet!$A$27,Worksheet!$B$15,$P91,1)</f>
        <v>3.577547639036064E-32</v>
      </c>
      <c r="K91">
        <f ca="1">BINOMDIST(Worksheet!$A$28,Worksheet!$B$15,$P91,1)</f>
        <v>7.378299595739385E-31</v>
      </c>
      <c r="L91">
        <f ca="1">BINOMDIST(Worksheet!$A$29,Worksheet!$B$15,$P91,1)</f>
        <v>1.2955063796562241E-29</v>
      </c>
      <c r="M91">
        <f ca="1">BINOMDIST(Worksheet!$A$30,Worksheet!$B$15,$P91,1)</f>
        <v>1.9768416431324663E-28</v>
      </c>
      <c r="N91">
        <f ca="1">BINOMDIST(Worksheet!$A$31,Worksheet!$B$15,$P91,1)</f>
        <v>2.6630194440482563E-27</v>
      </c>
      <c r="O91">
        <f ca="1">BINOMDIST(Worksheet!$A$32,Worksheet!$B$15,$P91,1)</f>
        <v>3.2064425372739839E-26</v>
      </c>
      <c r="P91">
        <v>0.46</v>
      </c>
    </row>
    <row r="92" spans="5:16" x14ac:dyDescent="0.2">
      <c r="E92">
        <f ca="1">BINOMDIST(Worksheet!$A$22,Worksheet!$B$15,$P92,1)</f>
        <v>1.7635691814430059E-40</v>
      </c>
      <c r="F92">
        <f ca="1">BINOMDIST(Worksheet!$A$23,Worksheet!$B$15,$P92,1)</f>
        <v>2.2470674827214402E-38</v>
      </c>
      <c r="G92">
        <f ca="1">BINOMDIST(Worksheet!$A$24,Worksheet!$B$15,$P92,1)</f>
        <v>1.4221911962680126E-36</v>
      </c>
      <c r="H92">
        <f ca="1">BINOMDIST(Worksheet!$A$25,Worksheet!$B$15,$P92,1)</f>
        <v>5.9612790545113338E-35</v>
      </c>
      <c r="I92">
        <f ca="1">BINOMDIST(Worksheet!$A$26,Worksheet!$B$15,$P92,1)</f>
        <v>1.8616390496779708E-33</v>
      </c>
      <c r="J92">
        <f ca="1">BINOMDIST(Worksheet!$A$27,Worksheet!$B$15,$P92,1)</f>
        <v>4.6199479225865325E-32</v>
      </c>
      <c r="K92">
        <f ca="1">BINOMDIST(Worksheet!$A$28,Worksheet!$B$15,$P92,1)</f>
        <v>9.490195298374825E-31</v>
      </c>
      <c r="L92">
        <f ca="1">BINOMDIST(Worksheet!$A$29,Worksheet!$B$15,$P92,1)</f>
        <v>1.6596867341296284E-29</v>
      </c>
      <c r="M92">
        <f ca="1">BINOMDIST(Worksheet!$A$30,Worksheet!$B$15,$P92,1)</f>
        <v>2.5224738135591197E-28</v>
      </c>
      <c r="N92">
        <f ca="1">BINOMDIST(Worksheet!$A$31,Worksheet!$B$15,$P92,1)</f>
        <v>3.3845262099679643E-27</v>
      </c>
      <c r="O92">
        <f ca="1">BINOMDIST(Worksheet!$A$32,Worksheet!$B$15,$P92,1)</f>
        <v>4.0589745715810738E-26</v>
      </c>
      <c r="P92">
        <v>0.45900000000000002</v>
      </c>
    </row>
    <row r="93" spans="5:16" x14ac:dyDescent="0.2">
      <c r="E93">
        <f ca="1">BINOMDIST(Worksheet!$A$22,Worksheet!$B$15,$P93,1)</f>
        <v>2.3221683108246438E-40</v>
      </c>
      <c r="F93">
        <f ca="1">BINOMDIST(Worksheet!$A$23,Worksheet!$B$15,$P93,1)</f>
        <v>2.9470115330583205E-38</v>
      </c>
      <c r="G93">
        <f ca="1">BINOMDIST(Worksheet!$A$24,Worksheet!$B$15,$P93,1)</f>
        <v>1.8577558274063814E-36</v>
      </c>
      <c r="H93">
        <f ca="1">BINOMDIST(Worksheet!$A$25,Worksheet!$B$15,$P93,1)</f>
        <v>7.7559578614131848E-35</v>
      </c>
      <c r="I93">
        <f ca="1">BINOMDIST(Worksheet!$A$26,Worksheet!$B$15,$P93,1)</f>
        <v>2.4124440279235286E-33</v>
      </c>
      <c r="J93">
        <f ca="1">BINOMDIST(Worksheet!$A$27,Worksheet!$B$15,$P93,1)</f>
        <v>5.9630036750667171E-32</v>
      </c>
      <c r="K93">
        <f ca="1">BINOMDIST(Worksheet!$A$28,Worksheet!$B$15,$P93,1)</f>
        <v>1.2200281533713323E-30</v>
      </c>
      <c r="L93">
        <f ca="1">BINOMDIST(Worksheet!$A$29,Worksheet!$B$15,$P93,1)</f>
        <v>2.1251423580349216E-29</v>
      </c>
      <c r="M93">
        <f ca="1">BINOMDIST(Worksheet!$A$30,Worksheet!$B$15,$P93,1)</f>
        <v>3.2170387583794582E-28</v>
      </c>
      <c r="N93">
        <f ca="1">BINOMDIST(Worksheet!$A$31,Worksheet!$B$15,$P93,1)</f>
        <v>4.2992804362911682E-27</v>
      </c>
      <c r="O93">
        <f ca="1">BINOMDIST(Worksheet!$A$32,Worksheet!$B$15,$P93,1)</f>
        <v>5.1355038564752722E-26</v>
      </c>
      <c r="P93">
        <v>0.45800000000000002</v>
      </c>
    </row>
    <row r="94" spans="5:16" x14ac:dyDescent="0.2">
      <c r="E94">
        <f ca="1">BINOMDIST(Worksheet!$A$22,Worksheet!$B$15,$P94,1)</f>
        <v>3.0561495957032616E-40</v>
      </c>
      <c r="F94">
        <f ca="1">BINOMDIST(Worksheet!$A$23,Worksheet!$B$15,$P94,1)</f>
        <v>3.8630181151139567E-38</v>
      </c>
      <c r="G94">
        <f ca="1">BINOMDIST(Worksheet!$A$24,Worksheet!$B$15,$P94,1)</f>
        <v>2.4254813403896021E-36</v>
      </c>
      <c r="H94">
        <f ca="1">BINOMDIST(Worksheet!$A$25,Worksheet!$B$15,$P94,1)</f>
        <v>1.0085781653160056E-34</v>
      </c>
      <c r="I94">
        <f ca="1">BINOMDIST(Worksheet!$A$26,Worksheet!$B$15,$P94,1)</f>
        <v>3.1246157670969585E-33</v>
      </c>
      <c r="J94">
        <f ca="1">BINOMDIST(Worksheet!$A$27,Worksheet!$B$15,$P94,1)</f>
        <v>7.6925470497930463E-32</v>
      </c>
      <c r="K94">
        <f ca="1">BINOMDIST(Worksheet!$A$28,Worksheet!$B$15,$P94,1)</f>
        <v>1.5676211881549834E-30</v>
      </c>
      <c r="L94">
        <f ca="1">BINOMDIST(Worksheet!$A$29,Worksheet!$B$15,$P94,1)</f>
        <v>2.719731228118466E-29</v>
      </c>
      <c r="M94">
        <f ca="1">BINOMDIST(Worksheet!$A$30,Worksheet!$B$15,$P94,1)</f>
        <v>4.1007327309865476E-28</v>
      </c>
      <c r="N94">
        <f ca="1">BINOMDIST(Worksheet!$A$31,Worksheet!$B$15,$P94,1)</f>
        <v>5.4584420652400927E-27</v>
      </c>
      <c r="O94">
        <f ca="1">BINOMDIST(Worksheet!$A$32,Worksheet!$B$15,$P94,1)</f>
        <v>6.4941800319606266E-26</v>
      </c>
      <c r="P94">
        <v>0.45700000000000002</v>
      </c>
    </row>
    <row r="95" spans="5:16" x14ac:dyDescent="0.2">
      <c r="E95">
        <f ca="1">BINOMDIST(Worksheet!$A$22,Worksheet!$B$15,$P95,1)</f>
        <v>4.0200925829844359E-40</v>
      </c>
      <c r="F95">
        <f ca="1">BINOMDIST(Worksheet!$A$23,Worksheet!$B$15,$P95,1)</f>
        <v>5.061178323960276E-38</v>
      </c>
      <c r="G95">
        <f ca="1">BINOMDIST(Worksheet!$A$24,Worksheet!$B$15,$P95,1)</f>
        <v>3.1650945281387504E-36</v>
      </c>
      <c r="H95">
        <f ca="1">BINOMDIST(Worksheet!$A$25,Worksheet!$B$15,$P95,1)</f>
        <v>1.3108789315318599E-34</v>
      </c>
      <c r="I95">
        <f ca="1">BINOMDIST(Worksheet!$A$26,Worksheet!$B$15,$P95,1)</f>
        <v>4.0449611657915875E-33</v>
      </c>
      <c r="J95">
        <f ca="1">BINOMDIST(Worksheet!$A$27,Worksheet!$B$15,$P95,1)</f>
        <v>9.9186615866840006E-32</v>
      </c>
      <c r="K95">
        <f ca="1">BINOMDIST(Worksheet!$A$28,Worksheet!$B$15,$P95,1)</f>
        <v>2.0132128457349942E-30</v>
      </c>
      <c r="L95">
        <f ca="1">BINOMDIST(Worksheet!$A$29,Worksheet!$B$15,$P95,1)</f>
        <v>3.4788901500473138E-29</v>
      </c>
      <c r="M95">
        <f ca="1">BINOMDIST(Worksheet!$A$30,Worksheet!$B$15,$P95,1)</f>
        <v>5.2244776909505251E-28</v>
      </c>
      <c r="N95">
        <f ca="1">BINOMDIST(Worksheet!$A$31,Worksheet!$B$15,$P95,1)</f>
        <v>6.9265561332415224E-27</v>
      </c>
      <c r="O95">
        <f ca="1">BINOMDIST(Worksheet!$A$32,Worksheet!$B$15,$P95,1)</f>
        <v>8.2080651347782865E-26</v>
      </c>
      <c r="P95">
        <v>0.45600000000000002</v>
      </c>
    </row>
    <row r="96" spans="5:16" x14ac:dyDescent="0.2">
      <c r="E96">
        <f ca="1">BINOMDIST(Worksheet!$A$22,Worksheet!$B$15,$P96,1)</f>
        <v>5.2854119126977097E-40</v>
      </c>
      <c r="F96">
        <f ca="1">BINOMDIST(Worksheet!$A$23,Worksheet!$B$15,$P96,1)</f>
        <v>6.6276155984175786E-38</v>
      </c>
      <c r="G96">
        <f ca="1">BINOMDIST(Worksheet!$A$24,Worksheet!$B$15,$P96,1)</f>
        <v>4.1281517341073905E-36</v>
      </c>
      <c r="H96">
        <f ca="1">BINOMDIST(Worksheet!$A$25,Worksheet!$B$15,$P96,1)</f>
        <v>1.7029240130155203E-34</v>
      </c>
      <c r="I96">
        <f ca="1">BINOMDIST(Worksheet!$A$26,Worksheet!$B$15,$P96,1)</f>
        <v>5.2337286851388808E-33</v>
      </c>
      <c r="J96">
        <f ca="1">BINOMDIST(Worksheet!$A$27,Worksheet!$B$15,$P96,1)</f>
        <v>1.2782463100666867E-31</v>
      </c>
      <c r="K96">
        <f ca="1">BINOMDIST(Worksheet!$A$28,Worksheet!$B$15,$P96,1)</f>
        <v>2.5841414261462805E-30</v>
      </c>
      <c r="L96">
        <f ca="1">BINOMDIST(Worksheet!$A$29,Worksheet!$B$15,$P96,1)</f>
        <v>4.4476737042334861E-29</v>
      </c>
      <c r="M96">
        <f ca="1">BINOMDIST(Worksheet!$A$30,Worksheet!$B$15,$P96,1)</f>
        <v>6.6527504042810335E-28</v>
      </c>
      <c r="N96">
        <f ca="1">BINOMDIST(Worksheet!$A$31,Worksheet!$B$15,$P96,1)</f>
        <v>8.7850130941924398E-27</v>
      </c>
      <c r="O96">
        <f ca="1">BINOMDIST(Worksheet!$A$32,Worksheet!$B$15,$P96,1)</f>
        <v>1.0368910741066762E-25</v>
      </c>
      <c r="P96">
        <v>0.45500000000000002</v>
      </c>
    </row>
    <row r="97" spans="5:16" x14ac:dyDescent="0.2">
      <c r="E97">
        <f ca="1">BINOMDIST(Worksheet!$A$22,Worksheet!$B$15,$P97,1)</f>
        <v>6.9455039558729119E-40</v>
      </c>
      <c r="F97">
        <f ca="1">BINOMDIST(Worksheet!$A$23,Worksheet!$B$15,$P97,1)</f>
        <v>8.6745019369760248E-38</v>
      </c>
      <c r="G97">
        <f ca="1">BINOMDIST(Worksheet!$A$24,Worksheet!$B$15,$P97,1)</f>
        <v>5.3815280883373642E-36</v>
      </c>
      <c r="H97">
        <f ca="1">BINOMDIST(Worksheet!$A$25,Worksheet!$B$15,$P97,1)</f>
        <v>2.2110999723165829E-34</v>
      </c>
      <c r="I97">
        <f ca="1">BINOMDIST(Worksheet!$A$26,Worksheet!$B$15,$P97,1)</f>
        <v>6.7684295250228015E-33</v>
      </c>
      <c r="J97">
        <f ca="1">BINOMDIST(Worksheet!$A$27,Worksheet!$B$15,$P97,1)</f>
        <v>1.6464756670981789E-31</v>
      </c>
      <c r="K97">
        <f ca="1">BINOMDIST(Worksheet!$A$28,Worksheet!$B$15,$P97,1)</f>
        <v>3.3152905681118781E-30</v>
      </c>
      <c r="L97">
        <f ca="1">BINOMDIST(Worksheet!$A$29,Worksheet!$B$15,$P97,1)</f>
        <v>5.6833355700771307E-29</v>
      </c>
      <c r="M97">
        <f ca="1">BINOMDIST(Worksheet!$A$30,Worksheet!$B$15,$P97,1)</f>
        <v>8.4671490857904171E-28</v>
      </c>
      <c r="N97">
        <f ca="1">BINOMDIST(Worksheet!$A$31,Worksheet!$B$15,$P97,1)</f>
        <v>1.1136392915487774E-26</v>
      </c>
      <c r="O97">
        <f ca="1">BINOMDIST(Worksheet!$A$32,Worksheet!$B$15,$P97,1)</f>
        <v>1.3091879843180975E-25</v>
      </c>
      <c r="P97">
        <v>0.45400000000000001</v>
      </c>
    </row>
    <row r="98" spans="5:16" x14ac:dyDescent="0.2">
      <c r="E98">
        <f ca="1">BINOMDIST(Worksheet!$A$22,Worksheet!$B$15,$P98,1)</f>
        <v>9.1224527726670887E-40</v>
      </c>
      <c r="F98">
        <f ca="1">BINOMDIST(Worksheet!$A$23,Worksheet!$B$15,$P98,1)</f>
        <v>1.1347864286350273E-37</v>
      </c>
      <c r="G98">
        <f ca="1">BINOMDIST(Worksheet!$A$24,Worksheet!$B$15,$P98,1)</f>
        <v>7.0119261380844064E-36</v>
      </c>
      <c r="H98">
        <f ca="1">BINOMDIST(Worksheet!$A$25,Worksheet!$B$15,$P98,1)</f>
        <v>2.8694764652458793E-34</v>
      </c>
      <c r="I98">
        <f ca="1">BINOMDIST(Worksheet!$A$26,Worksheet!$B$15,$P98,1)</f>
        <v>8.7487340610230889E-33</v>
      </c>
      <c r="J98">
        <f ca="1">BINOMDIST(Worksheet!$A$27,Worksheet!$B$15,$P98,1)</f>
        <v>2.1197083301397749E-31</v>
      </c>
      <c r="K98">
        <f ca="1">BINOMDIST(Worksheet!$A$28,Worksheet!$B$15,$P98,1)</f>
        <v>4.2511493701557298E-30</v>
      </c>
      <c r="L98">
        <f ca="1">BINOMDIST(Worksheet!$A$29,Worksheet!$B$15,$P98,1)</f>
        <v>7.2585948653912297E-29</v>
      </c>
      <c r="M98">
        <f ca="1">BINOMDIST(Worksheet!$A$30,Worksheet!$B$15,$P98,1)</f>
        <v>1.0770887591490891E-27</v>
      </c>
      <c r="N98">
        <f ca="1">BINOMDIST(Worksheet!$A$31,Worksheet!$B$15,$P98,1)</f>
        <v>1.4109915900071093E-26</v>
      </c>
      <c r="O98">
        <f ca="1">BINOMDIST(Worksheet!$A$32,Worksheet!$B$15,$P98,1)</f>
        <v>1.652144675046904E-25</v>
      </c>
      <c r="P98">
        <v>0.45300000000000001</v>
      </c>
    </row>
    <row r="99" spans="5:16" x14ac:dyDescent="0.2">
      <c r="E99">
        <f ca="1">BINOMDIST(Worksheet!$A$22,Worksheet!$B$15,$P99,1)</f>
        <v>1.1975763590828895E-39</v>
      </c>
      <c r="F99">
        <f ca="1">BINOMDIST(Worksheet!$A$23,Worksheet!$B$15,$P99,1)</f>
        <v>1.4837708846038669E-37</v>
      </c>
      <c r="G99">
        <f ca="1">BINOMDIST(Worksheet!$A$24,Worksheet!$B$15,$P99,1)</f>
        <v>9.1316988416801802E-36</v>
      </c>
      <c r="H99">
        <f ca="1">BINOMDIST(Worksheet!$A$25,Worksheet!$B$15,$P99,1)</f>
        <v>3.7220215539334192E-34</v>
      </c>
      <c r="I99">
        <f ca="1">BINOMDIST(Worksheet!$A$26,Worksheet!$B$15,$P99,1)</f>
        <v>1.1302743017052601E-32</v>
      </c>
      <c r="J99">
        <f ca="1">BINOMDIST(Worksheet!$A$27,Worksheet!$B$15,$P99,1)</f>
        <v>2.7275808902915241E-31</v>
      </c>
      <c r="K99">
        <f ca="1">BINOMDIST(Worksheet!$A$28,Worksheet!$B$15,$P99,1)</f>
        <v>5.4484288801591461E-30</v>
      </c>
      <c r="L99">
        <f ca="1">BINOMDIST(Worksheet!$A$29,Worksheet!$B$15,$P99,1)</f>
        <v>9.2657672168866493E-29</v>
      </c>
      <c r="M99">
        <f ca="1">BINOMDIST(Worksheet!$A$30,Worksheet!$B$15,$P99,1)</f>
        <v>1.3694455533829056E-27</v>
      </c>
      <c r="N99">
        <f ca="1">BINOMDIST(Worksheet!$A$31,Worksheet!$B$15,$P99,1)</f>
        <v>1.7868278733742554E-26</v>
      </c>
      <c r="O99">
        <f ca="1">BINOMDIST(Worksheet!$A$32,Worksheet!$B$15,$P99,1)</f>
        <v>2.0838765166314944E-25</v>
      </c>
      <c r="P99">
        <v>0.45200000000000001</v>
      </c>
    </row>
    <row r="100" spans="5:16" x14ac:dyDescent="0.2">
      <c r="E100">
        <f ca="1">BINOMDIST(Worksheet!$A$22,Worksheet!$B$15,$P100,1)</f>
        <v>1.5713731317879385E-39</v>
      </c>
      <c r="F100">
        <f ca="1">BINOMDIST(Worksheet!$A$23,Worksheet!$B$15,$P100,1)</f>
        <v>1.9391145160723053E-37</v>
      </c>
      <c r="G100">
        <f ca="1">BINOMDIST(Worksheet!$A$24,Worksheet!$B$15,$P100,1)</f>
        <v>1.1886366422535161E-35</v>
      </c>
      <c r="H100">
        <f ca="1">BINOMDIST(Worksheet!$A$25,Worksheet!$B$15,$P100,1)</f>
        <v>4.8254495003371332E-34</v>
      </c>
      <c r="I100">
        <f ca="1">BINOMDIST(Worksheet!$A$26,Worksheet!$B$15,$P100,1)</f>
        <v>1.4595015394688401E-32</v>
      </c>
      <c r="J100">
        <f ca="1">BINOMDIST(Worksheet!$A$27,Worksheet!$B$15,$P100,1)</f>
        <v>3.508008458967631E-31</v>
      </c>
      <c r="K100">
        <f ca="1">BINOMDIST(Worksheet!$A$28,Worksheet!$B$15,$P100,1)</f>
        <v>6.9793835587464192E-30</v>
      </c>
      <c r="L100">
        <f ca="1">BINOMDIST(Worksheet!$A$29,Worksheet!$B$15,$P100,1)</f>
        <v>1.1821986883061928E-28</v>
      </c>
      <c r="M100">
        <f ca="1">BINOMDIST(Worksheet!$A$30,Worksheet!$B$15,$P100,1)</f>
        <v>1.7402743218773647E-27</v>
      </c>
      <c r="N100">
        <f ca="1">BINOMDIST(Worksheet!$A$31,Worksheet!$B$15,$P100,1)</f>
        <v>2.2616223466523316E-26</v>
      </c>
      <c r="O100">
        <f ca="1">BINOMDIST(Worksheet!$A$32,Worksheet!$B$15,$P100,1)</f>
        <v>2.627086513340911E-25</v>
      </c>
      <c r="P100">
        <v>0.45100000000000001</v>
      </c>
    </row>
    <row r="101" spans="5:16" x14ac:dyDescent="0.2">
      <c r="E101">
        <f ca="1">BINOMDIST(Worksheet!$A$22,Worksheet!$B$15,$P101,1)</f>
        <v>2.060823199076403E-39</v>
      </c>
      <c r="F101">
        <f ca="1">BINOMDIST(Worksheet!$A$23,Worksheet!$B$15,$P101,1)</f>
        <v>2.5329390592284743E-37</v>
      </c>
      <c r="G101">
        <f ca="1">BINOMDIST(Worksheet!$A$24,Worksheet!$B$15,$P101,1)</f>
        <v>1.5464315096289311E-35</v>
      </c>
      <c r="H101">
        <f ca="1">BINOMDIST(Worksheet!$A$25,Worksheet!$B$15,$P101,1)</f>
        <v>6.2528798281916165E-34</v>
      </c>
      <c r="I101">
        <f ca="1">BINOMDIST(Worksheet!$A$26,Worksheet!$B$15,$P101,1)</f>
        <v>1.8836840241633984E-32</v>
      </c>
      <c r="J101">
        <f ca="1">BINOMDIST(Worksheet!$A$27,Worksheet!$B$15,$P101,1)</f>
        <v>4.5094730747351187E-31</v>
      </c>
      <c r="K101">
        <f ca="1">BINOMDIST(Worksheet!$A$28,Worksheet!$B$15,$P101,1)</f>
        <v>8.9360255731177602E-30</v>
      </c>
      <c r="L101">
        <f ca="1">BINOMDIST(Worksheet!$A$29,Worksheet!$B$15,$P101,1)</f>
        <v>1.5075804801317128E-28</v>
      </c>
      <c r="M101">
        <f ca="1">BINOMDIST(Worksheet!$A$30,Worksheet!$B$15,$P101,1)</f>
        <v>2.2104006011766695E-27</v>
      </c>
      <c r="N101">
        <f ca="1">BINOMDIST(Worksheet!$A$31,Worksheet!$B$15,$P101,1)</f>
        <v>2.8611273328090537E-26</v>
      </c>
      <c r="O101">
        <f ca="1">BINOMDIST(Worksheet!$A$32,Worksheet!$B$15,$P101,1)</f>
        <v>3.3102127001819415E-25</v>
      </c>
      <c r="P101">
        <v>0.45</v>
      </c>
    </row>
    <row r="102" spans="5:16" x14ac:dyDescent="0.2">
      <c r="E102">
        <f ca="1">BINOMDIST(Worksheet!$A$22,Worksheet!$B$15,$P102,1)</f>
        <v>2.7013958535408067E-39</v>
      </c>
      <c r="F102">
        <f ca="1">BINOMDIST(Worksheet!$A$23,Worksheet!$B$15,$P102,1)</f>
        <v>3.3069791853545115E-37</v>
      </c>
      <c r="G102">
        <f ca="1">BINOMDIST(Worksheet!$A$24,Worksheet!$B$15,$P102,1)</f>
        <v>2.0109304928751792E-35</v>
      </c>
      <c r="H102">
        <f ca="1">BINOMDIST(Worksheet!$A$25,Worksheet!$B$15,$P102,1)</f>
        <v>8.098536476361419E-34</v>
      </c>
      <c r="I102">
        <f ca="1">BINOMDIST(Worksheet!$A$26,Worksheet!$B$15,$P102,1)</f>
        <v>2.4299372995113328E-32</v>
      </c>
      <c r="J102">
        <f ca="1">BINOMDIST(Worksheet!$A$27,Worksheet!$B$15,$P102,1)</f>
        <v>5.7939380389076167E-31</v>
      </c>
      <c r="K102">
        <f ca="1">BINOMDIST(Worksheet!$A$28,Worksheet!$B$15,$P102,1)</f>
        <v>1.1435469279991543E-29</v>
      </c>
      <c r="L102">
        <f ca="1">BINOMDIST(Worksheet!$A$29,Worksheet!$B$15,$P102,1)</f>
        <v>1.9215520951696233E-28</v>
      </c>
      <c r="M102">
        <f ca="1">BINOMDIST(Worksheet!$A$30,Worksheet!$B$15,$P102,1)</f>
        <v>2.8061137390153408E-27</v>
      </c>
      <c r="N102">
        <f ca="1">BINOMDIST(Worksheet!$A$31,Worksheet!$B$15,$P102,1)</f>
        <v>3.6177176562974511E-26</v>
      </c>
      <c r="O102">
        <f ca="1">BINOMDIST(Worksheet!$A$32,Worksheet!$B$15,$P102,1)</f>
        <v>4.1688588965082384E-25</v>
      </c>
      <c r="P102">
        <v>0.44900000000000001</v>
      </c>
    </row>
    <row r="103" spans="5:16" x14ac:dyDescent="0.2">
      <c r="E103">
        <f ca="1">BINOMDIST(Worksheet!$A$22,Worksheet!$B$15,$P103,1)</f>
        <v>3.5393424231430473E-39</v>
      </c>
      <c r="F103">
        <f ca="1">BINOMDIST(Worksheet!$A$23,Worksheet!$B$15,$P103,1)</f>
        <v>4.3154330153481517E-37</v>
      </c>
      <c r="G103">
        <f ca="1">BINOMDIST(Worksheet!$A$24,Worksheet!$B$15,$P103,1)</f>
        <v>2.6136592671951861E-35</v>
      </c>
      <c r="H103">
        <f ca="1">BINOMDIST(Worksheet!$A$25,Worksheet!$B$15,$P103,1)</f>
        <v>1.0483779763302801E-33</v>
      </c>
      <c r="I103">
        <f ca="1">BINOMDIST(Worksheet!$A$26,Worksheet!$B$15,$P103,1)</f>
        <v>3.1330427080643319E-32</v>
      </c>
      <c r="J103">
        <f ca="1">BINOMDIST(Worksheet!$A$27,Worksheet!$B$15,$P103,1)</f>
        <v>7.4405575672418795E-31</v>
      </c>
      <c r="K103">
        <f ca="1">BINOMDIST(Worksheet!$A$28,Worksheet!$B$15,$P103,1)</f>
        <v>1.4626705655868061E-29</v>
      </c>
      <c r="L103">
        <f ca="1">BINOMDIST(Worksheet!$A$29,Worksheet!$B$15,$P103,1)</f>
        <v>2.4479701702717845E-28</v>
      </c>
      <c r="M103">
        <f ca="1">BINOMDIST(Worksheet!$A$30,Worksheet!$B$15,$P103,1)</f>
        <v>3.5605838214196932E-27</v>
      </c>
      <c r="N103">
        <f ca="1">BINOMDIST(Worksheet!$A$31,Worksheet!$B$15,$P103,1)</f>
        <v>4.5720732947801967E-26</v>
      </c>
      <c r="O103">
        <f ca="1">BINOMDIST(Worksheet!$A$32,Worksheet!$B$15,$P103,1)</f>
        <v>5.2475778968814725E-25</v>
      </c>
      <c r="P103">
        <v>0.44800000000000001</v>
      </c>
    </row>
    <row r="104" spans="5:16" x14ac:dyDescent="0.2">
      <c r="E104">
        <f ca="1">BINOMDIST(Worksheet!$A$22,Worksheet!$B$15,$P104,1)</f>
        <v>4.6349447800485722E-39</v>
      </c>
      <c r="F104">
        <f ca="1">BINOMDIST(Worksheet!$A$23,Worksheet!$B$15,$P104,1)</f>
        <v>5.6286501202340331E-37</v>
      </c>
      <c r="G104">
        <f ca="1">BINOMDIST(Worksheet!$A$24,Worksheet!$B$15,$P104,1)</f>
        <v>3.3953704368760417E-35</v>
      </c>
      <c r="H104">
        <f ca="1">BINOMDIST(Worksheet!$A$25,Worksheet!$B$15,$P104,1)</f>
        <v>1.3564845442071269E-33</v>
      </c>
      <c r="I104">
        <f ca="1">BINOMDIST(Worksheet!$A$26,Worksheet!$B$15,$P104,1)</f>
        <v>4.037592743278348E-32</v>
      </c>
      <c r="J104">
        <f ca="1">BINOMDIST(Worksheet!$A$27,Worksheet!$B$15,$P104,1)</f>
        <v>9.550396492494551E-31</v>
      </c>
      <c r="K104">
        <f ca="1">BINOMDIST(Worksheet!$A$28,Worksheet!$B$15,$P104,1)</f>
        <v>1.8699185051870031E-29</v>
      </c>
      <c r="L104">
        <f ca="1">BINOMDIST(Worksheet!$A$29,Worksheet!$B$15,$P104,1)</f>
        <v>3.1170448556360333E-28</v>
      </c>
      <c r="M104">
        <f ca="1">BINOMDIST(Worksheet!$A$30,Worksheet!$B$15,$P104,1)</f>
        <v>4.515641747019668E-27</v>
      </c>
      <c r="N104">
        <f ca="1">BINOMDIST(Worksheet!$A$31,Worksheet!$B$15,$P104,1)</f>
        <v>5.7752843631245813E-26</v>
      </c>
      <c r="O104">
        <f ca="1">BINOMDIST(Worksheet!$A$32,Worksheet!$B$15,$P104,1)</f>
        <v>6.6020928014387599E-25</v>
      </c>
      <c r="P104">
        <v>0.44700000000000001</v>
      </c>
    </row>
    <row r="105" spans="5:16" x14ac:dyDescent="0.2">
      <c r="E105">
        <f ca="1">BINOMDIST(Worksheet!$A$22,Worksheet!$B$15,$P105,1)</f>
        <v>6.0667338757564154E-39</v>
      </c>
      <c r="F105">
        <f ca="1">BINOMDIST(Worksheet!$A$23,Worksheet!$B$15,$P105,1)</f>
        <v>7.337900786041268E-37</v>
      </c>
      <c r="G105">
        <f ca="1">BINOMDIST(Worksheet!$A$24,Worksheet!$B$15,$P105,1)</f>
        <v>4.408718587177258E-35</v>
      </c>
      <c r="H105">
        <f ca="1">BINOMDIST(Worksheet!$A$25,Worksheet!$B$15,$P105,1)</f>
        <v>1.7542769181170737E-33</v>
      </c>
      <c r="I105">
        <f ca="1">BINOMDIST(Worksheet!$A$26,Worksheet!$B$15,$P105,1)</f>
        <v>5.2007306974473542E-32</v>
      </c>
      <c r="J105">
        <f ca="1">BINOMDIST(Worksheet!$A$27,Worksheet!$B$15,$P105,1)</f>
        <v>1.2252432108533725E-30</v>
      </c>
      <c r="K105">
        <f ca="1">BINOMDIST(Worksheet!$A$28,Worksheet!$B$15,$P105,1)</f>
        <v>2.3893685656918065E-29</v>
      </c>
      <c r="L105">
        <f ca="1">BINOMDIST(Worksheet!$A$29,Worksheet!$B$15,$P105,1)</f>
        <v>3.967012984277028E-28</v>
      </c>
      <c r="M105">
        <f ca="1">BINOMDIST(Worksheet!$A$30,Worksheet!$B$15,$P105,1)</f>
        <v>5.72401441485359E-27</v>
      </c>
      <c r="N105">
        <f ca="1">BINOMDIST(Worksheet!$A$31,Worksheet!$B$15,$P105,1)</f>
        <v>7.2914831229846719E-26</v>
      </c>
      <c r="O105">
        <f ca="1">BINOMDIST(Worksheet!$A$32,Worksheet!$B$15,$P105,1)</f>
        <v>8.3020627562120879E-25</v>
      </c>
      <c r="P105">
        <v>0.44600000000000001</v>
      </c>
    </row>
    <row r="106" spans="5:16" x14ac:dyDescent="0.2">
      <c r="E106">
        <f ca="1">BINOMDIST(Worksheet!$A$22,Worksheet!$B$15,$P106,1)</f>
        <v>7.9369653672883904E-39</v>
      </c>
      <c r="F106">
        <f ca="1">BINOMDIST(Worksheet!$A$23,Worksheet!$B$15,$P106,1)</f>
        <v>9.5615406208450369E-37</v>
      </c>
      <c r="G106">
        <f ca="1">BINOMDIST(Worksheet!$A$24,Worksheet!$B$15,$P106,1)</f>
        <v>5.7217035133972502E-35</v>
      </c>
      <c r="H106">
        <f ca="1">BINOMDIST(Worksheet!$A$25,Worksheet!$B$15,$P106,1)</f>
        <v>2.2676107500394387E-33</v>
      </c>
      <c r="I106">
        <f ca="1">BINOMDIST(Worksheet!$A$26,Worksheet!$B$15,$P106,1)</f>
        <v>6.6956475460583495E-32</v>
      </c>
      <c r="J106">
        <f ca="1">BINOMDIST(Worksheet!$A$27,Worksheet!$B$15,$P106,1)</f>
        <v>1.5711182756219703E-30</v>
      </c>
      <c r="K106">
        <f ca="1">BINOMDIST(Worksheet!$A$28,Worksheet!$B$15,$P106,1)</f>
        <v>3.0516069673322093E-29</v>
      </c>
      <c r="L106">
        <f ca="1">BINOMDIST(Worksheet!$A$29,Worksheet!$B$15,$P106,1)</f>
        <v>5.0462468799832724E-28</v>
      </c>
      <c r="M106">
        <f ca="1">BINOMDIST(Worksheet!$A$30,Worksheet!$B$15,$P106,1)</f>
        <v>7.2521300015021625E-27</v>
      </c>
      <c r="N106">
        <f ca="1">BINOMDIST(Worksheet!$A$31,Worksheet!$B$15,$P106,1)</f>
        <v>9.2011333384044125E-26</v>
      </c>
      <c r="O106">
        <f ca="1">BINOMDIST(Worksheet!$A$32,Worksheet!$B$15,$P106,1)</f>
        <v>1.0434524812637625E-24</v>
      </c>
      <c r="P106">
        <v>0.44500000000000001</v>
      </c>
    </row>
    <row r="107" spans="5:16" x14ac:dyDescent="0.2">
      <c r="E107">
        <f ca="1">BINOMDIST(Worksheet!$A$22,Worksheet!$B$15,$P107,1)</f>
        <v>1.0378723587900356E-38</v>
      </c>
      <c r="F107">
        <f ca="1">BINOMDIST(Worksheet!$A$23,Worksheet!$B$15,$P107,1)</f>
        <v>1.2452974963956938E-36</v>
      </c>
      <c r="G107">
        <f ca="1">BINOMDIST(Worksheet!$A$24,Worksheet!$B$15,$P107,1)</f>
        <v>7.4221001092390962E-35</v>
      </c>
      <c r="H107">
        <f ca="1">BINOMDIST(Worksheet!$A$25,Worksheet!$B$15,$P107,1)</f>
        <v>2.9297235324493509E-33</v>
      </c>
      <c r="I107">
        <f ca="1">BINOMDIST(Worksheet!$A$26,Worksheet!$B$15,$P107,1)</f>
        <v>8.6160432207216976E-32</v>
      </c>
      <c r="J107">
        <f ca="1">BINOMDIST(Worksheet!$A$27,Worksheet!$B$15,$P107,1)</f>
        <v>2.0136399374164001E-30</v>
      </c>
      <c r="K107">
        <f ca="1">BINOMDIST(Worksheet!$A$28,Worksheet!$B$15,$P107,1)</f>
        <v>3.895468599408729E-29</v>
      </c>
      <c r="L107">
        <f ca="1">BINOMDIST(Worksheet!$A$29,Worksheet!$B$15,$P107,1)</f>
        <v>6.4159109304191445E-28</v>
      </c>
      <c r="M107">
        <f ca="1">BINOMDIST(Worksheet!$A$30,Worksheet!$B$15,$P107,1)</f>
        <v>9.183636999415866E-27</v>
      </c>
      <c r="N107">
        <f ca="1">BINOMDIST(Worksheet!$A$31,Worksheet!$B$15,$P107,1)</f>
        <v>1.1605139118059933E-25</v>
      </c>
      <c r="O107">
        <f ca="1">BINOMDIST(Worksheet!$A$32,Worksheet!$B$15,$P107,1)</f>
        <v>1.3108175062709486E-24</v>
      </c>
      <c r="P107">
        <v>0.44400000000000001</v>
      </c>
    </row>
    <row r="108" spans="5:16" x14ac:dyDescent="0.2">
      <c r="E108">
        <f ca="1">BINOMDIST(Worksheet!$A$22,Worksheet!$B$15,$P108,1)</f>
        <v>1.3565133771687047E-38</v>
      </c>
      <c r="F108">
        <f ca="1">BINOMDIST(Worksheet!$A$23,Worksheet!$B$15,$P108,1)</f>
        <v>1.6210943705180828E-36</v>
      </c>
      <c r="G108">
        <f ca="1">BINOMDIST(Worksheet!$A$24,Worksheet!$B$15,$P108,1)</f>
        <v>9.6231549377735744E-35</v>
      </c>
      <c r="H108">
        <f ca="1">BINOMDIST(Worksheet!$A$25,Worksheet!$B$15,$P108,1)</f>
        <v>3.7833215796141266E-33</v>
      </c>
      <c r="I108">
        <f ca="1">BINOMDIST(Worksheet!$A$26,Worksheet!$B$15,$P108,1)</f>
        <v>1.1081815505161983E-31</v>
      </c>
      <c r="J108">
        <f ca="1">BINOMDIST(Worksheet!$A$27,Worksheet!$B$15,$P108,1)</f>
        <v>2.5795371956528312E-30</v>
      </c>
      <c r="K108">
        <f ca="1">BINOMDIST(Worksheet!$A$28,Worksheet!$B$15,$P108,1)</f>
        <v>4.970237532791855E-29</v>
      </c>
      <c r="L108">
        <f ca="1">BINOMDIST(Worksheet!$A$29,Worksheet!$B$15,$P108,1)</f>
        <v>8.153306576672089E-28</v>
      </c>
      <c r="M108">
        <f ca="1">BINOMDIST(Worksheet!$A$30,Worksheet!$B$15,$P108,1)</f>
        <v>1.16238164585728E-26</v>
      </c>
      <c r="N108">
        <f ca="1">BINOMDIST(Worksheet!$A$31,Worksheet!$B$15,$P108,1)</f>
        <v>1.462997487510053E-25</v>
      </c>
      <c r="O108">
        <f ca="1">BINOMDIST(Worksheet!$A$32,Worksheet!$B$15,$P108,1)</f>
        <v>1.6458691061615345E-24</v>
      </c>
      <c r="P108">
        <v>0.443</v>
      </c>
    </row>
    <row r="109" spans="5:16" x14ac:dyDescent="0.2">
      <c r="E109">
        <f ca="1">BINOMDIST(Worksheet!$A$22,Worksheet!$B$15,$P109,1)</f>
        <v>1.7721302610836483E-38</v>
      </c>
      <c r="F109">
        <f ca="1">BINOMDIST(Worksheet!$A$23,Worksheet!$B$15,$P109,1)</f>
        <v>2.1092796311851527E-36</v>
      </c>
      <c r="G109">
        <f ca="1">BINOMDIST(Worksheet!$A$24,Worksheet!$B$15,$P109,1)</f>
        <v>1.2470908215987464E-34</v>
      </c>
      <c r="H109">
        <f ca="1">BINOMDIST(Worksheet!$A$25,Worksheet!$B$15,$P109,1)</f>
        <v>4.8832512383719847E-33</v>
      </c>
      <c r="I109">
        <f ca="1">BINOMDIST(Worksheet!$A$26,Worksheet!$B$15,$P109,1)</f>
        <v>1.4246310895552243E-31</v>
      </c>
      <c r="J109">
        <f ca="1">BINOMDIST(Worksheet!$A$27,Worksheet!$B$15,$P109,1)</f>
        <v>3.3028548942932184E-30</v>
      </c>
      <c r="K109">
        <f ca="1">BINOMDIST(Worksheet!$A$28,Worksheet!$B$15,$P109,1)</f>
        <v>6.3384281523078639E-29</v>
      </c>
      <c r="L109">
        <f ca="1">BINOMDIST(Worksheet!$A$29,Worksheet!$B$15,$P109,1)</f>
        <v>1.0356082066380334E-27</v>
      </c>
      <c r="M109">
        <f ca="1">BINOMDIST(Worksheet!$A$30,Worksheet!$B$15,$P109,1)</f>
        <v>1.4705111440489958E-26</v>
      </c>
      <c r="N109">
        <f ca="1">BINOMDIST(Worksheet!$A$31,Worksheet!$B$15,$P109,1)</f>
        <v>1.8434087020992829E-25</v>
      </c>
      <c r="O109">
        <f ca="1">BINOMDIST(Worksheet!$A$32,Worksheet!$B$15,$P109,1)</f>
        <v>2.0655345534810476E-24</v>
      </c>
      <c r="P109">
        <v>0.442</v>
      </c>
    </row>
    <row r="110" spans="5:16" x14ac:dyDescent="0.2">
      <c r="E110">
        <f ca="1">BINOMDIST(Worksheet!$A$22,Worksheet!$B$15,$P110,1)</f>
        <v>2.3139787963912297E-38</v>
      </c>
      <c r="F110">
        <f ca="1">BINOMDIST(Worksheet!$A$23,Worksheet!$B$15,$P110,1)</f>
        <v>2.7431618404159951E-36</v>
      </c>
      <c r="G110">
        <f ca="1">BINOMDIST(Worksheet!$A$24,Worksheet!$B$15,$P110,1)</f>
        <v>1.615360055966259E-34</v>
      </c>
      <c r="H110">
        <f ca="1">BINOMDIST(Worksheet!$A$25,Worksheet!$B$15,$P110,1)</f>
        <v>6.2999162573460774E-33</v>
      </c>
      <c r="I110">
        <f ca="1">BINOMDIST(Worksheet!$A$26,Worksheet!$B$15,$P110,1)</f>
        <v>1.8305561880168442E-31</v>
      </c>
      <c r="J110">
        <f ca="1">BINOMDIST(Worksheet!$A$27,Worksheet!$B$15,$P110,1)</f>
        <v>4.2269351891765409E-30</v>
      </c>
      <c r="K110">
        <f ca="1">BINOMDIST(Worksheet!$A$28,Worksheet!$B$15,$P110,1)</f>
        <v>8.0792984156703398E-29</v>
      </c>
      <c r="L110">
        <f ca="1">BINOMDIST(Worksheet!$A$29,Worksheet!$B$15,$P110,1)</f>
        <v>1.3147527965868462E-27</v>
      </c>
      <c r="M110">
        <f ca="1">BINOMDIST(Worksheet!$A$30,Worksheet!$B$15,$P110,1)</f>
        <v>1.8594053193277207E-26</v>
      </c>
      <c r="N110">
        <f ca="1">BINOMDIST(Worksheet!$A$31,Worksheet!$B$15,$P110,1)</f>
        <v>2.3215878743430379E-25</v>
      </c>
      <c r="O110">
        <f ca="1">BINOMDIST(Worksheet!$A$32,Worksheet!$B$15,$P110,1)</f>
        <v>2.5909220597135515E-24</v>
      </c>
      <c r="P110">
        <v>0.441</v>
      </c>
    </row>
    <row r="111" spans="5:16" x14ac:dyDescent="0.2">
      <c r="E111">
        <f ca="1">BINOMDIST(Worksheet!$A$22,Worksheet!$B$15,$P111,1)</f>
        <v>3.020063147949938E-38</v>
      </c>
      <c r="F111">
        <f ca="1">BINOMDIST(Worksheet!$A$23,Worksheet!$B$15,$P111,1)</f>
        <v>3.5658317025437607E-36</v>
      </c>
      <c r="G111">
        <f ca="1">BINOMDIST(Worksheet!$A$24,Worksheet!$B$15,$P111,1)</f>
        <v>2.0913752397727906E-34</v>
      </c>
      <c r="H111">
        <f ca="1">BINOMDIST(Worksheet!$A$25,Worksheet!$B$15,$P111,1)</f>
        <v>8.1236476765546622E-33</v>
      </c>
      <c r="I111">
        <f ca="1">BINOMDIST(Worksheet!$A$26,Worksheet!$B$15,$P111,1)</f>
        <v>2.3510049240939759E-31</v>
      </c>
      <c r="J111">
        <f ca="1">BINOMDIST(Worksheet!$A$27,Worksheet!$B$15,$P111,1)</f>
        <v>5.4069300259648606E-30</v>
      </c>
      <c r="K111">
        <f ca="1">BINOMDIST(Worksheet!$A$28,Worksheet!$B$15,$P111,1)</f>
        <v>1.0293285837301169E-28</v>
      </c>
      <c r="L111">
        <f ca="1">BINOMDIST(Worksheet!$A$29,Worksheet!$B$15,$P111,1)</f>
        <v>1.6683235245965196E-27</v>
      </c>
      <c r="M111">
        <f ca="1">BINOMDIST(Worksheet!$A$30,Worksheet!$B$15,$P111,1)</f>
        <v>2.3499932637463866E-26</v>
      </c>
      <c r="N111">
        <f ca="1">BINOMDIST(Worksheet!$A$31,Worksheet!$B$15,$P111,1)</f>
        <v>2.9223664481251961E-25</v>
      </c>
      <c r="O111">
        <f ca="1">BINOMDIST(Worksheet!$A$32,Worksheet!$B$15,$P111,1)</f>
        <v>3.2483404787381156E-24</v>
      </c>
      <c r="P111">
        <v>0.44</v>
      </c>
    </row>
    <row r="112" spans="5:16" x14ac:dyDescent="0.2">
      <c r="E112">
        <f ca="1">BINOMDIST(Worksheet!$A$22,Worksheet!$B$15,$P112,1)</f>
        <v>3.9397287994625618E-38</v>
      </c>
      <c r="F112">
        <f ca="1">BINOMDIST(Worksheet!$A$23,Worksheet!$B$15,$P112,1)</f>
        <v>4.6330087051362328E-36</v>
      </c>
      <c r="G112">
        <f ca="1">BINOMDIST(Worksheet!$A$24,Worksheet!$B$15,$P112,1)</f>
        <v>2.7063668160578322E-34</v>
      </c>
      <c r="H112">
        <f ca="1">BINOMDIST(Worksheet!$A$25,Worksheet!$B$15,$P112,1)</f>
        <v>1.047028910186561E-32</v>
      </c>
      <c r="I112">
        <f ca="1">BINOMDIST(Worksheet!$A$26,Worksheet!$B$15,$P112,1)</f>
        <v>3.0179672503062523E-31</v>
      </c>
      <c r="J112">
        <f ca="1">BINOMDIST(Worksheet!$A$27,Worksheet!$B$15,$P112,1)</f>
        <v>6.9129854163123661E-30</v>
      </c>
      <c r="K112">
        <f ca="1">BINOMDIST(Worksheet!$A$28,Worksheet!$B$15,$P112,1)</f>
        <v>1.3107605859161301E-28</v>
      </c>
      <c r="L112">
        <f ca="1">BINOMDIST(Worksheet!$A$29,Worksheet!$B$15,$P112,1)</f>
        <v>2.1159462507805353E-27</v>
      </c>
      <c r="M112">
        <f ca="1">BINOMDIST(Worksheet!$A$30,Worksheet!$B$15,$P112,1)</f>
        <v>2.9685651696563405E-26</v>
      </c>
      <c r="N112">
        <f ca="1">BINOMDIST(Worksheet!$A$31,Worksheet!$B$15,$P112,1)</f>
        <v>3.6768073931559605E-25</v>
      </c>
      <c r="O112">
        <f ca="1">BINOMDIST(Worksheet!$A$32,Worksheet!$B$15,$P112,1)</f>
        <v>4.0705645334449833E-24</v>
      </c>
      <c r="P112">
        <v>0.439</v>
      </c>
    </row>
    <row r="113" spans="5:16" x14ac:dyDescent="0.2">
      <c r="E113">
        <f ca="1">BINOMDIST(Worksheet!$A$22,Worksheet!$B$15,$P113,1)</f>
        <v>5.1370171992707396E-38</v>
      </c>
      <c r="F113">
        <f ca="1">BINOMDIST(Worksheet!$A$23,Worksheet!$B$15,$P113,1)</f>
        <v>6.0167085431458546E-36</v>
      </c>
      <c r="G113">
        <f ca="1">BINOMDIST(Worksheet!$A$24,Worksheet!$B$15,$P113,1)</f>
        <v>3.5005326954993314E-34</v>
      </c>
      <c r="H113">
        <f ca="1">BINOMDIST(Worksheet!$A$25,Worksheet!$B$15,$P113,1)</f>
        <v>1.3488332045933786E-32</v>
      </c>
      <c r="I113">
        <f ca="1">BINOMDIST(Worksheet!$A$26,Worksheet!$B$15,$P113,1)</f>
        <v>3.8722794556559045E-31</v>
      </c>
      <c r="J113">
        <f ca="1">BINOMDIST(Worksheet!$A$27,Worksheet!$B$15,$P113,1)</f>
        <v>8.8342752247946225E-30</v>
      </c>
      <c r="K113">
        <f ca="1">BINOMDIST(Worksheet!$A$28,Worksheet!$B$15,$P113,1)</f>
        <v>1.6683313821279254E-28</v>
      </c>
      <c r="L113">
        <f ca="1">BINOMDIST(Worksheet!$A$29,Worksheet!$B$15,$P113,1)</f>
        <v>2.6823646034874119E-27</v>
      </c>
      <c r="M113">
        <f ca="1">BINOMDIST(Worksheet!$A$30,Worksheet!$B$15,$P113,1)</f>
        <v>3.7481295878891996E-26</v>
      </c>
      <c r="N113">
        <f ca="1">BINOMDIST(Worksheet!$A$31,Worksheet!$B$15,$P113,1)</f>
        <v>4.6237500835545439E-25</v>
      </c>
      <c r="O113">
        <f ca="1">BINOMDIST(Worksheet!$A$32,Worksheet!$B$15,$P113,1)</f>
        <v>5.0984039138826018E-24</v>
      </c>
      <c r="P113">
        <v>0.438</v>
      </c>
    </row>
    <row r="114" spans="5:16" x14ac:dyDescent="0.2">
      <c r="E114">
        <f ca="1">BINOMDIST(Worksheet!$A$22,Worksheet!$B$15,$P114,1)</f>
        <v>6.6950038771160323E-38</v>
      </c>
      <c r="F114">
        <f ca="1">BINOMDIST(Worksheet!$A$23,Worksheet!$B$15,$P114,1)</f>
        <v>7.8099658016602201E-36</v>
      </c>
      <c r="G114">
        <f ca="1">BINOMDIST(Worksheet!$A$24,Worksheet!$B$15,$P114,1)</f>
        <v>4.5255888896383772E-34</v>
      </c>
      <c r="H114">
        <f ca="1">BINOMDIST(Worksheet!$A$25,Worksheet!$B$15,$P114,1)</f>
        <v>1.736802725783006E-32</v>
      </c>
      <c r="I114">
        <f ca="1">BINOMDIST(Worksheet!$A$26,Worksheet!$B$15,$P114,1)</f>
        <v>4.9660457826600077E-31</v>
      </c>
      <c r="J114">
        <f ca="1">BINOMDIST(Worksheet!$A$27,Worksheet!$B$15,$P114,1)</f>
        <v>1.1284108682931409E-29</v>
      </c>
      <c r="K114">
        <f ca="1">BINOMDIST(Worksheet!$A$28,Worksheet!$B$15,$P114,1)</f>
        <v>2.1224208923307436E-28</v>
      </c>
      <c r="L114">
        <f ca="1">BINOMDIST(Worksheet!$A$29,Worksheet!$B$15,$P114,1)</f>
        <v>3.3987595118565094E-27</v>
      </c>
      <c r="M114">
        <f ca="1">BINOMDIST(Worksheet!$A$30,Worksheet!$B$15,$P114,1)</f>
        <v>4.7301102350105656E-26</v>
      </c>
      <c r="N114">
        <f ca="1">BINOMDIST(Worksheet!$A$31,Worksheet!$B$15,$P114,1)</f>
        <v>5.8117334601783622E-25</v>
      </c>
      <c r="O114">
        <f ca="1">BINOMDIST(Worksheet!$A$32,Worksheet!$B$15,$P114,1)</f>
        <v>6.3826482780945111E-24</v>
      </c>
      <c r="P114">
        <v>0.437</v>
      </c>
    </row>
    <row r="115" spans="5:16" x14ac:dyDescent="0.2">
      <c r="E115">
        <f ca="1">BINOMDIST(Worksheet!$A$22,Worksheet!$B$15,$P115,1)</f>
        <v>8.7214057836274989E-38</v>
      </c>
      <c r="F115">
        <f ca="1">BINOMDIST(Worksheet!$A$23,Worksheet!$B$15,$P115,1)</f>
        <v>1.0132912733857164E-35</v>
      </c>
      <c r="G115">
        <f ca="1">BINOMDIST(Worksheet!$A$24,Worksheet!$B$15,$P115,1)</f>
        <v>5.848038738741775E-34</v>
      </c>
      <c r="H115">
        <f ca="1">BINOMDIST(Worksheet!$A$25,Worksheet!$B$15,$P115,1)</f>
        <v>2.2353013827423348E-32</v>
      </c>
      <c r="I115">
        <f ca="1">BINOMDIST(Worksheet!$A$26,Worksheet!$B$15,$P115,1)</f>
        <v>6.3657161879335323E-31</v>
      </c>
      <c r="J115">
        <f ca="1">BINOMDIST(Worksheet!$A$27,Worksheet!$B$15,$P115,1)</f>
        <v>1.4406394386859258E-29</v>
      </c>
      <c r="K115">
        <f ca="1">BINOMDIST(Worksheet!$A$28,Worksheet!$B$15,$P115,1)</f>
        <v>2.6988055297735684E-28</v>
      </c>
      <c r="L115">
        <f ca="1">BINOMDIST(Worksheet!$A$29,Worksheet!$B$15,$P115,1)</f>
        <v>4.304405081802206E-27</v>
      </c>
      <c r="M115">
        <f ca="1">BINOMDIST(Worksheet!$A$30,Worksheet!$B$15,$P115,1)</f>
        <v>5.9664662756581085E-26</v>
      </c>
      <c r="N115">
        <f ca="1">BINOMDIST(Worksheet!$A$31,Worksheet!$B$15,$P115,1)</f>
        <v>7.3013889459557595E-25</v>
      </c>
      <c r="O115">
        <f ca="1">BINOMDIST(Worksheet!$A$32,Worksheet!$B$15,$P115,1)</f>
        <v>7.9864770349239391E-24</v>
      </c>
      <c r="P115">
        <v>0.436</v>
      </c>
    </row>
    <row r="116" spans="5:16" x14ac:dyDescent="0.2">
      <c r="E116">
        <f ca="1">BINOMDIST(Worksheet!$A$22,Worksheet!$B$15,$P116,1)</f>
        <v>1.1355825887103293E-37</v>
      </c>
      <c r="F116">
        <f ca="1">BINOMDIST(Worksheet!$A$23,Worksheet!$B$15,$P116,1)</f>
        <v>1.3140599938032093E-35</v>
      </c>
      <c r="G116">
        <f ca="1">BINOMDIST(Worksheet!$A$24,Worksheet!$B$15,$P116,1)</f>
        <v>7.5533612498615898E-34</v>
      </c>
      <c r="H116">
        <f ca="1">BINOMDIST(Worksheet!$A$25,Worksheet!$B$15,$P116,1)</f>
        <v>2.8755154915076335E-32</v>
      </c>
      <c r="I116">
        <f ca="1">BINOMDIST(Worksheet!$A$26,Worksheet!$B$15,$P116,1)</f>
        <v>8.1559962011800289E-31</v>
      </c>
      <c r="J116">
        <f ca="1">BINOMDIST(Worksheet!$A$27,Worksheet!$B$15,$P116,1)</f>
        <v>1.8383817192746322E-29</v>
      </c>
      <c r="K116">
        <f ca="1">BINOMDIST(Worksheet!$A$28,Worksheet!$B$15,$P116,1)</f>
        <v>3.4300716490644227E-28</v>
      </c>
      <c r="L116">
        <f ca="1">BINOMDIST(Worksheet!$A$29,Worksheet!$B$15,$P116,1)</f>
        <v>5.4487455579609638E-27</v>
      </c>
      <c r="M116">
        <f ca="1">BINOMDIST(Worksheet!$A$30,Worksheet!$B$15,$P116,1)</f>
        <v>7.5223404969238651E-26</v>
      </c>
      <c r="N116">
        <f ca="1">BINOMDIST(Worksheet!$A$31,Worksheet!$B$15,$P116,1)</f>
        <v>9.168416419389051E-25</v>
      </c>
      <c r="O116">
        <f ca="1">BINOMDIST(Worksheet!$A$32,Worksheet!$B$15,$P116,1)</f>
        <v>9.988443523611872E-24</v>
      </c>
      <c r="P116">
        <v>0.435</v>
      </c>
    </row>
    <row r="117" spans="5:16" x14ac:dyDescent="0.2">
      <c r="E117">
        <f ca="1">BINOMDIST(Worksheet!$A$22,Worksheet!$B$15,$P117,1)</f>
        <v>1.4779108825229375E-37</v>
      </c>
      <c r="F117">
        <f ca="1">BINOMDIST(Worksheet!$A$23,Worksheet!$B$15,$P117,1)</f>
        <v>1.7033053478575415E-35</v>
      </c>
      <c r="G117">
        <f ca="1">BINOMDIST(Worksheet!$A$24,Worksheet!$B$15,$P117,1)</f>
        <v>9.7513744734361982E-34</v>
      </c>
      <c r="H117">
        <f ca="1">BINOMDIST(Worksheet!$A$25,Worksheet!$B$15,$P117,1)</f>
        <v>3.6973455539099715E-32</v>
      </c>
      <c r="I117">
        <f ca="1">BINOMDIST(Worksheet!$A$26,Worksheet!$B$15,$P117,1)</f>
        <v>1.0444811532272879E-30</v>
      </c>
      <c r="J117">
        <f ca="1">BINOMDIST(Worksheet!$A$27,Worksheet!$B$15,$P117,1)</f>
        <v>2.3448177059770542E-29</v>
      </c>
      <c r="K117">
        <f ca="1">BINOMDIST(Worksheet!$A$28,Worksheet!$B$15,$P117,1)</f>
        <v>4.3573951374272729E-28</v>
      </c>
      <c r="L117">
        <f ca="1">BINOMDIST(Worksheet!$A$29,Worksheet!$B$15,$P117,1)</f>
        <v>6.8939992152110674E-27</v>
      </c>
      <c r="M117">
        <f ca="1">BINOMDIST(Worksheet!$A$30,Worksheet!$B$15,$P117,1)</f>
        <v>9.4793652236875272E-26</v>
      </c>
      <c r="N117">
        <f ca="1">BINOMDIST(Worksheet!$A$31,Worksheet!$B$15,$P117,1)</f>
        <v>1.150728353259193E-24</v>
      </c>
      <c r="O117">
        <f ca="1">BINOMDIST(Worksheet!$A$32,Worksheet!$B$15,$P117,1)</f>
        <v>1.24861687126436E-23</v>
      </c>
      <c r="P117">
        <v>0.434</v>
      </c>
    </row>
    <row r="118" spans="5:16" x14ac:dyDescent="0.2">
      <c r="E118">
        <f ca="1">BINOMDIST(Worksheet!$A$22,Worksheet!$B$15,$P118,1)</f>
        <v>1.9225417292355705E-37</v>
      </c>
      <c r="F118">
        <f ca="1">BINOMDIST(Worksheet!$A$23,Worksheet!$B$15,$P118,1)</f>
        <v>2.2068202099747415E-35</v>
      </c>
      <c r="G118">
        <f ca="1">BINOMDIST(Worksheet!$A$24,Worksheet!$B$15,$P118,1)</f>
        <v>1.2583100424371201E-33</v>
      </c>
      <c r="H118">
        <f ca="1">BINOMDIST(Worksheet!$A$25,Worksheet!$B$15,$P118,1)</f>
        <v>4.7518174462962779E-32</v>
      </c>
      <c r="I118">
        <f ca="1">BINOMDIST(Worksheet!$A$26,Worksheet!$B$15,$P118,1)</f>
        <v>1.3369609032710713E-30</v>
      </c>
      <c r="J118">
        <f ca="1">BINOMDIST(Worksheet!$A$27,Worksheet!$B$15,$P118,1)</f>
        <v>2.9893455340031967E-29</v>
      </c>
      <c r="K118">
        <f ca="1">BINOMDIST(Worksheet!$A$28,Worksheet!$B$15,$P118,1)</f>
        <v>5.5327809411749039E-28</v>
      </c>
      <c r="L118">
        <f ca="1">BINOMDIST(Worksheet!$A$29,Worksheet!$B$15,$P118,1)</f>
        <v>8.7184213162040317E-27</v>
      </c>
      <c r="M118">
        <f ca="1">BINOMDIST(Worksheet!$A$30,Worksheet!$B$15,$P118,1)</f>
        <v>1.1939787373093352E-25</v>
      </c>
      <c r="N118">
        <f ca="1">BINOMDIST(Worksheet!$A$31,Worksheet!$B$15,$P118,1)</f>
        <v>1.4435821983001044E-24</v>
      </c>
      <c r="O118">
        <f ca="1">BINOMDIST(Worksheet!$A$32,Worksheet!$B$15,$P118,1)</f>
        <v>1.560091090295322E-23</v>
      </c>
      <c r="P118">
        <v>0.433</v>
      </c>
    </row>
    <row r="119" spans="5:16" x14ac:dyDescent="0.2">
      <c r="E119">
        <f ca="1">BINOMDIST(Worksheet!$A$22,Worksheet!$B$15,$P119,1)</f>
        <v>2.4997813346101564E-37</v>
      </c>
      <c r="F119">
        <f ca="1">BINOMDIST(Worksheet!$A$23,Worksheet!$B$15,$P119,1)</f>
        <v>2.8578486046522139E-35</v>
      </c>
      <c r="G119">
        <f ca="1">BINOMDIST(Worksheet!$A$24,Worksheet!$B$15,$P119,1)</f>
        <v>1.6229547905619096E-33</v>
      </c>
      <c r="H119">
        <f ca="1">BINOMDIST(Worksheet!$A$25,Worksheet!$B$15,$P119,1)</f>
        <v>6.1041542139121411E-32</v>
      </c>
      <c r="I119">
        <f ca="1">BINOMDIST(Worksheet!$A$26,Worksheet!$B$15,$P119,1)</f>
        <v>1.7105350021955908E-30</v>
      </c>
      <c r="J119">
        <f ca="1">BINOMDIST(Worksheet!$A$27,Worksheet!$B$15,$P119,1)</f>
        <v>3.8092320332455279E-29</v>
      </c>
      <c r="K119">
        <f ca="1">BINOMDIST(Worksheet!$A$28,Worksheet!$B$15,$P119,1)</f>
        <v>7.0218800748761906E-28</v>
      </c>
      <c r="L119">
        <f ca="1">BINOMDIST(Worksheet!$A$29,Worksheet!$B$15,$P119,1)</f>
        <v>1.1020391017974927E-26</v>
      </c>
      <c r="M119">
        <f ca="1">BINOMDIST(Worksheet!$A$30,Worksheet!$B$15,$P119,1)</f>
        <v>1.5031613165955381E-25</v>
      </c>
      <c r="N119">
        <f ca="1">BINOMDIST(Worksheet!$A$31,Worksheet!$B$15,$P119,1)</f>
        <v>1.8100935483183695E-24</v>
      </c>
      <c r="O119">
        <f ca="1">BINOMDIST(Worksheet!$A$32,Worksheet!$B$15,$P119,1)</f>
        <v>1.9483216463727764E-23</v>
      </c>
      <c r="P119">
        <v>0.432</v>
      </c>
    </row>
    <row r="120" spans="5:16" x14ac:dyDescent="0.2">
      <c r="E120">
        <f ca="1">BINOMDIST(Worksheet!$A$22,Worksheet!$B$15,$P120,1)</f>
        <v>3.2488352817522455E-37</v>
      </c>
      <c r="F120">
        <f ca="1">BINOMDIST(Worksheet!$A$23,Worksheet!$B$15,$P120,1)</f>
        <v>3.6992186332893358E-35</v>
      </c>
      <c r="G120">
        <f ca="1">BINOMDIST(Worksheet!$A$24,Worksheet!$B$15,$P120,1)</f>
        <v>2.0922943931056122E-33</v>
      </c>
      <c r="H120">
        <f ca="1">BINOMDIST(Worksheet!$A$25,Worksheet!$B$15,$P120,1)</f>
        <v>7.8376876651161065E-32</v>
      </c>
      <c r="I120">
        <f ca="1">BINOMDIST(Worksheet!$A$26,Worksheet!$B$15,$P120,1)</f>
        <v>2.1874645845467601E-30</v>
      </c>
      <c r="J120">
        <f ca="1">BINOMDIST(Worksheet!$A$27,Worksheet!$B$15,$P120,1)</f>
        <v>4.851696767942727E-29</v>
      </c>
      <c r="K120">
        <f ca="1">BINOMDIST(Worksheet!$A$28,Worksheet!$B$15,$P120,1)</f>
        <v>8.907531364200999E-28</v>
      </c>
      <c r="L120">
        <f ca="1">BINOMDIST(Worksheet!$A$29,Worksheet!$B$15,$P120,1)</f>
        <v>1.3923527876062013E-26</v>
      </c>
      <c r="M120">
        <f ca="1">BINOMDIST(Worksheet!$A$30,Worksheet!$B$15,$P120,1)</f>
        <v>1.8915021496208443E-25</v>
      </c>
      <c r="N120">
        <f ca="1">BINOMDIST(Worksheet!$A$31,Worksheet!$B$15,$P120,1)</f>
        <v>2.2685684928188738E-24</v>
      </c>
      <c r="O120">
        <f ca="1">BINOMDIST(Worksheet!$A$32,Worksheet!$B$15,$P120,1)</f>
        <v>2.4319903973641073E-23</v>
      </c>
      <c r="P120">
        <v>0.43099999999999999</v>
      </c>
    </row>
    <row r="121" spans="5:16" x14ac:dyDescent="0.2">
      <c r="E121">
        <f ca="1">BINOMDIST(Worksheet!$A$22,Worksheet!$B$15,$P121,1)</f>
        <v>4.2203988419910794E-37</v>
      </c>
      <c r="F121">
        <f ca="1">BINOMDIST(Worksheet!$A$23,Worksheet!$B$15,$P121,1)</f>
        <v>4.7860803709877374E-35</v>
      </c>
      <c r="G121">
        <f ca="1">BINOMDIST(Worksheet!$A$24,Worksheet!$B$15,$P121,1)</f>
        <v>2.6961089878030128E-33</v>
      </c>
      <c r="H121">
        <f ca="1">BINOMDIST(Worksheet!$A$25,Worksheet!$B$15,$P121,1)</f>
        <v>1.0058837081033378E-31</v>
      </c>
      <c r="I121">
        <f ca="1">BINOMDIST(Worksheet!$A$26,Worksheet!$B$15,$P121,1)</f>
        <v>2.7960603871342369E-30</v>
      </c>
      <c r="J121">
        <f ca="1">BINOMDIST(Worksheet!$A$27,Worksheet!$B$15,$P121,1)</f>
        <v>6.1765421867061742E-29</v>
      </c>
      <c r="K121">
        <f ca="1">BINOMDIST(Worksheet!$A$28,Worksheet!$B$15,$P121,1)</f>
        <v>1.1294212297141737E-27</v>
      </c>
      <c r="L121">
        <f ca="1">BINOMDIST(Worksheet!$A$29,Worksheet!$B$15,$P121,1)</f>
        <v>1.7583094318566089E-26</v>
      </c>
      <c r="M121">
        <f ca="1">BINOMDIST(Worksheet!$A$30,Worksheet!$B$15,$P121,1)</f>
        <v>2.3790355019692156E-25</v>
      </c>
      <c r="N121">
        <f ca="1">BINOMDIST(Worksheet!$A$31,Worksheet!$B$15,$P121,1)</f>
        <v>2.8418078854609599E-24</v>
      </c>
      <c r="O121">
        <f ca="1">BINOMDIST(Worksheet!$A$32,Worksheet!$B$15,$P121,1)</f>
        <v>3.0342692268425134E-23</v>
      </c>
      <c r="P121">
        <v>0.43</v>
      </c>
    </row>
    <row r="122" spans="5:16" x14ac:dyDescent="0.2">
      <c r="E122">
        <f ca="1">BINOMDIST(Worksheet!$A$22,Worksheet!$B$15,$P122,1)</f>
        <v>5.4799945760459204E-37</v>
      </c>
      <c r="F122">
        <f ca="1">BINOMDIST(Worksheet!$A$23,Worksheet!$B$15,$P122,1)</f>
        <v>6.189418742528018E-35</v>
      </c>
      <c r="G122">
        <f ca="1">BINOMDIST(Worksheet!$A$24,Worksheet!$B$15,$P122,1)</f>
        <v>3.4725703401780776E-33</v>
      </c>
      <c r="H122">
        <f ca="1">BINOMDIST(Worksheet!$A$25,Worksheet!$B$15,$P122,1)</f>
        <v>1.2903443269922574E-31</v>
      </c>
      <c r="I122">
        <f ca="1">BINOMDIST(Worksheet!$A$26,Worksheet!$B$15,$P122,1)</f>
        <v>3.5723101275313412E-30</v>
      </c>
      <c r="J122">
        <f ca="1">BINOMDIST(Worksheet!$A$27,Worksheet!$B$15,$P122,1)</f>
        <v>7.8594714539802397E-29</v>
      </c>
      <c r="K122">
        <f ca="1">BINOMDIST(Worksheet!$A$28,Worksheet!$B$15,$P122,1)</f>
        <v>1.4313629734342657E-27</v>
      </c>
      <c r="L122">
        <f ca="1">BINOMDIST(Worksheet!$A$29,Worksheet!$B$15,$P122,1)</f>
        <v>2.2194003548465088E-26</v>
      </c>
      <c r="M122">
        <f ca="1">BINOMDIST(Worksheet!$A$30,Worksheet!$B$15,$P122,1)</f>
        <v>2.9908072389648191E-25</v>
      </c>
      <c r="N122">
        <f ca="1">BINOMDIST(Worksheet!$A$31,Worksheet!$B$15,$P122,1)</f>
        <v>3.5581974444901925E-24</v>
      </c>
      <c r="O122">
        <f ca="1">BINOMDIST(Worksheet!$A$32,Worksheet!$B$15,$P122,1)</f>
        <v>3.7838854228878518E-23</v>
      </c>
      <c r="P122">
        <v>0.42899999999999999</v>
      </c>
    </row>
    <row r="123" spans="5:16" x14ac:dyDescent="0.2">
      <c r="E123">
        <f ca="1">BINOMDIST(Worksheet!$A$22,Worksheet!$B$15,$P123,1)</f>
        <v>7.1122708999559833E-37</v>
      </c>
      <c r="F123">
        <f ca="1">BINOMDIST(Worksheet!$A$23,Worksheet!$B$15,$P123,1)</f>
        <v>8.0005587200484123E-35</v>
      </c>
      <c r="G123">
        <f ca="1">BINOMDIST(Worksheet!$A$24,Worksheet!$B$15,$P123,1)</f>
        <v>4.4705842120595378E-33</v>
      </c>
      <c r="H123">
        <f ca="1">BINOMDIST(Worksheet!$A$25,Worksheet!$B$15,$P123,1)</f>
        <v>1.6544823267455067E-31</v>
      </c>
      <c r="I123">
        <f ca="1">BINOMDIST(Worksheet!$A$26,Worksheet!$B$15,$P123,1)</f>
        <v>4.5619391842147992E-30</v>
      </c>
      <c r="J123">
        <f ca="1">BINOMDIST(Worksheet!$A$27,Worksheet!$B$15,$P123,1)</f>
        <v>9.9962718363440783E-29</v>
      </c>
      <c r="K123">
        <f ca="1">BINOMDIST(Worksheet!$A$28,Worksheet!$B$15,$P123,1)</f>
        <v>1.8131739136938931E-27</v>
      </c>
      <c r="L123">
        <f ca="1">BINOMDIST(Worksheet!$A$29,Worksheet!$B$15,$P123,1)</f>
        <v>2.8000830756602074E-26</v>
      </c>
      <c r="M123">
        <f ca="1">BINOMDIST(Worksheet!$A$30,Worksheet!$B$15,$P123,1)</f>
        <v>3.7581137102858707E-25</v>
      </c>
      <c r="N123">
        <f ca="1">BINOMDIST(Worksheet!$A$31,Worksheet!$B$15,$P123,1)</f>
        <v>4.453058939857959E-24</v>
      </c>
      <c r="O123">
        <f ca="1">BINOMDIST(Worksheet!$A$32,Worksheet!$B$15,$P123,1)</f>
        <v>4.7164365639902467E-23</v>
      </c>
      <c r="P123">
        <v>0.42799999999999999</v>
      </c>
    </row>
    <row r="124" spans="5:16" x14ac:dyDescent="0.2">
      <c r="E124">
        <f ca="1">BINOMDIST(Worksheet!$A$22,Worksheet!$B$15,$P124,1)</f>
        <v>9.2265358413596826E-37</v>
      </c>
      <c r="F124">
        <f ca="1">BINOMDIST(Worksheet!$A$23,Worksheet!$B$15,$P124,1)</f>
        <v>1.0336940573681156E-34</v>
      </c>
      <c r="G124">
        <f ca="1">BINOMDIST(Worksheet!$A$24,Worksheet!$B$15,$P124,1)</f>
        <v>5.7527803560339038E-33</v>
      </c>
      <c r="H124">
        <f ca="1">BINOMDIST(Worksheet!$A$25,Worksheet!$B$15,$P124,1)</f>
        <v>2.1204008456731784E-31</v>
      </c>
      <c r="I124">
        <f ca="1">BINOMDIST(Worksheet!$A$26,Worksheet!$B$15,$P124,1)</f>
        <v>5.8230187578394896E-30</v>
      </c>
      <c r="J124">
        <f ca="1">BINOMDIST(Worksheet!$A$27,Worksheet!$B$15,$P124,1)</f>
        <v>1.2708087026068255E-28</v>
      </c>
      <c r="K124">
        <f ca="1">BINOMDIST(Worksheet!$A$28,Worksheet!$B$15,$P124,1)</f>
        <v>2.2957553243639124E-27</v>
      </c>
      <c r="L124">
        <f ca="1">BINOMDIST(Worksheet!$A$29,Worksheet!$B$15,$P124,1)</f>
        <v>3.5310322973827076E-26</v>
      </c>
      <c r="M124">
        <f ca="1">BINOMDIST(Worksheet!$A$30,Worksheet!$B$15,$P124,1)</f>
        <v>4.7200432272460014E-25</v>
      </c>
      <c r="N124">
        <f ca="1">BINOMDIST(Worksheet!$A$31,Worksheet!$B$15,$P124,1)</f>
        <v>5.5703242069585886E-24</v>
      </c>
      <c r="O124">
        <f ca="1">BINOMDIST(Worksheet!$A$32,Worksheet!$B$15,$P124,1)</f>
        <v>5.8760125721707566E-23</v>
      </c>
      <c r="P124">
        <v>0.42699999999999999</v>
      </c>
    </row>
    <row r="125" spans="5:16" x14ac:dyDescent="0.2">
      <c r="E125">
        <f ca="1">BINOMDIST(Worksheet!$A$22,Worksheet!$B$15,$P125,1)</f>
        <v>1.1963877767893755E-36</v>
      </c>
      <c r="F125">
        <f ca="1">BINOMDIST(Worksheet!$A$23,Worksheet!$B$15,$P125,1)</f>
        <v>1.3349519917736088E-34</v>
      </c>
      <c r="G125">
        <f ca="1">BINOMDIST(Worksheet!$A$24,Worksheet!$B$15,$P125,1)</f>
        <v>7.3993274824380829E-33</v>
      </c>
      <c r="H125">
        <f ca="1">BINOMDIST(Worksheet!$A$25,Worksheet!$B$15,$P125,1)</f>
        <v>2.7162752100296692E-31</v>
      </c>
      <c r="I125">
        <f ca="1">BINOMDIST(Worksheet!$A$26,Worksheet!$B$15,$P125,1)</f>
        <v>7.429265467084294E-30</v>
      </c>
      <c r="J125">
        <f ca="1">BINOMDIST(Worksheet!$A$27,Worksheet!$B$15,$P125,1)</f>
        <v>1.6148058809058528E-28</v>
      </c>
      <c r="K125">
        <f ca="1">BINOMDIST(Worksheet!$A$28,Worksheet!$B$15,$P125,1)</f>
        <v>2.9054191290359935E-27</v>
      </c>
      <c r="L125">
        <f ca="1">BINOMDIST(Worksheet!$A$29,Worksheet!$B$15,$P125,1)</f>
        <v>4.4507023916818901E-26</v>
      </c>
      <c r="M125">
        <f ca="1">BINOMDIST(Worksheet!$A$30,Worksheet!$B$15,$P125,1)</f>
        <v>5.9253931416564043E-25</v>
      </c>
      <c r="N125">
        <f ca="1">BINOMDIST(Worksheet!$A$31,Worksheet!$B$15,$P125,1)</f>
        <v>6.9646081384175723E-24</v>
      </c>
      <c r="O125">
        <f ca="1">BINOMDIST(Worksheet!$A$32,Worksheet!$B$15,$P125,1)</f>
        <v>7.3171957385522663E-23</v>
      </c>
      <c r="P125">
        <v>0.42599999999999999</v>
      </c>
    </row>
    <row r="126" spans="5:16" x14ac:dyDescent="0.2">
      <c r="E126">
        <f ca="1">BINOMDIST(Worksheet!$A$22,Worksheet!$B$15,$P126,1)</f>
        <v>1.5506324163291572E-36</v>
      </c>
      <c r="F126">
        <f ca="1">BINOMDIST(Worksheet!$A$23,Worksheet!$B$15,$P126,1)</f>
        <v>1.7232245461466672E-34</v>
      </c>
      <c r="G126">
        <f ca="1">BINOMDIST(Worksheet!$A$24,Worksheet!$B$15,$P126,1)</f>
        <v>9.5127986426802744E-33</v>
      </c>
      <c r="H126">
        <f ca="1">BINOMDIST(Worksheet!$A$25,Worksheet!$B$15,$P126,1)</f>
        <v>3.4780047971479103E-31</v>
      </c>
      <c r="I126">
        <f ca="1">BINOMDIST(Worksheet!$A$26,Worksheet!$B$15,$P126,1)</f>
        <v>9.4742137886384889E-30</v>
      </c>
      <c r="J126">
        <f ca="1">BINOMDIST(Worksheet!$A$27,Worksheet!$B$15,$P126,1)</f>
        <v>2.0509689906252499E-28</v>
      </c>
      <c r="K126">
        <f ca="1">BINOMDIST(Worksheet!$A$28,Worksheet!$B$15,$P126,1)</f>
        <v>3.6752732291384298E-27</v>
      </c>
      <c r="L126">
        <f ca="1">BINOMDIST(Worksheet!$A$29,Worksheet!$B$15,$P126,1)</f>
        <v>5.6072780424259773E-26</v>
      </c>
      <c r="M126">
        <f ca="1">BINOMDIST(Worksheet!$A$30,Worksheet!$B$15,$P126,1)</f>
        <v>7.4350529329938551E-25</v>
      </c>
      <c r="N126">
        <f ca="1">BINOMDIST(Worksheet!$A$31,Worksheet!$B$15,$P126,1)</f>
        <v>8.703774536592514E-24</v>
      </c>
      <c r="O126">
        <f ca="1">BINOMDIST(Worksheet!$A$32,Worksheet!$B$15,$P126,1)</f>
        <v>9.1075256271538847E-23</v>
      </c>
      <c r="P126">
        <v>0.42499999999999999</v>
      </c>
    </row>
    <row r="127" spans="5:16" x14ac:dyDescent="0.2">
      <c r="E127">
        <f ca="1">BINOMDIST(Worksheet!$A$22,Worksheet!$B$15,$P127,1)</f>
        <v>2.0088616596035046E-36</v>
      </c>
      <c r="F127">
        <f ca="1">BINOMDIST(Worksheet!$A$23,Worksheet!$B$15,$P127,1)</f>
        <v>2.2234192451917138E-34</v>
      </c>
      <c r="G127">
        <f ca="1">BINOMDIST(Worksheet!$A$24,Worksheet!$B$15,$P127,1)</f>
        <v>1.2224373487508501E-32</v>
      </c>
      <c r="H127">
        <f ca="1">BINOMDIST(Worksheet!$A$25,Worksheet!$B$15,$P127,1)</f>
        <v>4.4513098416921788E-31</v>
      </c>
      <c r="I127">
        <f ca="1">BINOMDIST(Worksheet!$A$26,Worksheet!$B$15,$P127,1)</f>
        <v>1.2076489850332734E-29</v>
      </c>
      <c r="J127">
        <f ca="1">BINOMDIST(Worksheet!$A$27,Worksheet!$B$15,$P127,1)</f>
        <v>2.6037369231273828E-28</v>
      </c>
      <c r="K127">
        <f ca="1">BINOMDIST(Worksheet!$A$28,Worksheet!$B$15,$P127,1)</f>
        <v>4.6469576024819377E-27</v>
      </c>
      <c r="L127">
        <f ca="1">BINOMDIST(Worksheet!$A$29,Worksheet!$B$15,$P127,1)</f>
        <v>7.0611083505601207E-26</v>
      </c>
      <c r="M127">
        <f ca="1">BINOMDIST(Worksheet!$A$30,Worksheet!$B$15,$P127,1)</f>
        <v>9.32496520218921E-25</v>
      </c>
      <c r="N127">
        <f ca="1">BINOMDIST(Worksheet!$A$31,Worksheet!$B$15,$P127,1)</f>
        <v>1.0872110514908264E-23</v>
      </c>
      <c r="O127">
        <f ca="1">BINOMDIST(Worksheet!$A$32,Worksheet!$B$15,$P127,1)</f>
        <v>1.1330535473795594E-22</v>
      </c>
      <c r="P127">
        <v>0.42399999999999999</v>
      </c>
    </row>
    <row r="128" spans="5:16" x14ac:dyDescent="0.2">
      <c r="E128">
        <f ca="1">BINOMDIST(Worksheet!$A$22,Worksheet!$B$15,$P128,1)</f>
        <v>2.601334256966277E-36</v>
      </c>
      <c r="F128">
        <f ca="1">BINOMDIST(Worksheet!$A$23,Worksheet!$B$15,$P128,1)</f>
        <v>2.8675089095334929E-34</v>
      </c>
      <c r="G128">
        <f ca="1">BINOMDIST(Worksheet!$A$24,Worksheet!$B$15,$P128,1)</f>
        <v>1.5701741226672881E-32</v>
      </c>
      <c r="H128">
        <f ca="1">BINOMDIST(Worksheet!$A$25,Worksheet!$B$15,$P128,1)</f>
        <v>5.6943918436091612E-31</v>
      </c>
      <c r="I128">
        <f ca="1">BINOMDIST(Worksheet!$A$26,Worksheet!$B$15,$P128,1)</f>
        <v>1.5386474285350755E-29</v>
      </c>
      <c r="J128">
        <f ca="1">BINOMDIST(Worksheet!$A$27,Worksheet!$B$15,$P128,1)</f>
        <v>3.3039612694365592E-28</v>
      </c>
      <c r="K128">
        <f ca="1">BINOMDIST(Worksheet!$A$28,Worksheet!$B$15,$P128,1)</f>
        <v>5.8728189931259047E-27</v>
      </c>
      <c r="L128">
        <f ca="1">BINOMDIST(Worksheet!$A$29,Worksheet!$B$15,$P128,1)</f>
        <v>8.8877428241082673E-26</v>
      </c>
      <c r="M128">
        <f ca="1">BINOMDIST(Worksheet!$A$30,Worksheet!$B$15,$P128,1)</f>
        <v>1.168980300660442E-24</v>
      </c>
      <c r="N128">
        <f ca="1">BINOMDIST(Worksheet!$A$31,Worksheet!$B$15,$P128,1)</f>
        <v>1.3574251939348627E-23</v>
      </c>
      <c r="O128">
        <f ca="1">BINOMDIST(Worksheet!$A$32,Worksheet!$B$15,$P128,1)</f>
        <v>1.4089490816865764E-22</v>
      </c>
      <c r="P128">
        <v>0.42299999999999999</v>
      </c>
    </row>
    <row r="129" spans="5:16" x14ac:dyDescent="0.2">
      <c r="E129">
        <f ca="1">BINOMDIST(Worksheet!$A$22,Worksheet!$B$15,$P129,1)</f>
        <v>3.3670372777871069E-36</v>
      </c>
      <c r="F129">
        <f ca="1">BINOMDIST(Worksheet!$A$23,Worksheet!$B$15,$P129,1)</f>
        <v>3.6965176037933979E-34</v>
      </c>
      <c r="G129">
        <f ca="1">BINOMDIST(Worksheet!$A$24,Worksheet!$B$15,$P129,1)</f>
        <v>2.0159166177360937E-32</v>
      </c>
      <c r="H129">
        <f ca="1">BINOMDIST(Worksheet!$A$25,Worksheet!$B$15,$P129,1)</f>
        <v>7.2813075634058287E-31</v>
      </c>
      <c r="I129">
        <f ca="1">BINOMDIST(Worksheet!$A$26,Worksheet!$B$15,$P129,1)</f>
        <v>1.959471622915058E-29</v>
      </c>
      <c r="J129">
        <f ca="1">BINOMDIST(Worksheet!$A$27,Worksheet!$B$15,$P129,1)</f>
        <v>4.1905712629186153E-28</v>
      </c>
      <c r="K129">
        <f ca="1">BINOMDIST(Worksheet!$A$28,Worksheet!$B$15,$P129,1)</f>
        <v>7.4186337510585833E-27</v>
      </c>
      <c r="L129">
        <f ca="1">BINOMDIST(Worksheet!$A$29,Worksheet!$B$15,$P129,1)</f>
        <v>1.1181716340952845E-25</v>
      </c>
      <c r="M129">
        <f ca="1">BINOMDIST(Worksheet!$A$30,Worksheet!$B$15,$P129,1)</f>
        <v>1.4647534720717687E-24</v>
      </c>
      <c r="N129">
        <f ca="1">BINOMDIST(Worksheet!$A$31,Worksheet!$B$15,$P129,1)</f>
        <v>1.6940035332513877E-23</v>
      </c>
      <c r="O129">
        <f ca="1">BINOMDIST(Worksheet!$A$32,Worksheet!$B$15,$P129,1)</f>
        <v>1.7511990597523474E-22</v>
      </c>
      <c r="P129">
        <v>0.42199999999999999</v>
      </c>
    </row>
    <row r="130" spans="5:16" x14ac:dyDescent="0.2">
      <c r="E130">
        <f ca="1">BINOMDIST(Worksheet!$A$22,Worksheet!$B$15,$P130,1)</f>
        <v>4.3561817916644916E-36</v>
      </c>
      <c r="F130">
        <f ca="1">BINOMDIST(Worksheet!$A$23,Worksheet!$B$15,$P130,1)</f>
        <v>4.763059704087974E-34</v>
      </c>
      <c r="G130">
        <f ca="1">BINOMDIST(Worksheet!$A$24,Worksheet!$B$15,$P130,1)</f>
        <v>2.5870302023220914E-32</v>
      </c>
      <c r="H130">
        <f ca="1">BINOMDIST(Worksheet!$A$25,Worksheet!$B$15,$P130,1)</f>
        <v>9.3062461044025609E-31</v>
      </c>
      <c r="I130">
        <f ca="1">BINOMDIST(Worksheet!$A$26,Worksheet!$B$15,$P130,1)</f>
        <v>2.4942553937366365E-29</v>
      </c>
      <c r="J130">
        <f ca="1">BINOMDIST(Worksheet!$A$27,Worksheet!$B$15,$P130,1)</f>
        <v>5.3126663882932185E-28</v>
      </c>
      <c r="K130">
        <f ca="1">BINOMDIST(Worksheet!$A$28,Worksheet!$B$15,$P130,1)</f>
        <v>9.3670154363221302E-27</v>
      </c>
      <c r="L130">
        <f ca="1">BINOMDIST(Worksheet!$A$29,Worksheet!$B$15,$P130,1)</f>
        <v>1.4061265690078149E-25</v>
      </c>
      <c r="M130">
        <f ca="1">BINOMDIST(Worksheet!$A$30,Worksheet!$B$15,$P130,1)</f>
        <v>1.8345088006892841E-24</v>
      </c>
      <c r="N130">
        <f ca="1">BINOMDIST(Worksheet!$A$31,Worksheet!$B$15,$P130,1)</f>
        <v>2.1130492103592694E-23</v>
      </c>
      <c r="O130">
        <f ca="1">BINOMDIST(Worksheet!$A$32,Worksheet!$B$15,$P130,1)</f>
        <v>2.1755627032002301E-22</v>
      </c>
      <c r="P130">
        <v>0.42099999999999999</v>
      </c>
    </row>
    <row r="131" spans="5:16" x14ac:dyDescent="0.2">
      <c r="E131">
        <f ca="1">BINOMDIST(Worksheet!$A$22,Worksheet!$B$15,$P131,1)</f>
        <v>5.6334058557313861E-36</v>
      </c>
      <c r="F131">
        <f ca="1">BINOMDIST(Worksheet!$A$23,Worksheet!$B$15,$P131,1)</f>
        <v>6.13458472151714E-34</v>
      </c>
      <c r="G131">
        <f ca="1">BINOMDIST(Worksheet!$A$24,Worksheet!$B$15,$P131,1)</f>
        <v>3.3184498231598733E-32</v>
      </c>
      <c r="H131">
        <f ca="1">BINOMDIST(Worksheet!$A$25,Worksheet!$B$15,$P131,1)</f>
        <v>1.1888948400409345E-30</v>
      </c>
      <c r="I131">
        <f ca="1">BINOMDIST(Worksheet!$A$26,Worksheet!$B$15,$P131,1)</f>
        <v>3.1735514736484453E-29</v>
      </c>
      <c r="J131">
        <f ca="1">BINOMDIST(Worksheet!$A$27,Worksheet!$B$15,$P131,1)</f>
        <v>6.7321453256179349E-28</v>
      </c>
      <c r="K131">
        <f ca="1">BINOMDIST(Worksheet!$A$28,Worksheet!$B$15,$P131,1)</f>
        <v>1.1821677463043103E-26</v>
      </c>
      <c r="L131">
        <f ca="1">BINOMDIST(Worksheet!$A$29,Worksheet!$B$15,$P131,1)</f>
        <v>1.767420428829206E-25</v>
      </c>
      <c r="M131">
        <f ca="1">BINOMDIST(Worksheet!$A$30,Worksheet!$B$15,$P131,1)</f>
        <v>2.2965374294436039E-24</v>
      </c>
      <c r="N131">
        <f ca="1">BINOMDIST(Worksheet!$A$31,Worksheet!$B$15,$P131,1)</f>
        <v>2.634525060801114E-23</v>
      </c>
      <c r="O131">
        <f ca="1">BINOMDIST(Worksheet!$A$32,Worksheet!$B$15,$P131,1)</f>
        <v>2.7014944628038753E-22</v>
      </c>
      <c r="P131">
        <v>0.42</v>
      </c>
    </row>
    <row r="132" spans="5:16" x14ac:dyDescent="0.2">
      <c r="E132">
        <f ca="1">BINOMDIST(Worksheet!$A$22,Worksheet!$B$15,$P132,1)</f>
        <v>7.2818834935105211E-36</v>
      </c>
      <c r="F132">
        <f ca="1">BINOMDIST(Worksheet!$A$23,Worksheet!$B$15,$P132,1)</f>
        <v>7.8975222494506719E-34</v>
      </c>
      <c r="G132">
        <f ca="1">BINOMDIST(Worksheet!$A$24,Worksheet!$B$15,$P132,1)</f>
        <v>4.2547541221583843E-32</v>
      </c>
      <c r="H132">
        <f ca="1">BINOMDIST(Worksheet!$A$25,Worksheet!$B$15,$P132,1)</f>
        <v>1.518157121066672E-30</v>
      </c>
      <c r="I132">
        <f ca="1">BINOMDIST(Worksheet!$A$26,Worksheet!$B$15,$P132,1)</f>
        <v>4.0360214107918073E-29</v>
      </c>
      <c r="J132">
        <f ca="1">BINOMDIST(Worksheet!$A$27,Worksheet!$B$15,$P132,1)</f>
        <v>8.5270072090178165E-28</v>
      </c>
      <c r="K132">
        <f ca="1">BINOMDIST(Worksheet!$A$28,Worksheet!$B$15,$P132,1)</f>
        <v>1.4912762917664292E-26</v>
      </c>
      <c r="L132">
        <f ca="1">BINOMDIST(Worksheet!$A$29,Worksheet!$B$15,$P132,1)</f>
        <v>2.2205236130552407E-25</v>
      </c>
      <c r="M132">
        <f ca="1">BINOMDIST(Worksheet!$A$30,Worksheet!$B$15,$P132,1)</f>
        <v>2.8735996558151563E-24</v>
      </c>
      <c r="N132">
        <f ca="1">BINOMDIST(Worksheet!$A$31,Worksheet!$B$15,$P132,1)</f>
        <v>3.2831672444557871E-23</v>
      </c>
      <c r="O132">
        <f ca="1">BINOMDIST(Worksheet!$A$32,Worksheet!$B$15,$P132,1)</f>
        <v>3.352999254200538E-22</v>
      </c>
      <c r="P132">
        <v>0.41899999999999998</v>
      </c>
    </row>
    <row r="133" spans="5:16" x14ac:dyDescent="0.2">
      <c r="E133">
        <f ca="1">BINOMDIST(Worksheet!$A$22,Worksheet!$B$15,$P133,1)</f>
        <v>9.4085936661191357E-36</v>
      </c>
      <c r="F133">
        <f ca="1">BINOMDIST(Worksheet!$A$23,Worksheet!$B$15,$P133,1)</f>
        <v>1.0162574436888547E-33</v>
      </c>
      <c r="G133">
        <f ca="1">BINOMDIST(Worksheet!$A$24,Worksheet!$B$15,$P133,1)</f>
        <v>5.4528024847302329E-32</v>
      </c>
      <c r="H133">
        <f ca="1">BINOMDIST(Worksheet!$A$25,Worksheet!$B$15,$P133,1)</f>
        <v>1.9377376811373701E-30</v>
      </c>
      <c r="I133">
        <f ca="1">BINOMDIST(Worksheet!$A$26,Worksheet!$B$15,$P133,1)</f>
        <v>5.1305658172576127E-29</v>
      </c>
      <c r="J133">
        <f ca="1">BINOMDIST(Worksheet!$A$27,Worksheet!$B$15,$P133,1)</f>
        <v>1.0795495279272589E-27</v>
      </c>
      <c r="K133">
        <f ca="1">BINOMDIST(Worksheet!$A$28,Worksheet!$B$15,$P133,1)</f>
        <v>1.8803505715863502E-26</v>
      </c>
      <c r="L133">
        <f ca="1">BINOMDIST(Worksheet!$A$29,Worksheet!$B$15,$P133,1)</f>
        <v>2.7885057424254749E-25</v>
      </c>
      <c r="M133">
        <f ca="1">BINOMDIST(Worksheet!$A$30,Worksheet!$B$15,$P133,1)</f>
        <v>3.5940038816887938E-24</v>
      </c>
      <c r="N133">
        <f ca="1">BINOMDIST(Worksheet!$A$31,Worksheet!$B$15,$P133,1)</f>
        <v>4.0896124086780155E-23</v>
      </c>
      <c r="O133">
        <f ca="1">BINOMDIST(Worksheet!$A$32,Worksheet!$B$15,$P133,1)</f>
        <v>4.1596830181907018E-22</v>
      </c>
      <c r="P133">
        <v>0.41799999999999998</v>
      </c>
    </row>
    <row r="134" spans="5:16" x14ac:dyDescent="0.2">
      <c r="E134">
        <f ca="1">BINOMDIST(Worksheet!$A$22,Worksheet!$B$15,$P134,1)</f>
        <v>1.2151073814439767E-35</v>
      </c>
      <c r="F134">
        <f ca="1">BINOMDIST(Worksheet!$A$23,Worksheet!$B$15,$P134,1)</f>
        <v>1.3071470760658801E-33</v>
      </c>
      <c r="G134">
        <f ca="1">BINOMDIST(Worksheet!$A$24,Worksheet!$B$15,$P134,1)</f>
        <v>6.9850863435370771E-32</v>
      </c>
      <c r="H134">
        <f ca="1">BINOMDIST(Worksheet!$A$25,Worksheet!$B$15,$P134,1)</f>
        <v>2.4721729155274655E-30</v>
      </c>
      <c r="I134">
        <f ca="1">BINOMDIST(Worksheet!$A$26,Worksheet!$B$15,$P134,1)</f>
        <v>6.5190085083396341E-29</v>
      </c>
      <c r="J134">
        <f ca="1">BINOMDIST(Worksheet!$A$27,Worksheet!$B$15,$P134,1)</f>
        <v>1.366129556517418E-27</v>
      </c>
      <c r="K134">
        <f ca="1">BINOMDIST(Worksheet!$A$28,Worksheet!$B$15,$P134,1)</f>
        <v>2.3698551906623462E-26</v>
      </c>
      <c r="L134">
        <f ca="1">BINOMDIST(Worksheet!$A$29,Worksheet!$B$15,$P134,1)</f>
        <v>3.5001677713552991E-25</v>
      </c>
      <c r="M134">
        <f ca="1">BINOMDIST(Worksheet!$A$30,Worksheet!$B$15,$P134,1)</f>
        <v>4.4929428896364647E-24</v>
      </c>
      <c r="N134">
        <f ca="1">BINOMDIST(Worksheet!$A$31,Worksheet!$B$15,$P134,1)</f>
        <v>5.0917876496786534E-23</v>
      </c>
      <c r="O134">
        <f ca="1">BINOMDIST(Worksheet!$A$32,Worksheet!$B$15,$P134,1)</f>
        <v>5.158042613999515E-22</v>
      </c>
      <c r="P134">
        <v>0.41699999999999998</v>
      </c>
    </row>
    <row r="135" spans="5:16" x14ac:dyDescent="0.2">
      <c r="E135">
        <f ca="1">BINOMDIST(Worksheet!$A$22,Worksheet!$B$15,$P135,1)</f>
        <v>1.5686072564585793E-35</v>
      </c>
      <c r="F135">
        <f ca="1">BINOMDIST(Worksheet!$A$23,Worksheet!$B$15,$P135,1)</f>
        <v>1.6805585414743201E-33</v>
      </c>
      <c r="G135">
        <f ca="1">BINOMDIST(Worksheet!$A$24,Worksheet!$B$15,$P135,1)</f>
        <v>8.9439863477976462E-32</v>
      </c>
      <c r="H135">
        <f ca="1">BINOMDIST(Worksheet!$A$25,Worksheet!$B$15,$P135,1)</f>
        <v>3.1526002604397217E-30</v>
      </c>
      <c r="I135">
        <f ca="1">BINOMDIST(Worksheet!$A$26,Worksheet!$B$15,$P135,1)</f>
        <v>8.279477058144503E-29</v>
      </c>
      <c r="J135">
        <f ca="1">BINOMDIST(Worksheet!$A$27,Worksheet!$B$15,$P135,1)</f>
        <v>1.7280056314591982E-27</v>
      </c>
      <c r="K135">
        <f ca="1">BINOMDIST(Worksheet!$A$28,Worksheet!$B$15,$P135,1)</f>
        <v>2.985435021194461E-26</v>
      </c>
      <c r="L135">
        <f ca="1">BINOMDIST(Worksheet!$A$29,Worksheet!$B$15,$P135,1)</f>
        <v>4.3914495353971282E-25</v>
      </c>
      <c r="M135">
        <f ca="1">BINOMDIST(Worksheet!$A$30,Worksheet!$B$15,$P135,1)</f>
        <v>5.6141480613688849E-24</v>
      </c>
      <c r="N135">
        <f ca="1">BINOMDIST(Worksheet!$A$31,Worksheet!$B$15,$P135,1)</f>
        <v>6.3366237538695339E-23</v>
      </c>
      <c r="O135">
        <f ca="1">BINOMDIST(Worksheet!$A$32,Worksheet!$B$15,$P135,1)</f>
        <v>6.3930488328518357E-22</v>
      </c>
      <c r="P135">
        <v>0.41599999999999998</v>
      </c>
    </row>
    <row r="136" spans="5:16" x14ac:dyDescent="0.2">
      <c r="E136">
        <f ca="1">BINOMDIST(Worksheet!$A$22,Worksheet!$B$15,$P136,1)</f>
        <v>2.0240630942742953E-35</v>
      </c>
      <c r="F136">
        <f ca="1">BINOMDIST(Worksheet!$A$23,Worksheet!$B$15,$P136,1)</f>
        <v>2.1596926212752476E-33</v>
      </c>
      <c r="G136">
        <f ca="1">BINOMDIST(Worksheet!$A$24,Worksheet!$B$15,$P136,1)</f>
        <v>1.1447177915650913E-31</v>
      </c>
      <c r="H136">
        <f ca="1">BINOMDIST(Worksheet!$A$25,Worksheet!$B$15,$P136,1)</f>
        <v>4.0185167017103044E-30</v>
      </c>
      <c r="I136">
        <f ca="1">BINOMDIST(Worksheet!$A$26,Worksheet!$B$15,$P136,1)</f>
        <v>1.0510658587159629E-28</v>
      </c>
      <c r="J136">
        <f ca="1">BINOMDIST(Worksheet!$A$27,Worksheet!$B$15,$P136,1)</f>
        <v>2.1847560088794417E-27</v>
      </c>
      <c r="K136">
        <f ca="1">BINOMDIST(Worksheet!$A$28,Worksheet!$B$15,$P136,1)</f>
        <v>3.7592120544192297E-26</v>
      </c>
      <c r="L136">
        <f ca="1">BINOMDIST(Worksheet!$A$29,Worksheet!$B$15,$P136,1)</f>
        <v>5.5071789547658108E-25</v>
      </c>
      <c r="M136">
        <f ca="1">BINOMDIST(Worksheet!$A$30,Worksheet!$B$15,$P136,1)</f>
        <v>7.0119362537599089E-24</v>
      </c>
      <c r="N136">
        <f ca="1">BINOMDIST(Worksheet!$A$31,Worksheet!$B$15,$P136,1)</f>
        <v>7.8821659375307159E-23</v>
      </c>
      <c r="O136">
        <f ca="1">BINOMDIST(Worksheet!$A$32,Worksheet!$B$15,$P136,1)</f>
        <v>7.9200882405255058E-22</v>
      </c>
      <c r="P136">
        <v>0.41499999999999998</v>
      </c>
    </row>
    <row r="137" spans="5:16" x14ac:dyDescent="0.2">
      <c r="E137">
        <f ca="1">BINOMDIST(Worksheet!$A$22,Worksheet!$B$15,$P137,1)</f>
        <v>2.6106267678082192E-35</v>
      </c>
      <c r="F137">
        <f ca="1">BINOMDIST(Worksheet!$A$23,Worksheet!$B$15,$P137,1)</f>
        <v>2.7742141652722524E-33</v>
      </c>
      <c r="G137">
        <f ca="1">BINOMDIST(Worksheet!$A$24,Worksheet!$B$15,$P137,1)</f>
        <v>1.4644491988318213E-31</v>
      </c>
      <c r="H137">
        <f ca="1">BINOMDIST(Worksheet!$A$25,Worksheet!$B$15,$P137,1)</f>
        <v>5.1200011249915874E-30</v>
      </c>
      <c r="I137">
        <f ca="1">BINOMDIST(Worksheet!$A$26,Worksheet!$B$15,$P137,1)</f>
        <v>1.3337155029801569E-28</v>
      </c>
      <c r="J137">
        <f ca="1">BINOMDIST(Worksheet!$A$27,Worksheet!$B$15,$P137,1)</f>
        <v>2.7609962932525067E-27</v>
      </c>
      <c r="K137">
        <f ca="1">BINOMDIST(Worksheet!$A$28,Worksheet!$B$15,$P137,1)</f>
        <v>4.731403289051507E-26</v>
      </c>
      <c r="L137">
        <f ca="1">BINOMDIST(Worksheet!$A$29,Worksheet!$B$15,$P137,1)</f>
        <v>6.903244845314573E-25</v>
      </c>
      <c r="M137">
        <f ca="1">BINOMDIST(Worksheet!$A$30,Worksheet!$B$15,$P137,1)</f>
        <v>8.7537413853564979E-24</v>
      </c>
      <c r="N137">
        <f ca="1">BINOMDIST(Worksheet!$A$31,Worksheet!$B$15,$P137,1)</f>
        <v>9.8001731178447443E-23</v>
      </c>
      <c r="O137">
        <f ca="1">BINOMDIST(Worksheet!$A$32,Worksheet!$B$15,$P137,1)</f>
        <v>9.8073440838108909E-22</v>
      </c>
      <c r="P137">
        <v>0.41399999999999998</v>
      </c>
    </row>
    <row r="138" spans="5:16" x14ac:dyDescent="0.2">
      <c r="E138">
        <f ca="1">BINOMDIST(Worksheet!$A$22,Worksheet!$B$15,$P138,1)</f>
        <v>3.365713044141067E-35</v>
      </c>
      <c r="F138">
        <f ca="1">BINOMDIST(Worksheet!$A$23,Worksheet!$B$15,$P138,1)</f>
        <v>3.5620367487942339E-33</v>
      </c>
      <c r="G138">
        <f ca="1">BINOMDIST(Worksheet!$A$24,Worksheet!$B$15,$P138,1)</f>
        <v>1.872661898937665E-31</v>
      </c>
      <c r="H138">
        <f ca="1">BINOMDIST(Worksheet!$A$25,Worksheet!$B$15,$P138,1)</f>
        <v>6.5205216365629263E-30</v>
      </c>
      <c r="I138">
        <f ca="1">BINOMDIST(Worksheet!$A$26,Worksheet!$B$15,$P138,1)</f>
        <v>1.6916218983215749E-28</v>
      </c>
      <c r="J138">
        <f ca="1">BINOMDIST(Worksheet!$A$27,Worksheet!$B$15,$P138,1)</f>
        <v>3.4876617809371508E-27</v>
      </c>
      <c r="K138">
        <f ca="1">BINOMDIST(Worksheet!$A$28,Worksheet!$B$15,$P138,1)</f>
        <v>5.9523382303991849E-26</v>
      </c>
      <c r="L138">
        <f ca="1">BINOMDIST(Worksheet!$A$29,Worksheet!$B$15,$P138,1)</f>
        <v>8.6492947098033136E-25</v>
      </c>
      <c r="M138">
        <f ca="1">BINOMDIST(Worksheet!$A$30,Worksheet!$B$15,$P138,1)</f>
        <v>1.092324409545062E-23</v>
      </c>
      <c r="N138">
        <f ca="1">BINOMDIST(Worksheet!$A$31,Worksheet!$B$15,$P138,1)</f>
        <v>1.2179317321276589E-22</v>
      </c>
      <c r="O138">
        <f ca="1">BINOMDIST(Worksheet!$A$32,Worksheet!$B$15,$P138,1)</f>
        <v>1.213871418794223E-21</v>
      </c>
      <c r="P138">
        <v>0.41299999999999998</v>
      </c>
    </row>
    <row r="139" spans="5:16" x14ac:dyDescent="0.2">
      <c r="E139">
        <f ca="1">BINOMDIST(Worksheet!$A$22,Worksheet!$B$15,$P139,1)</f>
        <v>4.3373212035882369E-35</v>
      </c>
      <c r="F139">
        <f ca="1">BINOMDIST(Worksheet!$A$23,Worksheet!$B$15,$P139,1)</f>
        <v>4.5715955597548521E-33</v>
      </c>
      <c r="G139">
        <f ca="1">BINOMDIST(Worksheet!$A$24,Worksheet!$B$15,$P139,1)</f>
        <v>2.3936146450066512E-31</v>
      </c>
      <c r="H139">
        <f ca="1">BINOMDIST(Worksheet!$A$25,Worksheet!$B$15,$P139,1)</f>
        <v>8.3004802981386583E-30</v>
      </c>
      <c r="I139">
        <f ca="1">BINOMDIST(Worksheet!$A$26,Worksheet!$B$15,$P139,1)</f>
        <v>2.144622235298519E-28</v>
      </c>
      <c r="J139">
        <f ca="1">BINOMDIST(Worksheet!$A$27,Worksheet!$B$15,$P139,1)</f>
        <v>4.4036127475647107E-27</v>
      </c>
      <c r="K139">
        <f ca="1">BINOMDIST(Worksheet!$A$28,Worksheet!$B$15,$P139,1)</f>
        <v>7.4849735845620955E-26</v>
      </c>
      <c r="L139">
        <f ca="1">BINOMDIST(Worksheet!$A$29,Worksheet!$B$15,$P139,1)</f>
        <v>1.0832082850305223E-24</v>
      </c>
      <c r="M139">
        <f ca="1">BINOMDIST(Worksheet!$A$30,Worksheet!$B$15,$P139,1)</f>
        <v>1.362423901664491E-23</v>
      </c>
      <c r="N139">
        <f ca="1">BINOMDIST(Worksheet!$A$31,Worksheet!$B$15,$P139,1)</f>
        <v>1.512911999503066E-22</v>
      </c>
      <c r="O139">
        <f ca="1">BINOMDIST(Worksheet!$A$32,Worksheet!$B$15,$P139,1)</f>
        <v>1.501738531013837E-21</v>
      </c>
      <c r="P139">
        <v>0.41199999999999998</v>
      </c>
    </row>
    <row r="140" spans="5:16" x14ac:dyDescent="0.2">
      <c r="E140">
        <f ca="1">BINOMDIST(Worksheet!$A$22,Worksheet!$B$15,$P140,1)</f>
        <v>5.5870032408105853E-35</v>
      </c>
      <c r="F140">
        <f ca="1">BINOMDIST(Worksheet!$A$23,Worksheet!$B$15,$P140,1)</f>
        <v>5.8647408552263785E-33</v>
      </c>
      <c r="G140">
        <f ca="1">BINOMDIST(Worksheet!$A$24,Worksheet!$B$15,$P140,1)</f>
        <v>3.0581550011701821E-31</v>
      </c>
      <c r="H140">
        <f ca="1">BINOMDIST(Worksheet!$A$25,Worksheet!$B$15,$P140,1)</f>
        <v>1.0561687046421333E-29</v>
      </c>
      <c r="I140">
        <f ca="1">BINOMDIST(Worksheet!$A$26,Worksheet!$B$15,$P140,1)</f>
        <v>2.717729892567517E-28</v>
      </c>
      <c r="J140">
        <f ca="1">BINOMDIST(Worksheet!$A$27,Worksheet!$B$15,$P140,1)</f>
        <v>5.5576431268542664E-27</v>
      </c>
      <c r="K140">
        <f ca="1">BINOMDIST(Worksheet!$A$28,Worksheet!$B$15,$P140,1)</f>
        <v>9.4080262884514728E-26</v>
      </c>
      <c r="L140">
        <f ca="1">BINOMDIST(Worksheet!$A$29,Worksheet!$B$15,$P140,1)</f>
        <v>1.3559623708197354E-24</v>
      </c>
      <c r="M140">
        <f ca="1">BINOMDIST(Worksheet!$A$30,Worksheet!$B$15,$P140,1)</f>
        <v>1.6985411348603181E-23</v>
      </c>
      <c r="N140">
        <f ca="1">BINOMDIST(Worksheet!$A$31,Worksheet!$B$15,$P140,1)</f>
        <v>1.8784792742321747E-22</v>
      </c>
      <c r="O140">
        <f ca="1">BINOMDIST(Worksheet!$A$32,Worksheet!$B$15,$P140,1)</f>
        <v>1.8570209622166518E-21</v>
      </c>
      <c r="P140">
        <v>0.41099999999999998</v>
      </c>
    </row>
    <row r="141" spans="5:16" x14ac:dyDescent="0.2">
      <c r="E141">
        <f ca="1">BINOMDIST(Worksheet!$A$22,Worksheet!$B$15,$P141,1)</f>
        <v>7.1936571366974862E-35</v>
      </c>
      <c r="F141">
        <f ca="1">BINOMDIST(Worksheet!$A$23,Worksheet!$B$15,$P141,1)</f>
        <v>7.5204198676525992E-33</v>
      </c>
      <c r="G141">
        <f ca="1">BINOMDIST(Worksheet!$A$24,Worksheet!$B$15,$P141,1)</f>
        <v>3.9054920496817218E-31</v>
      </c>
      <c r="H141">
        <f ca="1">BINOMDIST(Worksheet!$A$25,Worksheet!$B$15,$P141,1)</f>
        <v>1.3433003938306239E-29</v>
      </c>
      <c r="I141">
        <f ca="1">BINOMDIST(Worksheet!$A$26,Worksheet!$B$15,$P141,1)</f>
        <v>3.4424713120000428E-28</v>
      </c>
      <c r="J141">
        <f ca="1">BINOMDIST(Worksheet!$A$27,Worksheet!$B$15,$P141,1)</f>
        <v>7.0109928483891632E-27</v>
      </c>
      <c r="K141">
        <f ca="1">BINOMDIST(Worksheet!$A$28,Worksheet!$B$15,$P141,1)</f>
        <v>1.1819875192828995E-25</v>
      </c>
      <c r="L141">
        <f ca="1">BINOMDIST(Worksheet!$A$29,Worksheet!$B$15,$P141,1)</f>
        <v>1.696634179253861E-24</v>
      </c>
      <c r="M141">
        <f ca="1">BINOMDIST(Worksheet!$A$30,Worksheet!$B$15,$P141,1)</f>
        <v>2.1166233878172289E-23</v>
      </c>
      <c r="N141">
        <f ca="1">BINOMDIST(Worksheet!$A$31,Worksheet!$B$15,$P141,1)</f>
        <v>2.3313187579803279E-22</v>
      </c>
      <c r="O141">
        <f ca="1">BINOMDIST(Worksheet!$A$32,Worksheet!$B$15,$P141,1)</f>
        <v>2.29530608701838E-21</v>
      </c>
      <c r="P141">
        <v>0.41</v>
      </c>
    </row>
    <row r="142" spans="5:16" x14ac:dyDescent="0.2">
      <c r="E142">
        <f ca="1">BINOMDIST(Worksheet!$A$22,Worksheet!$B$15,$P142,1)</f>
        <v>9.2583725249061556E-35</v>
      </c>
      <c r="F142">
        <f ca="1">BINOMDIST(Worksheet!$A$23,Worksheet!$B$15,$P142,1)</f>
        <v>9.6393600372678294E-33</v>
      </c>
      <c r="G142">
        <f ca="1">BINOMDIST(Worksheet!$A$24,Worksheet!$B$15,$P142,1)</f>
        <v>4.9854415167781076E-31</v>
      </c>
      <c r="H142">
        <f ca="1">BINOMDIST(Worksheet!$A$25,Worksheet!$B$15,$P142,1)</f>
        <v>1.7077462813722066E-29</v>
      </c>
      <c r="I142">
        <f ca="1">BINOMDIST(Worksheet!$A$26,Worksheet!$B$15,$P142,1)</f>
        <v>4.3585645984642053E-28</v>
      </c>
      <c r="J142">
        <f ca="1">BINOMDIST(Worksheet!$A$27,Worksheet!$B$15,$P142,1)</f>
        <v>8.8404887505483715E-27</v>
      </c>
      <c r="K142">
        <f ca="1">BINOMDIST(Worksheet!$A$28,Worksheet!$B$15,$P142,1)</f>
        <v>1.4843417837073542E-25</v>
      </c>
      <c r="L142">
        <f ca="1">BINOMDIST(Worksheet!$A$29,Worksheet!$B$15,$P142,1)</f>
        <v>2.1219454485703766E-24</v>
      </c>
      <c r="M142">
        <f ca="1">BINOMDIST(Worksheet!$A$30,Worksheet!$B$15,$P142,1)</f>
        <v>2.6364243999893358E-23</v>
      </c>
      <c r="N142">
        <f ca="1">BINOMDIST(Worksheet!$A$31,Worksheet!$B$15,$P142,1)</f>
        <v>2.8920107708059024E-22</v>
      </c>
      <c r="O142">
        <f ca="1">BINOMDIST(Worksheet!$A$32,Worksheet!$B$15,$P142,1)</f>
        <v>2.8357386510570316E-21</v>
      </c>
      <c r="P142">
        <v>0.40899999999999997</v>
      </c>
    </row>
    <row r="143" spans="5:16" x14ac:dyDescent="0.2">
      <c r="E143">
        <f ca="1">BINOMDIST(Worksheet!$A$22,Worksheet!$B$15,$P143,1)</f>
        <v>1.1910618154603037E-34</v>
      </c>
      <c r="F143">
        <f ca="1">BINOMDIST(Worksheet!$A$23,Worksheet!$B$15,$P143,1)</f>
        <v>1.2350023391928211E-32</v>
      </c>
      <c r="G143">
        <f ca="1">BINOMDIST(Worksheet!$A$24,Worksheet!$B$15,$P143,1)</f>
        <v>6.3612680112142257E-31</v>
      </c>
      <c r="H143">
        <f ca="1">BINOMDIST(Worksheet!$A$25,Worksheet!$B$15,$P143,1)</f>
        <v>2.1701237173364872E-29</v>
      </c>
      <c r="I143">
        <f ca="1">BINOMDIST(Worksheet!$A$26,Worksheet!$B$15,$P143,1)</f>
        <v>5.5160262849675392E-28</v>
      </c>
      <c r="J143">
        <f ca="1">BINOMDIST(Worksheet!$A$27,Worksheet!$B$15,$P143,1)</f>
        <v>1.1142469625352123E-26</v>
      </c>
      <c r="K143">
        <f ca="1">BINOMDIST(Worksheet!$A$28,Worksheet!$B$15,$P143,1)</f>
        <v>1.8632113454630935E-25</v>
      </c>
      <c r="L143">
        <f ca="1">BINOMDIST(Worksheet!$A$29,Worksheet!$B$15,$P143,1)</f>
        <v>2.6526879362230459E-24</v>
      </c>
      <c r="M143">
        <f ca="1">BINOMDIST(Worksheet!$A$30,Worksheet!$B$15,$P143,1)</f>
        <v>3.2824019655383558E-23</v>
      </c>
      <c r="N143">
        <f ca="1">BINOMDIST(Worksheet!$A$31,Worksheet!$B$15,$P143,1)</f>
        <v>3.5859285808253207E-22</v>
      </c>
      <c r="O143">
        <f ca="1">BINOMDIST(Worksheet!$A$32,Worksheet!$B$15,$P143,1)</f>
        <v>3.5018219207444991E-21</v>
      </c>
      <c r="P143">
        <v>0.40799999999999997</v>
      </c>
    </row>
    <row r="144" spans="5:16" x14ac:dyDescent="0.2">
      <c r="E144">
        <f ca="1">BINOMDIST(Worksheet!$A$22,Worksheet!$B$15,$P144,1)</f>
        <v>1.5316139429828516E-34</v>
      </c>
      <c r="F144">
        <f ca="1">BINOMDIST(Worksheet!$A$23,Worksheet!$B$15,$P144,1)</f>
        <v>1.581617393128124E-32</v>
      </c>
      <c r="G144">
        <f ca="1">BINOMDIST(Worksheet!$A$24,Worksheet!$B$15,$P144,1)</f>
        <v>8.1132816649258356E-31</v>
      </c>
      <c r="H144">
        <f ca="1">BINOMDIST(Worksheet!$A$25,Worksheet!$B$15,$P144,1)</f>
        <v>2.7564946493052536E-29</v>
      </c>
      <c r="I144">
        <f ca="1">BINOMDIST(Worksheet!$A$26,Worksheet!$B$15,$P144,1)</f>
        <v>6.9778143393017054E-28</v>
      </c>
      <c r="J144">
        <f ca="1">BINOMDIST(Worksheet!$A$27,Worksheet!$B$15,$P144,1)</f>
        <v>1.4037689024520898E-26</v>
      </c>
      <c r="K144">
        <f ca="1">BINOMDIST(Worksheet!$A$28,Worksheet!$B$15,$P144,1)</f>
        <v>2.3377498640207586E-25</v>
      </c>
      <c r="L144">
        <f ca="1">BINOMDIST(Worksheet!$A$29,Worksheet!$B$15,$P144,1)</f>
        <v>3.3147025808783643E-24</v>
      </c>
      <c r="M144">
        <f ca="1">BINOMDIST(Worksheet!$A$30,Worksheet!$B$15,$P144,1)</f>
        <v>4.0848245876654611E-23</v>
      </c>
      <c r="N144">
        <f ca="1">BINOMDIST(Worksheet!$A$31,Worksheet!$B$15,$P144,1)</f>
        <v>4.4443405234371637E-22</v>
      </c>
      <c r="O144">
        <f ca="1">BINOMDIST(Worksheet!$A$32,Worksheet!$B$15,$P144,1)</f>
        <v>4.3223968267945674E-21</v>
      </c>
      <c r="P144">
        <v>0.40699999999999997</v>
      </c>
    </row>
    <row r="145" spans="5:16" x14ac:dyDescent="0.2">
      <c r="E145">
        <f ca="1">BINOMDIST(Worksheet!$A$22,Worksheet!$B$15,$P145,1)</f>
        <v>1.9687034492625082E-34</v>
      </c>
      <c r="F145">
        <f ca="1">BINOMDIST(Worksheet!$A$23,Worksheet!$B$15,$P145,1)</f>
        <v>2.0246490961035149E-32</v>
      </c>
      <c r="G145">
        <f ca="1">BINOMDIST(Worksheet!$A$24,Worksheet!$B$15,$P145,1)</f>
        <v>1.0343387498673877E-30</v>
      </c>
      <c r="H145">
        <f ca="1">BINOMDIST(Worksheet!$A$25,Worksheet!$B$15,$P145,1)</f>
        <v>3.4997893293104588E-29</v>
      </c>
      <c r="I145">
        <f ca="1">BINOMDIST(Worksheet!$A$26,Worksheet!$B$15,$P145,1)</f>
        <v>8.8231424813524241E-28</v>
      </c>
      <c r="J145">
        <f ca="1">BINOMDIST(Worksheet!$A$27,Worksheet!$B$15,$P145,1)</f>
        <v>1.7677436742935654E-26</v>
      </c>
      <c r="K145">
        <f ca="1">BINOMDIST(Worksheet!$A$28,Worksheet!$B$15,$P145,1)</f>
        <v>2.9318530473844795E-25</v>
      </c>
      <c r="L145">
        <f ca="1">BINOMDIST(Worksheet!$A$29,Worksheet!$B$15,$P145,1)</f>
        <v>4.1400914615646614E-24</v>
      </c>
      <c r="M145">
        <f ca="1">BINOMDIST(Worksheet!$A$30,Worksheet!$B$15,$P145,1)</f>
        <v>5.0811352773296019E-23</v>
      </c>
      <c r="N145">
        <f ca="1">BINOMDIST(Worksheet!$A$31,Worksheet!$B$15,$P145,1)</f>
        <v>5.5057622839083409E-22</v>
      </c>
      <c r="O145">
        <f ca="1">BINOMDIST(Worksheet!$A$32,Worksheet!$B$15,$P145,1)</f>
        <v>5.3328381021451687E-21</v>
      </c>
      <c r="P145">
        <v>0.40600000000000003</v>
      </c>
    </row>
    <row r="146" spans="5:16" x14ac:dyDescent="0.2">
      <c r="E146">
        <f ca="1">BINOMDIST(Worksheet!$A$22,Worksheet!$B$15,$P146,1)</f>
        <v>2.5294604515971668E-34</v>
      </c>
      <c r="F146">
        <f ca="1">BINOMDIST(Worksheet!$A$23,Worksheet!$B$15,$P146,1)</f>
        <v>2.59067764571985E-32</v>
      </c>
      <c r="G146">
        <f ca="1">BINOMDIST(Worksheet!$A$24,Worksheet!$B$15,$P146,1)</f>
        <v>1.3180837469593869E-30</v>
      </c>
      <c r="H146">
        <f ca="1">BINOMDIST(Worksheet!$A$25,Worksheet!$B$15,$P146,1)</f>
        <v>4.4415986233708832E-29</v>
      </c>
      <c r="I146">
        <f ca="1">BINOMDIST(Worksheet!$A$26,Worksheet!$B$15,$P146,1)</f>
        <v>1.1151634543183697E-27</v>
      </c>
      <c r="J146">
        <f ca="1">BINOMDIST(Worksheet!$A$27,Worksheet!$B$15,$P146,1)</f>
        <v>2.2251178601636587E-26</v>
      </c>
      <c r="K146">
        <f ca="1">BINOMDIST(Worksheet!$A$28,Worksheet!$B$15,$P146,1)</f>
        <v>3.6753196386538917E-25</v>
      </c>
      <c r="L146">
        <f ca="1">BINOMDIST(Worksheet!$A$29,Worksheet!$B$15,$P146,1)</f>
        <v>5.1687172408282339E-24</v>
      </c>
      <c r="M146">
        <f ca="1">BINOMDIST(Worksheet!$A$30,Worksheet!$B$15,$P146,1)</f>
        <v>6.3176314988335157E-23</v>
      </c>
      <c r="N146">
        <f ca="1">BINOMDIST(Worksheet!$A$31,Worksheet!$B$15,$P146,1)</f>
        <v>6.8176153802687452E-22</v>
      </c>
      <c r="O146">
        <f ca="1">BINOMDIST(Worksheet!$A$32,Worksheet!$B$15,$P146,1)</f>
        <v>6.5765148399236394E-21</v>
      </c>
      <c r="P146">
        <v>0.40500000000000003</v>
      </c>
    </row>
    <row r="147" spans="5:16" x14ac:dyDescent="0.2">
      <c r="E147">
        <f ca="1">BINOMDIST(Worksheet!$A$22,Worksheet!$B$15,$P147,1)</f>
        <v>3.2485735301676834E-34</v>
      </c>
      <c r="F147">
        <f ca="1">BINOMDIST(Worksheet!$A$23,Worksheet!$B$15,$P147,1)</f>
        <v>3.3135450007710385E-32</v>
      </c>
      <c r="G147">
        <f ca="1">BINOMDIST(Worksheet!$A$24,Worksheet!$B$15,$P147,1)</f>
        <v>1.6789500104183042E-30</v>
      </c>
      <c r="H147">
        <f ca="1">BINOMDIST(Worksheet!$A$25,Worksheet!$B$15,$P147,1)</f>
        <v>5.6344294033720945E-29</v>
      </c>
      <c r="I147">
        <f ca="1">BINOMDIST(Worksheet!$A$26,Worksheet!$B$15,$P147,1)</f>
        <v>1.4088529567310617E-27</v>
      </c>
      <c r="J147">
        <f ca="1">BINOMDIST(Worksheet!$A$27,Worksheet!$B$15,$P147,1)</f>
        <v>2.7996087003983044E-26</v>
      </c>
      <c r="K147">
        <f ca="1">BINOMDIST(Worksheet!$A$28,Worksheet!$B$15,$P147,1)</f>
        <v>4.6052934425591799E-25</v>
      </c>
      <c r="L147">
        <f ca="1">BINOMDIST(Worksheet!$A$29,Worksheet!$B$15,$P147,1)</f>
        <v>6.4500574693659375E-24</v>
      </c>
      <c r="M147">
        <f ca="1">BINOMDIST(Worksheet!$A$30,Worksheet!$B$15,$P147,1)</f>
        <v>7.8515336303533128E-23</v>
      </c>
      <c r="N147">
        <f ca="1">BINOMDIST(Worksheet!$A$31,Worksheet!$B$15,$P147,1)</f>
        <v>8.438260267415521E-22</v>
      </c>
      <c r="O147">
        <f ca="1">BINOMDIST(Worksheet!$A$32,Worksheet!$B$15,$P147,1)</f>
        <v>8.1065731158647092E-21</v>
      </c>
      <c r="P147">
        <v>0.40400000000000003</v>
      </c>
    </row>
    <row r="148" spans="5:16" x14ac:dyDescent="0.2">
      <c r="E148">
        <f ca="1">BINOMDIST(Worksheet!$A$22,Worksheet!$B$15,$P148,1)</f>
        <v>4.1703772066788583E-34</v>
      </c>
      <c r="F148">
        <f ca="1">BINOMDIST(Worksheet!$A$23,Worksheet!$B$15,$P148,1)</f>
        <v>4.2363208596621921E-32</v>
      </c>
      <c r="G148">
        <f ca="1">BINOMDIST(Worksheet!$A$24,Worksheet!$B$15,$P148,1)</f>
        <v>2.137704427797143E-30</v>
      </c>
      <c r="H148">
        <f ca="1">BINOMDIST(Worksheet!$A$25,Worksheet!$B$15,$P148,1)</f>
        <v>7.1445414738605203E-29</v>
      </c>
      <c r="I148">
        <f ca="1">BINOMDIST(Worksheet!$A$26,Worksheet!$B$15,$P148,1)</f>
        <v>1.7791200626729843E-27</v>
      </c>
      <c r="J148">
        <f ca="1">BINOMDIST(Worksheet!$A$27,Worksheet!$B$15,$P148,1)</f>
        <v>3.5208925105234552E-26</v>
      </c>
      <c r="K148">
        <f ca="1">BINOMDIST(Worksheet!$A$28,Worksheet!$B$15,$P148,1)</f>
        <v>5.7680536458874028E-25</v>
      </c>
      <c r="L148">
        <f ca="1">BINOMDIST(Worksheet!$A$29,Worksheet!$B$15,$P148,1)</f>
        <v>8.0454967287895653E-24</v>
      </c>
      <c r="M148">
        <f ca="1">BINOMDIST(Worksheet!$A$30,Worksheet!$B$15,$P148,1)</f>
        <v>9.7535306613159968E-23</v>
      </c>
      <c r="N148">
        <f ca="1">BINOMDIST(Worksheet!$A$31,Worksheet!$B$15,$P148,1)</f>
        <v>1.0439487566521739E-21</v>
      </c>
      <c r="O148">
        <f ca="1">BINOMDIST(Worksheet!$A$32,Worksheet!$B$15,$P148,1)</f>
        <v>9.9881107082770923E-21</v>
      </c>
      <c r="P148">
        <v>0.40300000000000002</v>
      </c>
    </row>
    <row r="149" spans="5:16" x14ac:dyDescent="0.2">
      <c r="E149">
        <f ca="1">BINOMDIST(Worksheet!$A$22,Worksheet!$B$15,$P149,1)</f>
        <v>5.351510899202287E-34</v>
      </c>
      <c r="F149">
        <f ca="1">BINOMDIST(Worksheet!$A$23,Worksheet!$B$15,$P149,1)</f>
        <v>5.4137960427782669E-32</v>
      </c>
      <c r="G149">
        <f ca="1">BINOMDIST(Worksheet!$A$24,Worksheet!$B$15,$P149,1)</f>
        <v>2.7206536329741528E-30</v>
      </c>
      <c r="H149">
        <f ca="1">BINOMDIST(Worksheet!$A$25,Worksheet!$B$15,$P149,1)</f>
        <v>9.055514479989444E-29</v>
      </c>
      <c r="I149">
        <f ca="1">BINOMDIST(Worksheet!$A$26,Worksheet!$B$15,$P149,1)</f>
        <v>2.2457315476296917E-27</v>
      </c>
      <c r="J149">
        <f ca="1">BINOMDIST(Worksheet!$A$27,Worksheet!$B$15,$P149,1)</f>
        <v>4.4260859481057375E-26</v>
      </c>
      <c r="K149">
        <f ca="1">BINOMDIST(Worksheet!$A$28,Worksheet!$B$15,$P149,1)</f>
        <v>7.2212365931669207E-25</v>
      </c>
      <c r="L149">
        <f ca="1">BINOMDIST(Worksheet!$A$29,Worksheet!$B$15,$P149,1)</f>
        <v>1.0031158755196105E-23</v>
      </c>
      <c r="M149">
        <f ca="1">BINOMDIST(Worksheet!$A$30,Worksheet!$B$15,$P149,1)</f>
        <v>1.2110911849875546E-22</v>
      </c>
      <c r="N149">
        <f ca="1">BINOMDIST(Worksheet!$A$31,Worksheet!$B$15,$P149,1)</f>
        <v>1.290956928640787E-21</v>
      </c>
      <c r="O149">
        <f ca="1">BINOMDIST(Worksheet!$A$32,Worksheet!$B$15,$P149,1)</f>
        <v>1.2300828961214934E-20</v>
      </c>
      <c r="P149">
        <v>0.40200000000000002</v>
      </c>
    </row>
    <row r="150" spans="5:16" x14ac:dyDescent="0.2">
      <c r="E150">
        <f ca="1">BINOMDIST(Worksheet!$A$22,Worksheet!$B$15,$P150,1)</f>
        <v>6.8643044284139419E-34</v>
      </c>
      <c r="F150">
        <f ca="1">BINOMDIST(Worksheet!$A$23,Worksheet!$B$15,$P150,1)</f>
        <v>6.9156434665430127E-32</v>
      </c>
      <c r="G150">
        <f ca="1">BINOMDIST(Worksheet!$A$24,Worksheet!$B$15,$P150,1)</f>
        <v>3.4611078625470474E-30</v>
      </c>
      <c r="H150">
        <f ca="1">BINOMDIST(Worksheet!$A$25,Worksheet!$B$15,$P150,1)</f>
        <v>1.147273075394179E-28</v>
      </c>
      <c r="I150">
        <f ca="1">BINOMDIST(Worksheet!$A$26,Worksheet!$B$15,$P150,1)</f>
        <v>2.8335048226822163E-27</v>
      </c>
      <c r="J150">
        <f ca="1">BINOMDIST(Worksheet!$A$27,Worksheet!$B$15,$P150,1)</f>
        <v>5.5615915045713005E-26</v>
      </c>
      <c r="K150">
        <f ca="1">BINOMDIST(Worksheet!$A$28,Worksheet!$B$15,$P150,1)</f>
        <v>9.0365918046548878E-25</v>
      </c>
      <c r="L150">
        <f ca="1">BINOMDIST(Worksheet!$A$29,Worksheet!$B$15,$P150,1)</f>
        <v>1.2501404224340225E-23</v>
      </c>
      <c r="M150">
        <f ca="1">BINOMDIST(Worksheet!$A$30,Worksheet!$B$15,$P150,1)</f>
        <v>1.5031417515261884E-22</v>
      </c>
      <c r="N150">
        <f ca="1">BINOMDIST(Worksheet!$A$31,Worksheet!$B$15,$P150,1)</f>
        <v>1.5956994248383478E-21</v>
      </c>
      <c r="O150">
        <f ca="1">BINOMDIST(Worksheet!$A$32,Worksheet!$B$15,$P150,1)</f>
        <v>1.5142265020390549E-20</v>
      </c>
      <c r="P150">
        <v>0.40100000000000002</v>
      </c>
    </row>
    <row r="151" spans="5:16" x14ac:dyDescent="0.2">
      <c r="E151">
        <f ca="1">BINOMDIST(Worksheet!$A$22,Worksheet!$B$15,$P151,1)</f>
        <v>8.801086859902648E-34</v>
      </c>
      <c r="F151">
        <f ca="1">BINOMDIST(Worksheet!$A$23,Worksheet!$B$15,$P151,1)</f>
        <v>8.8304238161022851E-32</v>
      </c>
      <c r="G151">
        <f ca="1">BINOMDIST(Worksheet!$A$24,Worksheet!$B$15,$P151,1)</f>
        <v>4.4012279589292583E-30</v>
      </c>
      <c r="H151">
        <f ca="1">BINOMDIST(Worksheet!$A$25,Worksheet!$B$15,$P151,1)</f>
        <v>1.4529006950402578E-28</v>
      </c>
      <c r="I151">
        <f ca="1">BINOMDIST(Worksheet!$A$26,Worksheet!$B$15,$P151,1)</f>
        <v>3.5735852137680579E-27</v>
      </c>
      <c r="J151">
        <f ca="1">BINOMDIST(Worksheet!$A$27,Worksheet!$B$15,$P151,1)</f>
        <v>6.9853958002872073E-26</v>
      </c>
      <c r="K151">
        <f ca="1">BINOMDIST(Worksheet!$A$28,Worksheet!$B$15,$P151,1)</f>
        <v>1.1303399226285426E-24</v>
      </c>
      <c r="L151">
        <f ca="1">BINOMDIST(Worksheet!$A$29,Worksheet!$B$15,$P151,1)</f>
        <v>1.5573148774197274E-23</v>
      </c>
      <c r="M151">
        <f ca="1">BINOMDIST(Worksheet!$A$30,Worksheet!$B$15,$P151,1)</f>
        <v>1.8647972018442551E-22</v>
      </c>
      <c r="N151">
        <f ca="1">BINOMDIST(Worksheet!$A$31,Worksheet!$B$15,$P151,1)</f>
        <v>1.9715039104690421E-21</v>
      </c>
      <c r="O151">
        <f ca="1">BINOMDIST(Worksheet!$A$32,Worksheet!$B$15,$P151,1)</f>
        <v>1.8631729686458892E-20</v>
      </c>
      <c r="P151">
        <v>0.4</v>
      </c>
    </row>
    <row r="152" spans="5:16" x14ac:dyDescent="0.2">
      <c r="E152">
        <f ca="1">BINOMDIST(Worksheet!$A$22,Worksheet!$B$15,$P152,1)</f>
        <v>1.127966829544162E-33</v>
      </c>
      <c r="F152">
        <f ca="1">BINOMDIST(Worksheet!$A$23,Worksheet!$B$15,$P152,1)</f>
        <v>1.1270659575338843E-31</v>
      </c>
      <c r="G152">
        <f ca="1">BINOMDIST(Worksheet!$A$24,Worksheet!$B$15,$P152,1)</f>
        <v>5.5943548446808656E-30</v>
      </c>
      <c r="H152">
        <f ca="1">BINOMDIST(Worksheet!$A$25,Worksheet!$B$15,$P152,1)</f>
        <v>1.8391665919539751E-28</v>
      </c>
      <c r="I152">
        <f ca="1">BINOMDIST(Worksheet!$A$26,Worksheet!$B$15,$P152,1)</f>
        <v>4.5050429144561138E-27</v>
      </c>
      <c r="J152">
        <f ca="1">BINOMDIST(Worksheet!$A$27,Worksheet!$B$15,$P152,1)</f>
        <v>8.7699305642611743E-26</v>
      </c>
      <c r="K152">
        <f ca="1">BINOMDIST(Worksheet!$A$28,Worksheet!$B$15,$P152,1)</f>
        <v>1.4132704535374783E-24</v>
      </c>
      <c r="L152">
        <f ca="1">BINOMDIST(Worksheet!$A$29,Worksheet!$B$15,$P152,1)</f>
        <v>1.9391191296284892E-23</v>
      </c>
      <c r="M152">
        <f ca="1">BINOMDIST(Worksheet!$A$30,Worksheet!$B$15,$P152,1)</f>
        <v>2.3124498478804403E-22</v>
      </c>
      <c r="N152">
        <f ca="1">BINOMDIST(Worksheet!$A$31,Worksheet!$B$15,$P152,1)</f>
        <v>2.434735938393669E-21</v>
      </c>
      <c r="O152">
        <f ca="1">BINOMDIST(Worksheet!$A$32,Worksheet!$B$15,$P152,1)</f>
        <v>2.2915102771739703E-20</v>
      </c>
      <c r="P152">
        <v>0.39900000000000002</v>
      </c>
    </row>
    <row r="153" spans="5:16" x14ac:dyDescent="0.2">
      <c r="E153">
        <f ca="1">BINOMDIST(Worksheet!$A$22,Worksheet!$B$15,$P153,1)</f>
        <v>1.4450311110621238E-33</v>
      </c>
      <c r="F153">
        <f ca="1">BINOMDIST(Worksheet!$A$23,Worksheet!$B$15,$P153,1)</f>
        <v>1.4379259747020735E-31</v>
      </c>
      <c r="G153">
        <f ca="1">BINOMDIST(Worksheet!$A$24,Worksheet!$B$15,$P153,1)</f>
        <v>7.1079462925027516E-30</v>
      </c>
      <c r="H153">
        <f ca="1">BINOMDIST(Worksheet!$A$25,Worksheet!$B$15,$P153,1)</f>
        <v>2.3271413459902133E-28</v>
      </c>
      <c r="I153">
        <f ca="1">BINOMDIST(Worksheet!$A$26,Worksheet!$B$15,$P153,1)</f>
        <v>5.676868781656799E-27</v>
      </c>
      <c r="J153">
        <f ca="1">BINOMDIST(Worksheet!$A$27,Worksheet!$B$15,$P153,1)</f>
        <v>1.1005632548654166E-25</v>
      </c>
      <c r="K153">
        <f ca="1">BINOMDIST(Worksheet!$A$28,Worksheet!$B$15,$P153,1)</f>
        <v>1.7662566086178643E-24</v>
      </c>
      <c r="L153">
        <f ca="1">BINOMDIST(Worksheet!$A$29,Worksheet!$B$15,$P153,1)</f>
        <v>2.4134786013966049E-23</v>
      </c>
      <c r="M153">
        <f ca="1">BINOMDIST(Worksheet!$A$30,Worksheet!$B$15,$P153,1)</f>
        <v>2.8663059329649353E-22</v>
      </c>
      <c r="N153">
        <f ca="1">BINOMDIST(Worksheet!$A$31,Worksheet!$B$15,$P153,1)</f>
        <v>3.0054825152383204E-21</v>
      </c>
      <c r="O153">
        <f ca="1">BINOMDIST(Worksheet!$A$32,Worksheet!$B$15,$P153,1)</f>
        <v>2.8170670071816453E-20</v>
      </c>
      <c r="P153">
        <v>0.39800000000000002</v>
      </c>
    </row>
    <row r="154" spans="5:16" x14ac:dyDescent="0.2">
      <c r="E154">
        <f ca="1">BINOMDIST(Worksheet!$A$22,Worksheet!$B$15,$P154,1)</f>
        <v>1.8504591783677815E-33</v>
      </c>
      <c r="F154">
        <f ca="1">BINOMDIST(Worksheet!$A$23,Worksheet!$B$15,$P154,1)</f>
        <v>1.8337651519493463E-31</v>
      </c>
      <c r="G154">
        <f ca="1">BINOMDIST(Worksheet!$A$24,Worksheet!$B$15,$P154,1)</f>
        <v>9.0272777982044087E-30</v>
      </c>
      <c r="H154">
        <f ca="1">BINOMDIST(Worksheet!$A$25,Worksheet!$B$15,$P154,1)</f>
        <v>2.9433475981874124E-28</v>
      </c>
      <c r="I154">
        <f ca="1">BINOMDIST(Worksheet!$A$26,Worksheet!$B$15,$P154,1)</f>
        <v>7.1504675429340574E-27</v>
      </c>
      <c r="J154">
        <f ca="1">BINOMDIST(Worksheet!$A$27,Worksheet!$B$15,$P154,1)</f>
        <v>1.3805371253797033E-25</v>
      </c>
      <c r="K154">
        <f ca="1">BINOMDIST(Worksheet!$A$28,Worksheet!$B$15,$P154,1)</f>
        <v>2.2064552354446175E-24</v>
      </c>
      <c r="L154">
        <f ca="1">BINOMDIST(Worksheet!$A$29,Worksheet!$B$15,$P154,1)</f>
        <v>3.0025745180228682E-23</v>
      </c>
      <c r="M154">
        <f ca="1">BINOMDIST(Worksheet!$A$30,Worksheet!$B$15,$P154,1)</f>
        <v>3.5512621187742198E-22</v>
      </c>
      <c r="N154">
        <f ca="1">BINOMDIST(Worksheet!$A$31,Worksheet!$B$15,$P154,1)</f>
        <v>3.70838746566567E-21</v>
      </c>
      <c r="O154">
        <f ca="1">BINOMDIST(Worksheet!$A$32,Worksheet!$B$15,$P154,1)</f>
        <v>3.4616225025458071E-20</v>
      </c>
      <c r="P154">
        <v>0.39700000000000002</v>
      </c>
    </row>
    <row r="155" spans="5:16" x14ac:dyDescent="0.2">
      <c r="E155">
        <f ca="1">BINOMDIST(Worksheet!$A$22,Worksheet!$B$15,$P155,1)</f>
        <v>2.3686661546125712E-33</v>
      </c>
      <c r="F155">
        <f ca="1">BINOMDIST(Worksheet!$A$23,Worksheet!$B$15,$P155,1)</f>
        <v>2.3376068235785722E-31</v>
      </c>
      <c r="G155">
        <f ca="1">BINOMDIST(Worksheet!$A$24,Worksheet!$B$15,$P155,1)</f>
        <v>1.1460104461860956E-29</v>
      </c>
      <c r="H155">
        <f ca="1">BINOMDIST(Worksheet!$A$25,Worksheet!$B$15,$P155,1)</f>
        <v>3.7211569170934096E-28</v>
      </c>
      <c r="I155">
        <f ca="1">BINOMDIST(Worksheet!$A$26,Worksheet!$B$15,$P155,1)</f>
        <v>9.0027710858733607E-27</v>
      </c>
      <c r="J155">
        <f ca="1">BINOMDIST(Worksheet!$A$27,Worksheet!$B$15,$P155,1)</f>
        <v>1.7309953689147108E-25</v>
      </c>
      <c r="K155">
        <f ca="1">BINOMDIST(Worksheet!$A$28,Worksheet!$B$15,$P155,1)</f>
        <v>2.7551784478457718E-24</v>
      </c>
      <c r="L155">
        <f ca="1">BINOMDIST(Worksheet!$A$29,Worksheet!$B$15,$P155,1)</f>
        <v>3.7338424561734118E-23</v>
      </c>
      <c r="M155">
        <f ca="1">BINOMDIST(Worksheet!$A$30,Worksheet!$B$15,$P155,1)</f>
        <v>4.3979808836060974E-22</v>
      </c>
      <c r="N155">
        <f ca="1">BINOMDIST(Worksheet!$A$31,Worksheet!$B$15,$P155,1)</f>
        <v>4.5736718536060101E-21</v>
      </c>
      <c r="O155">
        <f ca="1">BINOMDIST(Worksheet!$A$32,Worksheet!$B$15,$P155,1)</f>
        <v>4.2517705222017346E-20</v>
      </c>
      <c r="P155">
        <v>0.39600000000000002</v>
      </c>
    </row>
    <row r="156" spans="5:16" x14ac:dyDescent="0.2">
      <c r="E156">
        <f ca="1">BINOMDIST(Worksheet!$A$22,Worksheet!$B$15,$P156,1)</f>
        <v>3.0307549504792945E-33</v>
      </c>
      <c r="F156">
        <f ca="1">BINOMDIST(Worksheet!$A$23,Worksheet!$B$15,$P156,1)</f>
        <v>2.97865602240494E-31</v>
      </c>
      <c r="G156">
        <f ca="1">BINOMDIST(Worksheet!$A$24,Worksheet!$B$15,$P156,1)</f>
        <v>1.4542531034119953E-29</v>
      </c>
      <c r="H156">
        <f ca="1">BINOMDIST(Worksheet!$A$25,Worksheet!$B$15,$P156,1)</f>
        <v>4.7025410034656467E-28</v>
      </c>
      <c r="I156">
        <f ca="1">BINOMDIST(Worksheet!$A$26,Worksheet!$B$15,$P156,1)</f>
        <v>1.1330124431854209E-26</v>
      </c>
      <c r="J156">
        <f ca="1">BINOMDIST(Worksheet!$A$27,Worksheet!$B$15,$P156,1)</f>
        <v>2.1694965277469898E-25</v>
      </c>
      <c r="K156">
        <f ca="1">BINOMDIST(Worksheet!$A$28,Worksheet!$B$15,$P156,1)</f>
        <v>3.438888708460901E-24</v>
      </c>
      <c r="L156">
        <f ca="1">BINOMDIST(Worksheet!$A$29,Worksheet!$B$15,$P156,1)</f>
        <v>4.6412023905730525E-23</v>
      </c>
      <c r="M156">
        <f ca="1">BINOMDIST(Worksheet!$A$30,Worksheet!$B$15,$P156,1)</f>
        <v>5.4442093985920827E-22</v>
      </c>
      <c r="N156">
        <f ca="1">BINOMDIST(Worksheet!$A$31,Worksheet!$B$15,$P156,1)</f>
        <v>5.6383799066230614E-21</v>
      </c>
      <c r="O156">
        <f ca="1">BINOMDIST(Worksheet!$A$32,Worksheet!$B$15,$P156,1)</f>
        <v>5.2199690792910435E-20</v>
      </c>
      <c r="P156">
        <v>0.39500000000000002</v>
      </c>
    </row>
    <row r="157" spans="5:16" x14ac:dyDescent="0.2">
      <c r="E157">
        <f ca="1">BINOMDIST(Worksheet!$A$22,Worksheet!$B$15,$P157,1)</f>
        <v>3.8763323066871127E-33</v>
      </c>
      <c r="F157">
        <f ca="1">BINOMDIST(Worksheet!$A$23,Worksheet!$B$15,$P157,1)</f>
        <v>3.7939442537001043E-31</v>
      </c>
      <c r="G157">
        <f ca="1">BINOMDIST(Worksheet!$A$24,Worksheet!$B$15,$P157,1)</f>
        <v>1.8446400236185634E-29</v>
      </c>
      <c r="H157">
        <f ca="1">BINOMDIST(Worksheet!$A$25,Worksheet!$B$15,$P157,1)</f>
        <v>5.9402662166127942E-28</v>
      </c>
      <c r="I157">
        <f ca="1">BINOMDIST(Worksheet!$A$26,Worksheet!$B$15,$P157,1)</f>
        <v>1.4253134153533032E-26</v>
      </c>
      <c r="J157">
        <f ca="1">BINOMDIST(Worksheet!$A$27,Worksheet!$B$15,$P157,1)</f>
        <v>2.717926764953925E-25</v>
      </c>
      <c r="K157">
        <f ca="1">BINOMDIST(Worksheet!$A$28,Worksheet!$B$15,$P157,1)</f>
        <v>4.2904294956119353E-24</v>
      </c>
      <c r="L157">
        <f ca="1">BINOMDIST(Worksheet!$A$29,Worksheet!$B$15,$P157,1)</f>
        <v>5.7665732574976491E-23</v>
      </c>
      <c r="M157">
        <f ca="1">BINOMDIST(Worksheet!$A$30,Worksheet!$B$15,$P157,1)</f>
        <v>6.7363963040589479E-22</v>
      </c>
      <c r="N157">
        <f ca="1">BINOMDIST(Worksheet!$A$31,Worksheet!$B$15,$P157,1)</f>
        <v>6.9478996084218203E-21</v>
      </c>
      <c r="O157">
        <f ca="1">BINOMDIST(Worksheet!$A$32,Worksheet!$B$15,$P157,1)</f>
        <v>6.4058160398414989E-20</v>
      </c>
      <c r="P157">
        <v>0.39400000000000002</v>
      </c>
    </row>
    <row r="158" spans="5:16" x14ac:dyDescent="0.2">
      <c r="E158">
        <f ca="1">BINOMDIST(Worksheet!$A$22,Worksheet!$B$15,$P158,1)</f>
        <v>4.9558136805187361E-33</v>
      </c>
      <c r="F158">
        <f ca="1">BINOMDIST(Worksheet!$A$23,Worksheet!$B$15,$P158,1)</f>
        <v>4.8304079175323188E-31</v>
      </c>
      <c r="G158">
        <f ca="1">BINOMDIST(Worksheet!$A$24,Worksheet!$B$15,$P158,1)</f>
        <v>2.3388588291441339E-29</v>
      </c>
      <c r="H158">
        <f ca="1">BINOMDIST(Worksheet!$A$25,Worksheet!$B$15,$P158,1)</f>
        <v>7.500642525443161E-28</v>
      </c>
      <c r="I158">
        <f ca="1">BINOMDIST(Worksheet!$A$26,Worksheet!$B$15,$P158,1)</f>
        <v>1.7922715102421393E-26</v>
      </c>
      <c r="J158">
        <f ca="1">BINOMDIST(Worksheet!$A$27,Worksheet!$B$15,$P158,1)</f>
        <v>3.4035550214697922E-25</v>
      </c>
      <c r="K158">
        <f ca="1">BINOMDIST(Worksheet!$A$28,Worksheet!$B$15,$P158,1)</f>
        <v>5.3505466840321157E-24</v>
      </c>
      <c r="L158">
        <f ca="1">BINOMDIST(Worksheet!$A$29,Worksheet!$B$15,$P158,1)</f>
        <v>7.1617370461571226E-23</v>
      </c>
      <c r="M158">
        <f ca="1">BINOMDIST(Worksheet!$A$30,Worksheet!$B$15,$P158,1)</f>
        <v>8.3316728144372866E-22</v>
      </c>
      <c r="N158">
        <f ca="1">BINOMDIST(Worksheet!$A$31,Worksheet!$B$15,$P158,1)</f>
        <v>8.55781769646375E-21</v>
      </c>
      <c r="O158">
        <f ca="1">BINOMDIST(Worksheet!$A$32,Worksheet!$B$15,$P158,1)</f>
        <v>7.8575983402296139E-20</v>
      </c>
      <c r="P158">
        <v>0.39300000000000002</v>
      </c>
    </row>
    <row r="159" spans="5:16" x14ac:dyDescent="0.2">
      <c r="E159">
        <f ca="1">BINOMDIST(Worksheet!$A$22,Worksheet!$B$15,$P159,1)</f>
        <v>6.3333474118780593E-33</v>
      </c>
      <c r="F159">
        <f ca="1">BINOMDIST(Worksheet!$A$23,Worksheet!$B$15,$P159,1)</f>
        <v>6.147513665450532E-31</v>
      </c>
      <c r="G159">
        <f ca="1">BINOMDIST(Worksheet!$A$24,Worksheet!$B$15,$P159,1)</f>
        <v>2.9642695279398799E-29</v>
      </c>
      <c r="H159">
        <f ca="1">BINOMDIST(Worksheet!$A$25,Worksheet!$B$15,$P159,1)</f>
        <v>9.4669655494732768E-28</v>
      </c>
      <c r="I159">
        <f ca="1">BINOMDIST(Worksheet!$A$26,Worksheet!$B$15,$P159,1)</f>
        <v>2.2527628502527374E-26</v>
      </c>
      <c r="J159">
        <f ca="1">BINOMDIST(Worksheet!$A$27,Worksheet!$B$15,$P159,1)</f>
        <v>4.2603426399609471E-25</v>
      </c>
      <c r="K159">
        <f ca="1">BINOMDIST(Worksheet!$A$28,Worksheet!$B$15,$P159,1)</f>
        <v>6.6697685184755757E-24</v>
      </c>
      <c r="L159">
        <f ca="1">BINOMDIST(Worksheet!$A$29,Worksheet!$B$15,$P159,1)</f>
        <v>8.8906321001816772E-23</v>
      </c>
      <c r="M159">
        <f ca="1">BINOMDIST(Worksheet!$A$30,Worksheet!$B$15,$P159,1)</f>
        <v>1.030027919980576E-21</v>
      </c>
      <c r="N159">
        <f ca="1">BINOMDIST(Worksheet!$A$31,Worksheet!$B$15,$P159,1)</f>
        <v>1.0536181614928265E-20</v>
      </c>
      <c r="O159">
        <f ca="1">BINOMDIST(Worksheet!$A$32,Worksheet!$B$15,$P159,1)</f>
        <v>9.6341726808799155E-20</v>
      </c>
      <c r="P159">
        <v>0.39200000000000002</v>
      </c>
    </row>
    <row r="160" spans="5:16" x14ac:dyDescent="0.2">
      <c r="E160">
        <f ca="1">BINOMDIST(Worksheet!$A$22,Worksheet!$B$15,$P160,1)</f>
        <v>8.0905231015011243E-33</v>
      </c>
      <c r="F160">
        <f ca="1">BINOMDIST(Worksheet!$A$23,Worksheet!$B$15,$P160,1)</f>
        <v>7.8205732994937217E-31</v>
      </c>
      <c r="G160">
        <f ca="1">BINOMDIST(Worksheet!$A$24,Worksheet!$B$15,$P160,1)</f>
        <v>3.7553741384689041E-29</v>
      </c>
      <c r="H160">
        <f ca="1">BINOMDIST(Worksheet!$A$25,Worksheet!$B$15,$P160,1)</f>
        <v>1.1943824684861052E-27</v>
      </c>
      <c r="I160">
        <f ca="1">BINOMDIST(Worksheet!$A$26,Worksheet!$B$15,$P160,1)</f>
        <v>2.8303875372965123E-26</v>
      </c>
      <c r="J160">
        <f ca="1">BINOMDIST(Worksheet!$A$27,Worksheet!$B$15,$P160,1)</f>
        <v>5.330568146896974E-25</v>
      </c>
      <c r="K160">
        <f ca="1">BINOMDIST(Worksheet!$A$28,Worksheet!$B$15,$P160,1)</f>
        <v>8.3107277219937653E-24</v>
      </c>
      <c r="L160">
        <f ca="1">BINOMDIST(Worksheet!$A$29,Worksheet!$B$15,$P160,1)</f>
        <v>1.1032173251676171E-22</v>
      </c>
      <c r="M160">
        <f ca="1">BINOMDIST(Worksheet!$A$30,Worksheet!$B$15,$P160,1)</f>
        <v>1.2728535486528572E-21</v>
      </c>
      <c r="N160">
        <f ca="1">BINOMDIST(Worksheet!$A$31,Worksheet!$B$15,$P160,1)</f>
        <v>1.2966256496180603E-20</v>
      </c>
      <c r="O160">
        <f ca="1">BINOMDIST(Worksheet!$A$32,Worksheet!$B$15,$P160,1)</f>
        <v>1.1807247609349794E-19</v>
      </c>
      <c r="P160">
        <v>0.39100000000000001</v>
      </c>
    </row>
    <row r="161" spans="5:16" x14ac:dyDescent="0.2">
      <c r="E161">
        <f ca="1">BINOMDIST(Worksheet!$A$22,Worksheet!$B$15,$P161,1)</f>
        <v>1.0331072674026023E-32</v>
      </c>
      <c r="F161">
        <f ca="1">BINOMDIST(Worksheet!$A$23,Worksheet!$B$15,$P161,1)</f>
        <v>9.9449276626033949E-31</v>
      </c>
      <c r="G161">
        <f ca="1">BINOMDIST(Worksheet!$A$24,Worksheet!$B$15,$P161,1)</f>
        <v>4.7556634531671474E-29</v>
      </c>
      <c r="H161">
        <f ca="1">BINOMDIST(Worksheet!$A$25,Worksheet!$B$15,$P161,1)</f>
        <v>1.5062493052480861E-27</v>
      </c>
      <c r="I161">
        <f ca="1">BINOMDIST(Worksheet!$A$26,Worksheet!$B$15,$P161,1)</f>
        <v>3.5546397121064472E-26</v>
      </c>
      <c r="J161">
        <f ca="1">BINOMDIST(Worksheet!$A$27,Worksheet!$B$15,$P161,1)</f>
        <v>6.6668421973891048E-25</v>
      </c>
      <c r="K161">
        <f ca="1">BINOMDIST(Worksheet!$A$28,Worksheet!$B$15,$P161,1)</f>
        <v>1.0351028514333971E-23</v>
      </c>
      <c r="L161">
        <f ca="1">BINOMDIST(Worksheet!$A$29,Worksheet!$B$15,$P161,1)</f>
        <v>1.3683718338776981E-22</v>
      </c>
      <c r="M161">
        <f ca="1">BINOMDIST(Worksheet!$A$30,Worksheet!$B$15,$P161,1)</f>
        <v>1.5722476868490235E-21</v>
      </c>
      <c r="N161">
        <f ca="1">BINOMDIST(Worksheet!$A$31,Worksheet!$B$15,$P161,1)</f>
        <v>1.5949884041190302E-20</v>
      </c>
      <c r="O161">
        <f ca="1">BINOMDIST(Worksheet!$A$32,Worksheet!$B$15,$P161,1)</f>
        <v>1.4464151436037714E-19</v>
      </c>
      <c r="P161">
        <v>0.39</v>
      </c>
    </row>
    <row r="162" spans="5:16" x14ac:dyDescent="0.2">
      <c r="E162">
        <f ca="1">BINOMDIST(Worksheet!$A$22,Worksheet!$B$15,$P162,1)</f>
        <v>1.3186827531087425E-32</v>
      </c>
      <c r="F162">
        <f ca="1">BINOMDIST(Worksheet!$A$23,Worksheet!$B$15,$P162,1)</f>
        <v>1.2641225239784894E-30</v>
      </c>
      <c r="G162">
        <f ca="1">BINOMDIST(Worksheet!$A$24,Worksheet!$B$15,$P162,1)</f>
        <v>6.0199367954314047E-29</v>
      </c>
      <c r="H162">
        <f ca="1">BINOMDIST(Worksheet!$A$25,Worksheet!$B$15,$P162,1)</f>
        <v>1.8987668199144289E-27</v>
      </c>
      <c r="I162">
        <f ca="1">BINOMDIST(Worksheet!$A$26,Worksheet!$B$15,$P162,1)</f>
        <v>4.4623644015749753E-26</v>
      </c>
      <c r="J162">
        <f ca="1">BINOMDIST(Worksheet!$A$27,Worksheet!$B$15,$P162,1)</f>
        <v>8.3346053378043053E-25</v>
      </c>
      <c r="K162">
        <f ca="1">BINOMDIST(Worksheet!$A$28,Worksheet!$B$15,$P162,1)</f>
        <v>1.2886784924685636E-23</v>
      </c>
      <c r="L162">
        <f ca="1">BINOMDIST(Worksheet!$A$29,Worksheet!$B$15,$P162,1)</f>
        <v>1.6965327449515246E-22</v>
      </c>
      <c r="M162">
        <f ca="1">BINOMDIST(Worksheet!$A$30,Worksheet!$B$15,$P162,1)</f>
        <v>1.9412300647761411E-21</v>
      </c>
      <c r="N162">
        <f ca="1">BINOMDIST(Worksheet!$A$31,Worksheet!$B$15,$P162,1)</f>
        <v>1.9611572921681152E-20</v>
      </c>
      <c r="O162">
        <f ca="1">BINOMDIST(Worksheet!$A$32,Worksheet!$B$15,$P162,1)</f>
        <v>1.7711187930254065E-19</v>
      </c>
      <c r="P162">
        <v>0.38900000000000001</v>
      </c>
    </row>
    <row r="163" spans="5:16" x14ac:dyDescent="0.2">
      <c r="E163">
        <f ca="1">BINOMDIST(Worksheet!$A$22,Worksheet!$B$15,$P163,1)</f>
        <v>1.6825264478811065E-32</v>
      </c>
      <c r="F163">
        <f ca="1">BINOMDIST(Worksheet!$A$23,Worksheet!$B$15,$P163,1)</f>
        <v>1.6062079279576265E-30</v>
      </c>
      <c r="G163">
        <f ca="1">BINOMDIST(Worksheet!$A$24,Worksheet!$B$15,$P163,1)</f>
        <v>7.6172147525676007E-29</v>
      </c>
      <c r="H163">
        <f ca="1">BINOMDIST(Worksheet!$A$25,Worksheet!$B$15,$P163,1)</f>
        <v>2.3925898658783223E-27</v>
      </c>
      <c r="I163">
        <f ca="1">BINOMDIST(Worksheet!$A$26,Worksheet!$B$15,$P163,1)</f>
        <v>5.5995707067365437E-26</v>
      </c>
      <c r="J163">
        <f ca="1">BINOMDIST(Worksheet!$A$27,Worksheet!$B$15,$P163,1)</f>
        <v>1.0415222997979728E-24</v>
      </c>
      <c r="K163">
        <f ca="1">BINOMDIST(Worksheet!$A$28,Worksheet!$B$15,$P163,1)</f>
        <v>1.6036985749973453E-23</v>
      </c>
      <c r="L163">
        <f ca="1">BINOMDIST(Worksheet!$A$29,Worksheet!$B$15,$P163,1)</f>
        <v>2.1024993954772051E-22</v>
      </c>
      <c r="M163">
        <f ca="1">BINOMDIST(Worksheet!$A$30,Worksheet!$B$15,$P163,1)</f>
        <v>2.3957803526279147E-21</v>
      </c>
      <c r="N163">
        <f ca="1">BINOMDIST(Worksheet!$A$31,Worksheet!$B$15,$P163,1)</f>
        <v>2.4103477854223955E-20</v>
      </c>
      <c r="O163">
        <f ca="1">BINOMDIST(Worksheet!$A$32,Worksheet!$B$15,$P163,1)</f>
        <v>2.1677702822786674E-19</v>
      </c>
      <c r="P163">
        <v>0.38800000000000001</v>
      </c>
    </row>
    <row r="164" spans="5:16" x14ac:dyDescent="0.2">
      <c r="E164">
        <f ca="1">BINOMDIST(Worksheet!$A$22,Worksheet!$B$15,$P164,1)</f>
        <v>2.1459060453655348E-32</v>
      </c>
      <c r="F164">
        <f ca="1">BINOMDIST(Worksheet!$A$23,Worksheet!$B$15,$P164,1)</f>
        <v>2.040046014677357E-30</v>
      </c>
      <c r="G164">
        <f ca="1">BINOMDIST(Worksheet!$A$24,Worksheet!$B$15,$P164,1)</f>
        <v>9.634395008491943E-29</v>
      </c>
      <c r="H164">
        <f ca="1">BINOMDIST(Worksheet!$A$25,Worksheet!$B$15,$P164,1)</f>
        <v>3.0136113773018876E-27</v>
      </c>
      <c r="I164">
        <f ca="1">BINOMDIST(Worksheet!$A$26,Worksheet!$B$15,$P164,1)</f>
        <v>7.0236875721759811E-26</v>
      </c>
      <c r="J164">
        <f ca="1">BINOMDIST(Worksheet!$A$27,Worksheet!$B$15,$P164,1)</f>
        <v>1.3009818932386473E-24</v>
      </c>
      <c r="K164">
        <f ca="1">BINOMDIST(Worksheet!$A$28,Worksheet!$B$15,$P164,1)</f>
        <v>1.9948877036300397E-23</v>
      </c>
      <c r="L164">
        <f ca="1">BINOMDIST(Worksheet!$A$29,Worksheet!$B$15,$P164,1)</f>
        <v>2.6045066335934436E-22</v>
      </c>
      <c r="M164">
        <f ca="1">BINOMDIST(Worksheet!$A$30,Worksheet!$B$15,$P164,1)</f>
        <v>2.9555026954956727E-21</v>
      </c>
      <c r="N164">
        <f ca="1">BINOMDIST(Worksheet!$A$31,Worksheet!$B$15,$P164,1)</f>
        <v>2.9611457786592851E-20</v>
      </c>
      <c r="O164">
        <f ca="1">BINOMDIST(Worksheet!$A$32,Worksheet!$B$15,$P164,1)</f>
        <v>2.6521009511704055E-19</v>
      </c>
      <c r="P164">
        <v>0.38700000000000001</v>
      </c>
    </row>
    <row r="165" spans="5:16" x14ac:dyDescent="0.2">
      <c r="E165">
        <f ca="1">BINOMDIST(Worksheet!$A$22,Worksheet!$B$15,$P165,1)</f>
        <v>2.7358186136861339E-32</v>
      </c>
      <c r="F165">
        <f ca="1">BINOMDIST(Worksheet!$A$23,Worksheet!$B$15,$P165,1)</f>
        <v>2.590027107106646E-30</v>
      </c>
      <c r="G165">
        <f ca="1">BINOMDIST(Worksheet!$A$24,Worksheet!$B$15,$P165,1)</f>
        <v>1.2180839039469712E-28</v>
      </c>
      <c r="H165">
        <f ca="1">BINOMDIST(Worksheet!$A$25,Worksheet!$B$15,$P165,1)</f>
        <v>3.7942776464557839E-27</v>
      </c>
      <c r="I165">
        <f ca="1">BINOMDIST(Worksheet!$A$26,Worksheet!$B$15,$P165,1)</f>
        <v>8.8063690266397721E-26</v>
      </c>
      <c r="J165">
        <f ca="1">BINOMDIST(Worksheet!$A$27,Worksheet!$B$15,$P165,1)</f>
        <v>1.624402134676211E-24</v>
      </c>
      <c r="K165">
        <f ca="1">BINOMDIST(Worksheet!$A$28,Worksheet!$B$15,$P165,1)</f>
        <v>2.4804596514175624E-23</v>
      </c>
      <c r="L165">
        <f ca="1">BINOMDIST(Worksheet!$A$29,Worksheet!$B$15,$P165,1)</f>
        <v>3.2250128552292429E-22</v>
      </c>
      <c r="M165">
        <f ca="1">BINOMDIST(Worksheet!$A$30,Worksheet!$B$15,$P165,1)</f>
        <v>3.6444375473200917E-21</v>
      </c>
      <c r="N165">
        <f ca="1">BINOMDIST(Worksheet!$A$31,Worksheet!$B$15,$P165,1)</f>
        <v>3.6362443878223354E-20</v>
      </c>
      <c r="O165">
        <f ca="1">BINOMDIST(Worksheet!$A$32,Worksheet!$B$15,$P165,1)</f>
        <v>3.2432352891437998E-19</v>
      </c>
      <c r="P165">
        <v>0.38600000000000001</v>
      </c>
    </row>
    <row r="166" spans="5:16" x14ac:dyDescent="0.2">
      <c r="E166">
        <f ca="1">BINOMDIST(Worksheet!$A$22,Worksheet!$B$15,$P166,1)</f>
        <v>3.4865207202030026E-32</v>
      </c>
      <c r="F166">
        <f ca="1">BINOMDIST(Worksheet!$A$23,Worksheet!$B$15,$P166,1)</f>
        <v>3.2869670139410113E-30</v>
      </c>
      <c r="G166">
        <f ca="1">BINOMDIST(Worksheet!$A$24,Worksheet!$B$15,$P166,1)</f>
        <v>1.5394124420742515E-28</v>
      </c>
      <c r="H166">
        <f ca="1">BINOMDIST(Worksheet!$A$25,Worksheet!$B$15,$P166,1)</f>
        <v>4.7752305763295317E-27</v>
      </c>
      <c r="I166">
        <f ca="1">BINOMDIST(Worksheet!$A$26,Worksheet!$B$15,$P166,1)</f>
        <v>1.1036981324242099E-25</v>
      </c>
      <c r="J166">
        <f ca="1">BINOMDIST(Worksheet!$A$27,Worksheet!$B$15,$P166,1)</f>
        <v>2.0273836595300634E-24</v>
      </c>
      <c r="K166">
        <f ca="1">BINOMDIST(Worksheet!$A$28,Worksheet!$B$15,$P166,1)</f>
        <v>3.0829347789120162E-23</v>
      </c>
      <c r="L166">
        <f ca="1">BINOMDIST(Worksheet!$A$29,Worksheet!$B$15,$P166,1)</f>
        <v>3.9916666141387486E-22</v>
      </c>
      <c r="M166">
        <f ca="1">BINOMDIST(Worksheet!$A$30,Worksheet!$B$15,$P166,1)</f>
        <v>4.4920530304922221E-21</v>
      </c>
      <c r="N166">
        <f ca="1">BINOMDIST(Worksheet!$A$31,Worksheet!$B$15,$P166,1)</f>
        <v>4.463339657980012E-20</v>
      </c>
      <c r="O166">
        <f ca="1">BINOMDIST(Worksheet!$A$32,Worksheet!$B$15,$P166,1)</f>
        <v>3.9644126931275484E-19</v>
      </c>
      <c r="P166">
        <v>0.38500000000000001</v>
      </c>
    </row>
    <row r="167" spans="5:16" x14ac:dyDescent="0.2">
      <c r="E167">
        <f ca="1">BINOMDIST(Worksheet!$A$22,Worksheet!$B$15,$P167,1)</f>
        <v>4.4414636541899763E-32</v>
      </c>
      <c r="F167">
        <f ca="1">BINOMDIST(Worksheet!$A$23,Worksheet!$B$15,$P167,1)</f>
        <v>4.169784513784307E-30</v>
      </c>
      <c r="G167">
        <f ca="1">BINOMDIST(Worksheet!$A$24,Worksheet!$B$15,$P167,1)</f>
        <v>1.9447256118865575E-28</v>
      </c>
      <c r="H167">
        <f ca="1">BINOMDIST(Worksheet!$A$25,Worksheet!$B$15,$P167,1)</f>
        <v>6.0073573759846727E-27</v>
      </c>
      <c r="I167">
        <f ca="1">BINOMDIST(Worksheet!$A$26,Worksheet!$B$15,$P167,1)</f>
        <v>1.382693599152401E-25</v>
      </c>
      <c r="J167">
        <f ca="1">BINOMDIST(Worksheet!$A$27,Worksheet!$B$15,$P167,1)</f>
        <v>2.5292915356898439E-24</v>
      </c>
      <c r="K167">
        <f ca="1">BINOMDIST(Worksheet!$A$28,Worksheet!$B$15,$P167,1)</f>
        <v>3.8301467464161465E-23</v>
      </c>
      <c r="L167">
        <f ca="1">BINOMDIST(Worksheet!$A$29,Worksheet!$B$15,$P167,1)</f>
        <v>4.9384917724714944E-22</v>
      </c>
      <c r="M167">
        <f ca="1">BINOMDIST(Worksheet!$A$30,Worksheet!$B$15,$P167,1)</f>
        <v>5.5344550049758194E-21</v>
      </c>
      <c r="N167">
        <f ca="1">BINOMDIST(Worksheet!$A$31,Worksheet!$B$15,$P167,1)</f>
        <v>5.4762189842014478E-20</v>
      </c>
      <c r="O167">
        <f ca="1">BINOMDIST(Worksheet!$A$32,Worksheet!$B$15,$P167,1)</f>
        <v>4.8438605751071079E-19</v>
      </c>
      <c r="P167">
        <v>0.38400000000000001</v>
      </c>
    </row>
    <row r="168" spans="5:16" x14ac:dyDescent="0.2">
      <c r="E168">
        <f ca="1">BINOMDIST(Worksheet!$A$22,Worksheet!$B$15,$P168,1)</f>
        <v>5.6557400606224831E-32</v>
      </c>
      <c r="F168">
        <f ca="1">BINOMDIST(Worksheet!$A$23,Worksheet!$B$15,$P168,1)</f>
        <v>5.2876127983297797E-30</v>
      </c>
      <c r="G168">
        <f ca="1">BINOMDIST(Worksheet!$A$24,Worksheet!$B$15,$P168,1)</f>
        <v>2.4557703270478205E-28</v>
      </c>
      <c r="H168">
        <f ca="1">BINOMDIST(Worksheet!$A$25,Worksheet!$B$15,$P168,1)</f>
        <v>7.5543477675255168E-27</v>
      </c>
      <c r="I168">
        <f ca="1">BINOMDIST(Worksheet!$A$26,Worksheet!$B$15,$P168,1)</f>
        <v>1.7315071808750364E-25</v>
      </c>
      <c r="J168">
        <f ca="1">BINOMDIST(Worksheet!$A$27,Worksheet!$B$15,$P168,1)</f>
        <v>3.1541537734262366E-24</v>
      </c>
      <c r="K168">
        <f ca="1">BINOMDIST(Worksheet!$A$28,Worksheet!$B$15,$P168,1)</f>
        <v>4.7564818416333273E-23</v>
      </c>
      <c r="L168">
        <f ca="1">BINOMDIST(Worksheet!$A$29,Worksheet!$B$15,$P168,1)</f>
        <v>6.1073399920526083E-22</v>
      </c>
      <c r="M168">
        <f ca="1">BINOMDIST(Worksheet!$A$30,Worksheet!$B$15,$P168,1)</f>
        <v>6.8158634697049791E-21</v>
      </c>
      <c r="N168">
        <f ca="1">BINOMDIST(Worksheet!$A$31,Worksheet!$B$15,$P168,1)</f>
        <v>6.7160831378114197E-20</v>
      </c>
      <c r="O168">
        <f ca="1">BINOMDIST(Worksheet!$A$32,Worksheet!$B$15,$P168,1)</f>
        <v>5.9158500953839021E-19</v>
      </c>
      <c r="P168">
        <v>0.38300000000000001</v>
      </c>
    </row>
    <row r="169" spans="5:16" x14ac:dyDescent="0.2">
      <c r="E169">
        <f ca="1">BINOMDIST(Worksheet!$A$22,Worksheet!$B$15,$P169,1)</f>
        <v>7.1991759542035915E-32</v>
      </c>
      <c r="F169">
        <f ca="1">BINOMDIST(Worksheet!$A$23,Worksheet!$B$15,$P169,1)</f>
        <v>6.7024561116676508E-30</v>
      </c>
      <c r="G169">
        <f ca="1">BINOMDIST(Worksheet!$A$24,Worksheet!$B$15,$P169,1)</f>
        <v>3.099871912344609E-28</v>
      </c>
      <c r="H169">
        <f ca="1">BINOMDIST(Worksheet!$A$25,Worksheet!$B$15,$P169,1)</f>
        <v>9.4958831006655705E-27</v>
      </c>
      <c r="I169">
        <f ca="1">BINOMDIST(Worksheet!$A$26,Worksheet!$B$15,$P169,1)</f>
        <v>2.1674336961393333E-25</v>
      </c>
      <c r="J169">
        <f ca="1">BINOMDIST(Worksheet!$A$27,Worksheet!$B$15,$P169,1)</f>
        <v>3.9317719385362155E-24</v>
      </c>
      <c r="K169">
        <f ca="1">BINOMDIST(Worksheet!$A$28,Worksheet!$B$15,$P169,1)</f>
        <v>5.9044040417305374E-23</v>
      </c>
      <c r="L169">
        <f ca="1">BINOMDIST(Worksheet!$A$29,Worksheet!$B$15,$P169,1)</f>
        <v>7.5496701265984746E-22</v>
      </c>
      <c r="M169">
        <f ca="1">BINOMDIST(Worksheet!$A$30,Worksheet!$B$15,$P169,1)</f>
        <v>8.3904131506705466E-21</v>
      </c>
      <c r="N169">
        <f ca="1">BINOMDIST(Worksheet!$A$31,Worksheet!$B$15,$P169,1)</f>
        <v>8.233151345371445E-20</v>
      </c>
      <c r="O169">
        <f ca="1">BINOMDIST(Worksheet!$A$32,Worksheet!$B$15,$P169,1)</f>
        <v>7.221972163997941E-19</v>
      </c>
      <c r="P169">
        <v>0.38200000000000001</v>
      </c>
    </row>
    <row r="170" spans="5:16" x14ac:dyDescent="0.2">
      <c r="E170">
        <f ca="1">BINOMDIST(Worksheet!$A$22,Worksheet!$B$15,$P170,1)</f>
        <v>9.1602368695773653E-32</v>
      </c>
      <c r="F170">
        <f ca="1">BINOMDIST(Worksheet!$A$23,Worksheet!$B$15,$P170,1)</f>
        <v>8.4925310738498274E-30</v>
      </c>
      <c r="G170">
        <f ca="1">BINOMDIST(Worksheet!$A$24,Worksheet!$B$15,$P170,1)</f>
        <v>3.911351545199103E-28</v>
      </c>
      <c r="H170">
        <f ca="1">BINOMDIST(Worksheet!$A$25,Worksheet!$B$15,$P170,1)</f>
        <v>1.1931611951150847E-26</v>
      </c>
      <c r="I170">
        <f ca="1">BINOMDIST(Worksheet!$A$26,Worksheet!$B$15,$P170,1)</f>
        <v>2.7120082127643204E-25</v>
      </c>
      <c r="J170">
        <f ca="1">BINOMDIST(Worksheet!$A$27,Worksheet!$B$15,$P170,1)</f>
        <v>4.8990933799759571E-24</v>
      </c>
      <c r="K170">
        <f ca="1">BINOMDIST(Worksheet!$A$28,Worksheet!$B$15,$P170,1)</f>
        <v>7.3263309142090204E-23</v>
      </c>
      <c r="L170">
        <f ca="1">BINOMDIST(Worksheet!$A$29,Worksheet!$B$15,$P170,1)</f>
        <v>9.3287271771980539E-22</v>
      </c>
      <c r="M170">
        <f ca="1">BINOMDIST(Worksheet!$A$30,Worksheet!$B$15,$P170,1)</f>
        <v>1.0324348530092963E-20</v>
      </c>
      <c r="N170">
        <f ca="1">BINOMDIST(Worksheet!$A$31,Worksheet!$B$15,$P170,1)</f>
        <v>1.0088609186459326E-19</v>
      </c>
      <c r="O170">
        <f ca="1">BINOMDIST(Worksheet!$A$32,Worksheet!$B$15,$P170,1)</f>
        <v>8.8126789953215279E-19</v>
      </c>
      <c r="P170">
        <v>0.38100000000000001</v>
      </c>
    </row>
    <row r="171" spans="5:16" x14ac:dyDescent="0.2">
      <c r="E171">
        <f ca="1">BINOMDIST(Worksheet!$A$22,Worksheet!$B$15,$P171,1)</f>
        <v>1.1650960643742139E-31</v>
      </c>
      <c r="F171">
        <f ca="1">BINOMDIST(Worksheet!$A$23,Worksheet!$B$15,$P171,1)</f>
        <v>1.0756467536254784E-29</v>
      </c>
      <c r="G171">
        <f ca="1">BINOMDIST(Worksheet!$A$24,Worksheet!$B$15,$P171,1)</f>
        <v>4.93330043320877E-28</v>
      </c>
      <c r="H171">
        <f ca="1">BINOMDIST(Worksheet!$A$25,Worksheet!$B$15,$P171,1)</f>
        <v>1.4986104206401047E-26</v>
      </c>
      <c r="I171">
        <f ca="1">BINOMDIST(Worksheet!$A$26,Worksheet!$B$15,$P171,1)</f>
        <v>3.3920348749982052E-25</v>
      </c>
      <c r="J171">
        <f ca="1">BINOMDIST(Worksheet!$A$27,Worksheet!$B$15,$P171,1)</f>
        <v>6.1019060099086932E-24</v>
      </c>
      <c r="K171">
        <f ca="1">BINOMDIST(Worksheet!$A$28,Worksheet!$B$15,$P171,1)</f>
        <v>9.0869401178246049E-23</v>
      </c>
      <c r="L171">
        <f ca="1">BINOMDIST(Worksheet!$A$29,Worksheet!$B$15,$P171,1)</f>
        <v>1.1522209420647451E-21</v>
      </c>
      <c r="M171">
        <f ca="1">BINOMDIST(Worksheet!$A$30,Worksheet!$B$15,$P171,1)</f>
        <v>1.2698698592515516E-20</v>
      </c>
      <c r="N171">
        <f ca="1">BINOMDIST(Worksheet!$A$31,Worksheet!$B$15,$P171,1)</f>
        <v>1.2356971517157557E-19</v>
      </c>
      <c r="O171">
        <f ca="1">BINOMDIST(Worksheet!$A$32,Worksheet!$B$15,$P171,1)</f>
        <v>1.0749145671080159E-18</v>
      </c>
      <c r="P171">
        <v>0.38</v>
      </c>
    </row>
    <row r="172" spans="5:16" x14ac:dyDescent="0.2">
      <c r="E172">
        <f ca="1">BINOMDIST(Worksheet!$A$22,Worksheet!$B$15,$P172,1)</f>
        <v>1.4813184303892026E-31</v>
      </c>
      <c r="F172">
        <f ca="1">BINOMDIST(Worksheet!$A$23,Worksheet!$B$15,$P172,1)</f>
        <v>1.3618588056003265E-29</v>
      </c>
      <c r="G172">
        <f ca="1">BINOMDIST(Worksheet!$A$24,Worksheet!$B$15,$P172,1)</f>
        <v>6.219799647851466E-28</v>
      </c>
      <c r="H172">
        <f ca="1">BINOMDIST(Worksheet!$A$25,Worksheet!$B$15,$P172,1)</f>
        <v>1.8815022037630426E-26</v>
      </c>
      <c r="I172">
        <f ca="1">BINOMDIST(Worksheet!$A$26,Worksheet!$B$15,$P172,1)</f>
        <v>4.2408627407419246E-25</v>
      </c>
      <c r="J172">
        <f ca="1">BINOMDIST(Worksheet!$A$27,Worksheet!$B$15,$P172,1)</f>
        <v>7.5969306076230715E-24</v>
      </c>
      <c r="K172">
        <f ca="1">BINOMDIST(Worksheet!$A$28,Worksheet!$B$15,$P172,1)</f>
        <v>1.1266004181206845E-22</v>
      </c>
      <c r="L172">
        <f ca="1">BINOMDIST(Worksheet!$A$29,Worksheet!$B$15,$P172,1)</f>
        <v>1.4225531722347333E-21</v>
      </c>
      <c r="M172">
        <f ca="1">BINOMDIST(Worksheet!$A$30,Worksheet!$B$15,$P172,1)</f>
        <v>1.5612534752968824E-20</v>
      </c>
      <c r="N172">
        <f ca="1">BINOMDIST(Worksheet!$A$31,Worksheet!$B$15,$P172,1)</f>
        <v>1.5128947619022924E-19</v>
      </c>
      <c r="O172">
        <f ca="1">BINOMDIST(Worksheet!$A$32,Worksheet!$B$15,$P172,1)</f>
        <v>1.3105517165543243E-18</v>
      </c>
      <c r="P172">
        <v>0.379</v>
      </c>
    </row>
    <row r="173" spans="5:16" x14ac:dyDescent="0.2">
      <c r="E173">
        <f ca="1">BINOMDIST(Worksheet!$A$22,Worksheet!$B$15,$P173,1)</f>
        <v>1.8826401609622744E-31</v>
      </c>
      <c r="F173">
        <f ca="1">BINOMDIST(Worksheet!$A$23,Worksheet!$B$15,$P173,1)</f>
        <v>1.7235540406082879E-29</v>
      </c>
      <c r="G173">
        <f ca="1">BINOMDIST(Worksheet!$A$24,Worksheet!$B$15,$P173,1)</f>
        <v>7.8386964841365462E-28</v>
      </c>
      <c r="H173">
        <f ca="1">BINOMDIST(Worksheet!$A$25,Worksheet!$B$15,$P173,1)</f>
        <v>2.3612803649243433E-26</v>
      </c>
      <c r="I173">
        <f ca="1">BINOMDIST(Worksheet!$A$26,Worksheet!$B$15,$P173,1)</f>
        <v>5.2999673035254006E-25</v>
      </c>
      <c r="J173">
        <f ca="1">BINOMDIST(Worksheet!$A$27,Worksheet!$B$15,$P173,1)</f>
        <v>9.454402846946576E-24</v>
      </c>
      <c r="K173">
        <f ca="1">BINOMDIST(Worksheet!$A$28,Worksheet!$B$15,$P173,1)</f>
        <v>1.3961873128704567E-22</v>
      </c>
      <c r="L173">
        <f ca="1">BINOMDIST(Worksheet!$A$29,Worksheet!$B$15,$P173,1)</f>
        <v>1.7555816641077076E-21</v>
      </c>
      <c r="M173">
        <f ca="1">BINOMDIST(Worksheet!$A$30,Worksheet!$B$15,$P173,1)</f>
        <v>1.9186937448287983E-20</v>
      </c>
      <c r="N173">
        <f ca="1">BINOMDIST(Worksheet!$A$31,Worksheet!$B$15,$P173,1)</f>
        <v>1.8514913833882863E-19</v>
      </c>
      <c r="O173">
        <f ca="1">BINOMDIST(Worksheet!$A$32,Worksheet!$B$15,$P173,1)</f>
        <v>1.5971619472017422E-18</v>
      </c>
      <c r="P173">
        <v>0.378</v>
      </c>
    </row>
    <row r="174" spans="5:16" x14ac:dyDescent="0.2">
      <c r="E174">
        <f ca="1">BINOMDIST(Worksheet!$A$22,Worksheet!$B$15,$P174,1)</f>
        <v>2.3917674556085944E-31</v>
      </c>
      <c r="F174">
        <f ca="1">BINOMDIST(Worksheet!$A$23,Worksheet!$B$15,$P174,1)</f>
        <v>2.180462671087425E-29</v>
      </c>
      <c r="G174">
        <f ca="1">BINOMDIST(Worksheet!$A$24,Worksheet!$B$15,$P174,1)</f>
        <v>9.875075530869749E-28</v>
      </c>
      <c r="H174">
        <f ca="1">BINOMDIST(Worksheet!$A$25,Worksheet!$B$15,$P174,1)</f>
        <v>2.9622226909340015E-26</v>
      </c>
      <c r="I174">
        <f ca="1">BINOMDIST(Worksheet!$A$26,Worksheet!$B$15,$P174,1)</f>
        <v>6.6209101615768448E-25</v>
      </c>
      <c r="J174">
        <f ca="1">BINOMDIST(Worksheet!$A$27,Worksheet!$B$15,$P174,1)</f>
        <v>1.176125838831214E-23</v>
      </c>
      <c r="K174">
        <f ca="1">BINOMDIST(Worksheet!$A$28,Worksheet!$B$15,$P174,1)</f>
        <v>1.7295751261504257E-22</v>
      </c>
      <c r="L174">
        <f ca="1">BINOMDIST(Worksheet!$A$29,Worksheet!$B$15,$P174,1)</f>
        <v>2.1656773616444472E-21</v>
      </c>
      <c r="M174">
        <f ca="1">BINOMDIST(Worksheet!$A$30,Worksheet!$B$15,$P174,1)</f>
        <v>2.3569823508903614E-20</v>
      </c>
      <c r="N174">
        <f ca="1">BINOMDIST(Worksheet!$A$31,Worksheet!$B$15,$P174,1)</f>
        <v>2.2649120691355307E-19</v>
      </c>
      <c r="O174">
        <f ca="1">BINOMDIST(Worksheet!$A$32,Worksheet!$B$15,$P174,1)</f>
        <v>1.9456229269933813E-18</v>
      </c>
      <c r="P174">
        <v>0.377</v>
      </c>
    </row>
    <row r="175" spans="5:16" x14ac:dyDescent="0.2">
      <c r="E175">
        <f ca="1">BINOMDIST(Worksheet!$A$22,Worksheet!$B$15,$P175,1)</f>
        <v>3.0374131070400971E-31</v>
      </c>
      <c r="F175">
        <f ca="1">BINOMDIST(Worksheet!$A$23,Worksheet!$B$15,$P175,1)</f>
        <v>2.7574259244808996E-29</v>
      </c>
      <c r="G175">
        <f ca="1">BINOMDIST(Worksheet!$A$24,Worksheet!$B$15,$P175,1)</f>
        <v>1.243559661486057E-27</v>
      </c>
      <c r="H175">
        <f ca="1">BINOMDIST(Worksheet!$A$25,Worksheet!$B$15,$P175,1)</f>
        <v>3.7146308140480947E-26</v>
      </c>
      <c r="I175">
        <f ca="1">BINOMDIST(Worksheet!$A$26,Worksheet!$B$15,$P175,1)</f>
        <v>8.2677662885477515E-25</v>
      </c>
      <c r="J175">
        <f ca="1">BINOMDIST(Worksheet!$A$27,Worksheet!$B$15,$P175,1)</f>
        <v>1.4625060310054599E-23</v>
      </c>
      <c r="K175">
        <f ca="1">BINOMDIST(Worksheet!$A$28,Worksheet!$B$15,$P175,1)</f>
        <v>2.1416947046894463E-22</v>
      </c>
      <c r="L175">
        <f ca="1">BINOMDIST(Worksheet!$A$29,Worksheet!$B$15,$P175,1)</f>
        <v>2.6704661383771945E-21</v>
      </c>
      <c r="M175">
        <f ca="1">BINOMDIST(Worksheet!$A$30,Worksheet!$B$15,$P175,1)</f>
        <v>2.8941818640972842E-20</v>
      </c>
      <c r="N175">
        <f ca="1">BINOMDIST(Worksheet!$A$31,Worksheet!$B$15,$P175,1)</f>
        <v>2.7694787709496398E-19</v>
      </c>
      <c r="O175">
        <f ca="1">BINOMDIST(Worksheet!$A$32,Worksheet!$B$15,$P175,1)</f>
        <v>2.369101549694022E-18</v>
      </c>
      <c r="P175">
        <v>0.376</v>
      </c>
    </row>
    <row r="176" spans="5:16" x14ac:dyDescent="0.2">
      <c r="E176">
        <f ca="1">BINOMDIST(Worksheet!$A$22,Worksheet!$B$15,$P176,1)</f>
        <v>3.8558717841645955E-31</v>
      </c>
      <c r="F176">
        <f ca="1">BINOMDIST(Worksheet!$A$23,Worksheet!$B$15,$P176,1)</f>
        <v>3.4857080928848123E-29</v>
      </c>
      <c r="G176">
        <f ca="1">BINOMDIST(Worksheet!$A$24,Worksheet!$B$15,$P176,1)</f>
        <v>1.5653914034480187E-27</v>
      </c>
      <c r="H176">
        <f ca="1">BINOMDIST(Worksheet!$A$25,Worksheet!$B$15,$P176,1)</f>
        <v>4.6563100485511102E-26</v>
      </c>
      <c r="I176">
        <f ca="1">BINOMDIST(Worksheet!$A$26,Worksheet!$B$15,$P176,1)</f>
        <v>1.032012929382696E-24</v>
      </c>
      <c r="J176">
        <f ca="1">BINOMDIST(Worksheet!$A$27,Worksheet!$B$15,$P176,1)</f>
        <v>1.8178839952193767E-23</v>
      </c>
      <c r="K176">
        <f ca="1">BINOMDIST(Worksheet!$A$28,Worksheet!$B$15,$P176,1)</f>
        <v>2.6509314908067379E-22</v>
      </c>
      <c r="L176">
        <f ca="1">BINOMDIST(Worksheet!$A$29,Worksheet!$B$15,$P176,1)</f>
        <v>3.2915571095411966E-21</v>
      </c>
      <c r="M176">
        <f ca="1">BINOMDIST(Worksheet!$A$30,Worksheet!$B$15,$P176,1)</f>
        <v>3.5523398288445347E-20</v>
      </c>
      <c r="N176">
        <f ca="1">BINOMDIST(Worksheet!$A$31,Worksheet!$B$15,$P176,1)</f>
        <v>3.3850270537014554E-19</v>
      </c>
      <c r="O176">
        <f ca="1">BINOMDIST(Worksheet!$A$32,Worksheet!$B$15,$P176,1)</f>
        <v>2.8835288848564323E-18</v>
      </c>
      <c r="P176">
        <v>0.375</v>
      </c>
    </row>
    <row r="177" spans="5:16" x14ac:dyDescent="0.2">
      <c r="E177">
        <f ca="1">BINOMDIST(Worksheet!$A$22,Worksheet!$B$15,$P177,1)</f>
        <v>4.8930048738447898E-31</v>
      </c>
      <c r="F177">
        <f ca="1">BINOMDIST(Worksheet!$A$23,Worksheet!$B$15,$P177,1)</f>
        <v>4.4046423426661665E-29</v>
      </c>
      <c r="G177">
        <f ca="1">BINOMDIST(Worksheet!$A$24,Worksheet!$B$15,$P177,1)</f>
        <v>1.9697444018091335E-27</v>
      </c>
      <c r="H177">
        <f ca="1">BINOMDIST(Worksheet!$A$25,Worksheet!$B$15,$P177,1)</f>
        <v>5.8344091289727598E-26</v>
      </c>
      <c r="I177">
        <f ca="1">BINOMDIST(Worksheet!$A$26,Worksheet!$B$15,$P177,1)</f>
        <v>1.2876830838887396E-24</v>
      </c>
      <c r="J177">
        <f ca="1">BINOMDIST(Worksheet!$A$27,Worksheet!$B$15,$P177,1)</f>
        <v>2.2587061220835697E-23</v>
      </c>
      <c r="K177">
        <f ca="1">BINOMDIST(Worksheet!$A$28,Worksheet!$B$15,$P177,1)</f>
        <v>3.2799156306945792E-22</v>
      </c>
      <c r="L177">
        <f ca="1">BINOMDIST(Worksheet!$A$29,Worksheet!$B$15,$P177,1)</f>
        <v>4.0554319026102825E-21</v>
      </c>
      <c r="M177">
        <f ca="1">BINOMDIST(Worksheet!$A$30,Worksheet!$B$15,$P177,1)</f>
        <v>4.3583567196607097E-20</v>
      </c>
      <c r="N177">
        <f ca="1">BINOMDIST(Worksheet!$A$31,Worksheet!$B$15,$P177,1)</f>
        <v>4.1356522970878501E-19</v>
      </c>
      <c r="O177">
        <f ca="1">BINOMDIST(Worksheet!$A$32,Worksheet!$B$15,$P177,1)</f>
        <v>3.5081722343633914E-18</v>
      </c>
      <c r="P177">
        <v>0.374</v>
      </c>
    </row>
    <row r="178" spans="5:16" x14ac:dyDescent="0.2">
      <c r="E178">
        <f ca="1">BINOMDIST(Worksheet!$A$22,Worksheet!$B$15,$P178,1)</f>
        <v>6.2067404370708305E-31</v>
      </c>
      <c r="F178">
        <f ca="1">BINOMDIST(Worksheet!$A$23,Worksheet!$B$15,$P178,1)</f>
        <v>5.5636944102892003E-29</v>
      </c>
      <c r="G178">
        <f ca="1">BINOMDIST(Worksheet!$A$24,Worksheet!$B$15,$P178,1)</f>
        <v>2.4775812601692713E-27</v>
      </c>
      <c r="H178">
        <f ca="1">BINOMDIST(Worksheet!$A$25,Worksheet!$B$15,$P178,1)</f>
        <v>7.3077064935998866E-26</v>
      </c>
      <c r="I178">
        <f ca="1">BINOMDIST(Worksheet!$A$26,Worksheet!$B$15,$P178,1)</f>
        <v>1.6060542108763194E-24</v>
      </c>
      <c r="J178">
        <f ca="1">BINOMDIST(Worksheet!$A$27,Worksheet!$B$15,$P178,1)</f>
        <v>2.8052966152880177E-23</v>
      </c>
      <c r="K178">
        <f ca="1">BINOMDIST(Worksheet!$A$28,Worksheet!$B$15,$P178,1)</f>
        <v>4.0564906775546093E-22</v>
      </c>
      <c r="L178">
        <f ca="1">BINOMDIST(Worksheet!$A$29,Worksheet!$B$15,$P178,1)</f>
        <v>4.9945300117928378E-21</v>
      </c>
      <c r="M178">
        <f ca="1">BINOMDIST(Worksheet!$A$30,Worksheet!$B$15,$P178,1)</f>
        <v>5.3450404828755218E-20</v>
      </c>
      <c r="N178">
        <f ca="1">BINOMDIST(Worksheet!$A$31,Worksheet!$B$15,$P178,1)</f>
        <v>5.0506121897876352E-19</v>
      </c>
      <c r="O178">
        <f ca="1">BINOMDIST(Worksheet!$A$32,Worksheet!$B$15,$P178,1)</f>
        <v>4.2663238529363038E-18</v>
      </c>
      <c r="P178">
        <v>0.373</v>
      </c>
    </row>
    <row r="179" spans="5:16" x14ac:dyDescent="0.2">
      <c r="E179">
        <f ca="1">BINOMDIST(Worksheet!$A$22,Worksheet!$B$15,$P179,1)</f>
        <v>7.8702208023165811E-31</v>
      </c>
      <c r="F179">
        <f ca="1">BINOMDIST(Worksheet!$A$23,Worksheet!$B$15,$P179,1)</f>
        <v>7.0250493199785313E-29</v>
      </c>
      <c r="G179">
        <f ca="1">BINOMDIST(Worksheet!$A$24,Worksheet!$B$15,$P179,1)</f>
        <v>3.1151397176887783E-27</v>
      </c>
      <c r="H179">
        <f ca="1">BINOMDIST(Worksheet!$A$25,Worksheet!$B$15,$P179,1)</f>
        <v>9.1494504023398575E-26</v>
      </c>
      <c r="I179">
        <f ca="1">BINOMDIST(Worksheet!$A$26,Worksheet!$B$15,$P179,1)</f>
        <v>2.0023464284547973E-24</v>
      </c>
      <c r="J179">
        <f ca="1">BINOMDIST(Worksheet!$A$27,Worksheet!$B$15,$P179,1)</f>
        <v>3.4827618022030889E-23</v>
      </c>
      <c r="K179">
        <f ca="1">BINOMDIST(Worksheet!$A$28,Worksheet!$B$15,$P179,1)</f>
        <v>5.0149007787465778E-22</v>
      </c>
      <c r="L179">
        <f ca="1">BINOMDIST(Worksheet!$A$29,Worksheet!$B$15,$P179,1)</f>
        <v>6.1485729291759601E-21</v>
      </c>
      <c r="M179">
        <f ca="1">BINOMDIST(Worksheet!$A$30,Worksheet!$B$15,$P179,1)</f>
        <v>6.5523872399147567E-20</v>
      </c>
      <c r="N179">
        <f ca="1">BINOMDIST(Worksheet!$A$31,Worksheet!$B$15,$P179,1)</f>
        <v>6.1654177894531284E-19</v>
      </c>
      <c r="O179">
        <f ca="1">BINOMDIST(Worksheet!$A$32,Worksheet!$B$15,$P179,1)</f>
        <v>5.1861297682645068E-18</v>
      </c>
      <c r="P179">
        <v>0.372</v>
      </c>
    </row>
    <row r="180" spans="5:16" x14ac:dyDescent="0.2">
      <c r="E180">
        <f ca="1">BINOMDIST(Worksheet!$A$22,Worksheet!$B$15,$P180,1)</f>
        <v>9.9757641149306887E-31</v>
      </c>
      <c r="F180">
        <f ca="1">BINOMDIST(Worksheet!$A$23,Worksheet!$B$15,$P180,1)</f>
        <v>8.8668524664155818E-29</v>
      </c>
      <c r="G180">
        <f ca="1">BINOMDIST(Worksheet!$A$24,Worksheet!$B$15,$P180,1)</f>
        <v>3.9152475601627697E-27</v>
      </c>
      <c r="H180">
        <f ca="1">BINOMDIST(Worksheet!$A$25,Worksheet!$B$15,$P180,1)</f>
        <v>1.1450885691839645E-25</v>
      </c>
      <c r="I180">
        <f ca="1">BINOMDIST(Worksheet!$A$26,Worksheet!$B$15,$P180,1)</f>
        <v>2.4954362990877361E-24</v>
      </c>
      <c r="J180">
        <f ca="1">BINOMDIST(Worksheet!$A$27,Worksheet!$B$15,$P180,1)</f>
        <v>4.3221029860773283E-23</v>
      </c>
      <c r="K180">
        <f ca="1">BINOMDIST(Worksheet!$A$28,Worksheet!$B$15,$P180,1)</f>
        <v>6.1972450374510725E-22</v>
      </c>
      <c r="L180">
        <f ca="1">BINOMDIST(Worksheet!$A$29,Worksheet!$B$15,$P180,1)</f>
        <v>7.5661789211844564E-21</v>
      </c>
      <c r="M180">
        <f ca="1">BINOMDIST(Worksheet!$A$30,Worksheet!$B$15,$P180,1)</f>
        <v>8.0291360085639584E-20</v>
      </c>
      <c r="N180">
        <f ca="1">BINOMDIST(Worksheet!$A$31,Worksheet!$B$15,$P180,1)</f>
        <v>7.5231519896461061E-19</v>
      </c>
      <c r="O180">
        <f ca="1">BINOMDIST(Worksheet!$A$32,Worksheet!$B$15,$P180,1)</f>
        <v>6.3015867715200234E-18</v>
      </c>
      <c r="P180">
        <v>0.371</v>
      </c>
    </row>
    <row r="181" spans="5:16" x14ac:dyDescent="0.2">
      <c r="E181">
        <f ca="1">BINOMDIST(Worksheet!$A$22,Worksheet!$B$15,$P181,1)</f>
        <v>1.263984850051546E-30</v>
      </c>
      <c r="F181">
        <f ca="1">BINOMDIST(Worksheet!$A$23,Worksheet!$B$15,$P181,1)</f>
        <v>1.1187269085535537E-28</v>
      </c>
      <c r="G181">
        <f ca="1">BINOMDIST(Worksheet!$A$24,Worksheet!$B$15,$P181,1)</f>
        <v>4.9189621677208068E-27</v>
      </c>
      <c r="H181">
        <f ca="1">BINOMDIST(Worksheet!$A$25,Worksheet!$B$15,$P181,1)</f>
        <v>1.4325631489084749E-25</v>
      </c>
      <c r="I181">
        <f ca="1">BINOMDIST(Worksheet!$A$26,Worksheet!$B$15,$P181,1)</f>
        <v>3.1087260744556672E-24</v>
      </c>
      <c r="J181">
        <f ca="1">BINOMDIST(Worksheet!$A$27,Worksheet!$B$15,$P181,1)</f>
        <v>5.3615853884186905E-23</v>
      </c>
      <c r="K181">
        <f ca="1">BINOMDIST(Worksheet!$A$28,Worksheet!$B$15,$P181,1)</f>
        <v>7.6552584586896273E-22</v>
      </c>
      <c r="L181">
        <f ca="1">BINOMDIST(Worksheet!$A$29,Worksheet!$B$15,$P181,1)</f>
        <v>9.3068314413144814E-21</v>
      </c>
      <c r="M181">
        <f ca="1">BINOMDIST(Worksheet!$A$30,Worksheet!$B$15,$P181,1)</f>
        <v>9.8346552866852147E-20</v>
      </c>
      <c r="N181">
        <f ca="1">BINOMDIST(Worksheet!$A$31,Worksheet!$B$15,$P181,1)</f>
        <v>9.176062119092234E-19</v>
      </c>
      <c r="O181">
        <f ca="1">BINOMDIST(Worksheet!$A$32,Worksheet!$B$15,$P181,1)</f>
        <v>7.6537411862576567E-18</v>
      </c>
      <c r="P181">
        <v>0.37</v>
      </c>
    </row>
    <row r="182" spans="5:16" x14ac:dyDescent="0.2">
      <c r="E182">
        <f ca="1">BINOMDIST(Worksheet!$A$22,Worksheet!$B$15,$P182,1)</f>
        <v>1.600938052279215E-30</v>
      </c>
      <c r="F182">
        <f ca="1">BINOMDIST(Worksheet!$A$23,Worksheet!$B$15,$P182,1)</f>
        <v>1.4109566872163674E-28</v>
      </c>
      <c r="G182">
        <f ca="1">BINOMDIST(Worksheet!$A$24,Worksheet!$B$15,$P182,1)</f>
        <v>6.17761407705361E-27</v>
      </c>
      <c r="H182">
        <f ca="1">BINOMDIST(Worksheet!$A$25,Worksheet!$B$15,$P182,1)</f>
        <v>1.7915113125779899E-25</v>
      </c>
      <c r="I182">
        <f ca="1">BINOMDIST(Worksheet!$A$26,Worksheet!$B$15,$P182,1)</f>
        <v>3.8712174009073511E-24</v>
      </c>
      <c r="J182">
        <f ca="1">BINOMDIST(Worksheet!$A$27,Worksheet!$B$15,$P182,1)</f>
        <v>6.6484214471461756E-23</v>
      </c>
      <c r="K182">
        <f ca="1">BINOMDIST(Worksheet!$A$28,Worksheet!$B$15,$P182,1)</f>
        <v>9.4524919395930504E-22</v>
      </c>
      <c r="L182">
        <f ca="1">BINOMDIST(Worksheet!$A$29,Worksheet!$B$15,$P182,1)</f>
        <v>1.1443277645993497E-20</v>
      </c>
      <c r="M182">
        <f ca="1">BINOMDIST(Worksheet!$A$30,Worksheet!$B$15,$P182,1)</f>
        <v>1.2041231386423581E-19</v>
      </c>
      <c r="N182">
        <f ca="1">BINOMDIST(Worksheet!$A$31,Worksheet!$B$15,$P182,1)</f>
        <v>1.1187482859365942E-18</v>
      </c>
      <c r="O182">
        <f ca="1">BINOMDIST(Worksheet!$A$32,Worksheet!$B$15,$P182,1)</f>
        <v>9.2921296357397569E-18</v>
      </c>
      <c r="P182">
        <v>0.36899999999999999</v>
      </c>
    </row>
    <row r="183" spans="5:16" x14ac:dyDescent="0.2">
      <c r="E183">
        <f ca="1">BINOMDIST(Worksheet!$A$22,Worksheet!$B$15,$P183,1)</f>
        <v>2.0269575994443239E-30</v>
      </c>
      <c r="F183">
        <f ca="1">BINOMDIST(Worksheet!$A$23,Worksheet!$B$15,$P183,1)</f>
        <v>1.7788477261958987E-28</v>
      </c>
      <c r="G183">
        <f ca="1">BINOMDIST(Worksheet!$A$24,Worksheet!$B$15,$P183,1)</f>
        <v>7.7553531565255848E-27</v>
      </c>
      <c r="H183">
        <f ca="1">BINOMDIST(Worksheet!$A$25,Worksheet!$B$15,$P183,1)</f>
        <v>2.239529954011339E-25</v>
      </c>
      <c r="I183">
        <f ca="1">BINOMDIST(Worksheet!$A$26,Worksheet!$B$15,$P183,1)</f>
        <v>4.8188370628529847E-24</v>
      </c>
      <c r="J183">
        <f ca="1">BINOMDIST(Worksheet!$A$27,Worksheet!$B$15,$P183,1)</f>
        <v>8.240839840438266E-23</v>
      </c>
      <c r="K183">
        <f ca="1">BINOMDIST(Worksheet!$A$28,Worksheet!$B$15,$P183,1)</f>
        <v>1.1666979644936027E-21</v>
      </c>
      <c r="L183">
        <f ca="1">BINOMDIST(Worksheet!$A$29,Worksheet!$B$15,$P183,1)</f>
        <v>1.4064449801265519E-20</v>
      </c>
      <c r="M183">
        <f ca="1">BINOMDIST(Worksheet!$A$30,Worksheet!$B$15,$P183,1)</f>
        <v>1.4736842922815461E-19</v>
      </c>
      <c r="N183">
        <f ca="1">BINOMDIST(Worksheet!$A$31,Worksheet!$B$15,$P183,1)</f>
        <v>1.3634157014683883E-18</v>
      </c>
      <c r="O183">
        <f ca="1">BINOMDIST(Worksheet!$A$32,Worksheet!$B$15,$P183,1)</f>
        <v>1.1276509920743243E-17</v>
      </c>
      <c r="P183">
        <v>0.36799999999999999</v>
      </c>
    </row>
    <row r="184" spans="5:16" x14ac:dyDescent="0.2">
      <c r="E184">
        <f ca="1">BINOMDIST(Worksheet!$A$22,Worksheet!$B$15,$P184,1)</f>
        <v>2.5653864267138139E-30</v>
      </c>
      <c r="F184">
        <f ca="1">BINOMDIST(Worksheet!$A$23,Worksheet!$B$15,$P184,1)</f>
        <v>2.2418154120079401E-28</v>
      </c>
      <c r="G184">
        <f ca="1">BINOMDIST(Worksheet!$A$24,Worksheet!$B$15,$P184,1)</f>
        <v>9.7323198213816057E-27</v>
      </c>
      <c r="H184">
        <f ca="1">BINOMDIST(Worksheet!$A$25,Worksheet!$B$15,$P184,1)</f>
        <v>2.7985056736086198E-25</v>
      </c>
      <c r="I184">
        <f ca="1">BINOMDIST(Worksheet!$A$26,Worksheet!$B$15,$P184,1)</f>
        <v>5.9960732923452239E-24</v>
      </c>
      <c r="J184">
        <f ca="1">BINOMDIST(Worksheet!$A$27,Worksheet!$B$15,$P184,1)</f>
        <v>1.0210627623390668E-22</v>
      </c>
      <c r="K184">
        <f ca="1">BINOMDIST(Worksheet!$A$28,Worksheet!$B$15,$P184,1)</f>
        <v>1.4394501427572619E-21</v>
      </c>
      <c r="L184">
        <f ca="1">BINOMDIST(Worksheet!$A$29,Worksheet!$B$15,$P184,1)</f>
        <v>1.7279022126285143E-20</v>
      </c>
      <c r="M184">
        <f ca="1">BINOMDIST(Worksheet!$A$30,Worksheet!$B$15,$P184,1)</f>
        <v>1.8028523349073406E-19</v>
      </c>
      <c r="N184">
        <f ca="1">BINOMDIST(Worksheet!$A$31,Worksheet!$B$15,$P184,1)</f>
        <v>1.6609035272376379E-18</v>
      </c>
      <c r="O184">
        <f ca="1">BINOMDIST(Worksheet!$A$32,Worksheet!$B$15,$P184,1)</f>
        <v>1.3678939535565648E-17</v>
      </c>
      <c r="P184">
        <v>0.36699999999999999</v>
      </c>
    </row>
    <row r="185" spans="5:16" x14ac:dyDescent="0.2">
      <c r="E185">
        <f ca="1">BINOMDIST(Worksheet!$A$22,Worksheet!$B$15,$P185,1)</f>
        <v>3.2456331043784776E-30</v>
      </c>
      <c r="F185">
        <f ca="1">BINOMDIST(Worksheet!$A$23,Worksheet!$B$15,$P185,1)</f>
        <v>2.8242127303209761E-28</v>
      </c>
      <c r="G185">
        <f ca="1">BINOMDIST(Worksheet!$A$24,Worksheet!$B$15,$P185,1)</f>
        <v>1.2208593247483858E-26</v>
      </c>
      <c r="H185">
        <f ca="1">BINOMDIST(Worksheet!$A$25,Worksheet!$B$15,$P185,1)</f>
        <v>3.4956500995066471E-25</v>
      </c>
      <c r="I185">
        <f ca="1">BINOMDIST(Worksheet!$A$26,Worksheet!$B$15,$P185,1)</f>
        <v>7.457994616792574E-24</v>
      </c>
      <c r="J185">
        <f ca="1">BINOMDIST(Worksheet!$A$27,Worksheet!$B$15,$P185,1)</f>
        <v>1.2646252434395465E-22</v>
      </c>
      <c r="K185">
        <f ca="1">BINOMDIST(Worksheet!$A$28,Worksheet!$B$15,$P185,1)</f>
        <v>1.7752571444123843E-21</v>
      </c>
      <c r="L185">
        <f ca="1">BINOMDIST(Worksheet!$A$29,Worksheet!$B$15,$P185,1)</f>
        <v>2.1219739529527858E-20</v>
      </c>
      <c r="M185">
        <f ca="1">BINOMDIST(Worksheet!$A$30,Worksheet!$B$15,$P185,1)</f>
        <v>2.2046434491580818E-19</v>
      </c>
      <c r="N185">
        <f ca="1">BINOMDIST(Worksheet!$A$31,Worksheet!$B$15,$P185,1)</f>
        <v>2.0224652396869971E-18</v>
      </c>
      <c r="O185">
        <f ca="1">BINOMDIST(Worksheet!$A$32,Worksheet!$B$15,$P185,1)</f>
        <v>1.6586270578500121E-17</v>
      </c>
      <c r="P185">
        <v>0.36599999999999999</v>
      </c>
    </row>
    <row r="186" spans="5:16" x14ac:dyDescent="0.2">
      <c r="E186">
        <f ca="1">BINOMDIST(Worksheet!$A$22,Worksheet!$B$15,$P186,1)</f>
        <v>4.10473447087354E-30</v>
      </c>
      <c r="F186">
        <f ca="1">BINOMDIST(Worksheet!$A$23,Worksheet!$B$15,$P186,1)</f>
        <v>3.5565746549206548E-28</v>
      </c>
      <c r="G186">
        <f ca="1">BINOMDIST(Worksheet!$A$24,Worksheet!$B$15,$P186,1)</f>
        <v>1.5309105126724163E-26</v>
      </c>
      <c r="H186">
        <f ca="1">BINOMDIST(Worksheet!$A$25,Worksheet!$B$15,$P186,1)</f>
        <v>4.3647825697103254E-25</v>
      </c>
      <c r="I186">
        <f ca="1">BINOMDIST(Worksheet!$A$26,Worksheet!$B$15,$P186,1)</f>
        <v>9.2727397143659755E-24</v>
      </c>
      <c r="J186">
        <f ca="1">BINOMDIST(Worksheet!$A$27,Worksheet!$B$15,$P186,1)</f>
        <v>1.5656695629157135E-22</v>
      </c>
      <c r="K186">
        <f ca="1">BINOMDIST(Worksheet!$A$28,Worksheet!$B$15,$P186,1)</f>
        <v>2.1885312668684484E-21</v>
      </c>
      <c r="L186">
        <f ca="1">BINOMDIST(Worksheet!$A$29,Worksheet!$B$15,$P186,1)</f>
        <v>2.6048683615700834E-20</v>
      </c>
      <c r="M186">
        <f ca="1">BINOMDIST(Worksheet!$A$30,Worksheet!$B$15,$P186,1)</f>
        <v>2.6948799389916366E-19</v>
      </c>
      <c r="N186">
        <f ca="1">BINOMDIST(Worksheet!$A$31,Worksheet!$B$15,$P186,1)</f>
        <v>2.4617196830922328E-18</v>
      </c>
      <c r="O186">
        <f ca="1">BINOMDIST(Worksheet!$A$32,Worksheet!$B$15,$P186,1)</f>
        <v>2.010314319770099E-17</v>
      </c>
      <c r="P186">
        <v>0.36499999999999999</v>
      </c>
    </row>
    <row r="187" spans="5:16" x14ac:dyDescent="0.2">
      <c r="E187">
        <f ca="1">BINOMDIST(Worksheet!$A$22,Worksheet!$B$15,$P187,1)</f>
        <v>5.1893173625910457E-30</v>
      </c>
      <c r="F187">
        <f ca="1">BINOMDIST(Worksheet!$A$23,Worksheet!$B$15,$P187,1)</f>
        <v>4.4771733069197084E-28</v>
      </c>
      <c r="G187">
        <f ca="1">BINOMDIST(Worksheet!$A$24,Worksheet!$B$15,$P187,1)</f>
        <v>1.9189752813459605E-26</v>
      </c>
      <c r="H187">
        <f ca="1">BINOMDIST(Worksheet!$A$25,Worksheet!$B$15,$P187,1)</f>
        <v>5.4479186738994477E-25</v>
      </c>
      <c r="I187">
        <f ca="1">BINOMDIST(Worksheet!$A$26,Worksheet!$B$15,$P187,1)</f>
        <v>1.1524586984155983E-23</v>
      </c>
      <c r="J187">
        <f ca="1">BINOMDIST(Worksheet!$A$27,Worksheet!$B$15,$P187,1)</f>
        <v>1.9376156379639019E-22</v>
      </c>
      <c r="K187">
        <f ca="1">BINOMDIST(Worksheet!$A$28,Worksheet!$B$15,$P187,1)</f>
        <v>2.6969411698210517E-21</v>
      </c>
      <c r="L187">
        <f ca="1">BINOMDIST(Worksheet!$A$29,Worksheet!$B$15,$P187,1)</f>
        <v>3.1963676311958533E-20</v>
      </c>
      <c r="M187">
        <f ca="1">BINOMDIST(Worksheet!$A$30,Worksheet!$B$15,$P187,1)</f>
        <v>3.2927873252791667E-19</v>
      </c>
      <c r="N187">
        <f ca="1">BINOMDIST(Worksheet!$A$31,Worksheet!$B$15,$P187,1)</f>
        <v>2.9951414063972202E-18</v>
      </c>
      <c r="O187">
        <f ca="1">BINOMDIST(Worksheet!$A$32,Worksheet!$B$15,$P187,1)</f>
        <v>2.435557566117397E-17</v>
      </c>
      <c r="P187">
        <v>0.36399999999999999</v>
      </c>
    </row>
    <row r="188" spans="5:16" x14ac:dyDescent="0.2">
      <c r="E188">
        <f ca="1">BINOMDIST(Worksheet!$A$22,Worksheet!$B$15,$P188,1)</f>
        <v>6.5580604867645625E-30</v>
      </c>
      <c r="F188">
        <f ca="1">BINOMDIST(Worksheet!$A$23,Worksheet!$B$15,$P188,1)</f>
        <v>5.633960786149154E-28</v>
      </c>
      <c r="G188">
        <f ca="1">BINOMDIST(Worksheet!$A$24,Worksheet!$B$15,$P188,1)</f>
        <v>2.4045001797544972E-26</v>
      </c>
      <c r="H188">
        <f ca="1">BINOMDIST(Worksheet!$A$25,Worksheet!$B$15,$P188,1)</f>
        <v>6.7972368456459426E-25</v>
      </c>
      <c r="I188">
        <f ca="1">BINOMDIST(Worksheet!$A$26,Worksheet!$B$15,$P188,1)</f>
        <v>1.4317737353829772E-23</v>
      </c>
      <c r="J188">
        <f ca="1">BINOMDIST(Worksheet!$A$27,Worksheet!$B$15,$P188,1)</f>
        <v>2.3969822384732293E-22</v>
      </c>
      <c r="K188">
        <f ca="1">BINOMDIST(Worksheet!$A$28,Worksheet!$B$15,$P188,1)</f>
        <v>3.3221390375542597E-21</v>
      </c>
      <c r="L188">
        <f ca="1">BINOMDIST(Worksheet!$A$29,Worksheet!$B$15,$P188,1)</f>
        <v>3.9206063728900475E-20</v>
      </c>
      <c r="M188">
        <f ca="1">BINOMDIST(Worksheet!$A$30,Worksheet!$B$15,$P188,1)</f>
        <v>4.0217168031840977E-19</v>
      </c>
      <c r="N188">
        <f ca="1">BINOMDIST(Worksheet!$A$31,Worksheet!$B$15,$P188,1)</f>
        <v>3.6426512117854879E-18</v>
      </c>
      <c r="O188">
        <f ca="1">BINOMDIST(Worksheet!$A$32,Worksheet!$B$15,$P188,1)</f>
        <v>2.9495268133160316E-17</v>
      </c>
      <c r="P188">
        <v>0.36299999999999999</v>
      </c>
    </row>
    <row r="189" spans="5:16" x14ac:dyDescent="0.2">
      <c r="E189">
        <f ca="1">BINOMDIST(Worksheet!$A$22,Worksheet!$B$15,$P189,1)</f>
        <v>8.2847828445295574E-30</v>
      </c>
      <c r="F189">
        <f ca="1">BINOMDIST(Worksheet!$A$23,Worksheet!$B$15,$P189,1)</f>
        <v>7.0869954313957261E-28</v>
      </c>
      <c r="G189">
        <f ca="1">BINOMDIST(Worksheet!$A$24,Worksheet!$B$15,$P189,1)</f>
        <v>3.0117336845308314E-26</v>
      </c>
      <c r="H189">
        <f ca="1">BINOMDIST(Worksheet!$A$25,Worksheet!$B$15,$P189,1)</f>
        <v>8.4775120591405898E-25</v>
      </c>
      <c r="I189">
        <f ca="1">BINOMDIST(Worksheet!$A$26,Worksheet!$B$15,$P189,1)</f>
        <v>1.778097426548371E-23</v>
      </c>
      <c r="J189">
        <f ca="1">BINOMDIST(Worksheet!$A$27,Worksheet!$B$15,$P189,1)</f>
        <v>2.9640946279113046E-22</v>
      </c>
      <c r="K189">
        <f ca="1">BINOMDIST(Worksheet!$A$28,Worksheet!$B$15,$P189,1)</f>
        <v>4.0906481905510426E-21</v>
      </c>
      <c r="L189">
        <f ca="1">BINOMDIST(Worksheet!$A$29,Worksheet!$B$15,$P189,1)</f>
        <v>4.8070173936457964E-20</v>
      </c>
      <c r="M189">
        <f ca="1">BINOMDIST(Worksheet!$A$30,Worksheet!$B$15,$P189,1)</f>
        <v>4.9100190227552281E-19</v>
      </c>
      <c r="N189">
        <f ca="1">BINOMDIST(Worksheet!$A$31,Worksheet!$B$15,$P189,1)</f>
        <v>4.4283270987023085E-18</v>
      </c>
      <c r="O189">
        <f ca="1">BINOMDIST(Worksheet!$A$32,Worksheet!$B$15,$P189,1)</f>
        <v>3.57047598502556E-17</v>
      </c>
      <c r="P189">
        <v>0.36199999999999999</v>
      </c>
    </row>
    <row r="190" spans="5:16" x14ac:dyDescent="0.2">
      <c r="E190">
        <f ca="1">BINOMDIST(Worksheet!$A$22,Worksheet!$B$15,$P190,1)</f>
        <v>1.046231678146782E-29</v>
      </c>
      <c r="F190">
        <f ca="1">BINOMDIST(Worksheet!$A$23,Worksheet!$B$15,$P190,1)</f>
        <v>8.9114707008095186E-28</v>
      </c>
      <c r="G190">
        <f ca="1">BINOMDIST(Worksheet!$A$24,Worksheet!$B$15,$P190,1)</f>
        <v>3.7709007006923482E-26</v>
      </c>
      <c r="H190">
        <f ca="1">BINOMDIST(Worksheet!$A$25,Worksheet!$B$15,$P190,1)</f>
        <v>1.0569126446013E-24</v>
      </c>
      <c r="I190">
        <f ca="1">BINOMDIST(Worksheet!$A$26,Worksheet!$B$15,$P190,1)</f>
        <v>2.2073402051115349E-23</v>
      </c>
      <c r="J190">
        <f ca="1">BINOMDIST(Worksheet!$A$27,Worksheet!$B$15,$P190,1)</f>
        <v>3.6639519797724221E-22</v>
      </c>
      <c r="K190">
        <f ca="1">BINOMDIST(Worksheet!$A$28,Worksheet!$B$15,$P190,1)</f>
        <v>5.0349461211446234E-21</v>
      </c>
      <c r="L190">
        <f ca="1">BINOMDIST(Worksheet!$A$29,Worksheet!$B$15,$P190,1)</f>
        <v>5.8914804003252721E-20</v>
      </c>
      <c r="M190">
        <f ca="1">BINOMDIST(Worksheet!$A$30,Worksheet!$B$15,$P190,1)</f>
        <v>5.9921004554328015E-19</v>
      </c>
      <c r="N190">
        <f ca="1">BINOMDIST(Worksheet!$A$31,Worksheet!$B$15,$P190,1)</f>
        <v>5.3812597916098528E-18</v>
      </c>
      <c r="O190">
        <f ca="1">BINOMDIST(Worksheet!$A$32,Worksheet!$B$15,$P190,1)</f>
        <v>4.3203606296493449E-17</v>
      </c>
      <c r="P190">
        <v>0.36099999999999999</v>
      </c>
    </row>
    <row r="191" spans="5:16" x14ac:dyDescent="0.2">
      <c r="E191">
        <f ca="1">BINOMDIST(Worksheet!$A$22,Worksheet!$B$15,$P191,1)</f>
        <v>1.3207363278391742E-29</v>
      </c>
      <c r="F191">
        <f ca="1">BINOMDIST(Worksheet!$A$23,Worksheet!$B$15,$P191,1)</f>
        <v>1.1201494980485952E-27</v>
      </c>
      <c r="G191">
        <f ca="1">BINOMDIST(Worksheet!$A$24,Worksheet!$B$15,$P191,1)</f>
        <v>4.7196615857858229E-26</v>
      </c>
      <c r="H191">
        <f ca="1">BINOMDIST(Worksheet!$A$25,Worksheet!$B$15,$P191,1)</f>
        <v>1.317179219900109E-24</v>
      </c>
      <c r="I191">
        <f ca="1">BINOMDIST(Worksheet!$A$26,Worksheet!$B$15,$P191,1)</f>
        <v>2.7391509559142513E-23</v>
      </c>
      <c r="J191">
        <f ca="1">BINOMDIST(Worksheet!$A$27,Worksheet!$B$15,$P191,1)</f>
        <v>4.5272902321803656E-22</v>
      </c>
      <c r="K191">
        <f ca="1">BINOMDIST(Worksheet!$A$28,Worksheet!$B$15,$P191,1)</f>
        <v>6.1947854576130949E-21</v>
      </c>
      <c r="L191">
        <f ca="1">BINOMDIST(Worksheet!$A$29,Worksheet!$B$15,$P191,1)</f>
        <v>7.2177166092135269E-20</v>
      </c>
      <c r="M191">
        <f ca="1">BINOMDIST(Worksheet!$A$30,Worksheet!$B$15,$P191,1)</f>
        <v>7.3096999773994048E-19</v>
      </c>
      <c r="N191">
        <f ca="1">BINOMDIST(Worksheet!$A$31,Worksheet!$B$15,$P191,1)</f>
        <v>6.5365818266362134E-18</v>
      </c>
      <c r="O191">
        <f ca="1">BINOMDIST(Worksheet!$A$32,Worksheet!$B$15,$P191,1)</f>
        <v>5.2255774979194287E-17</v>
      </c>
      <c r="P191">
        <v>0.36</v>
      </c>
    </row>
    <row r="192" spans="5:16" x14ac:dyDescent="0.2">
      <c r="E192">
        <f ca="1">BINOMDIST(Worksheet!$A$22,Worksheet!$B$15,$P192,1)</f>
        <v>1.6666576431956817E-29</v>
      </c>
      <c r="F192">
        <f ca="1">BINOMDIST(Worksheet!$A$23,Worksheet!$B$15,$P192,1)</f>
        <v>1.4074806792740736E-27</v>
      </c>
      <c r="G192">
        <f ca="1">BINOMDIST(Worksheet!$A$24,Worksheet!$B$15,$P192,1)</f>
        <v>5.9049239581152141E-26</v>
      </c>
      <c r="H192">
        <f ca="1">BINOMDIST(Worksheet!$A$25,Worksheet!$B$15,$P192,1)</f>
        <v>1.6409153563408115E-24</v>
      </c>
      <c r="I192">
        <f ca="1">BINOMDIST(Worksheet!$A$26,Worksheet!$B$15,$P192,1)</f>
        <v>3.3977861785295539E-23</v>
      </c>
      <c r="J192">
        <f ca="1">BINOMDIST(Worksheet!$A$27,Worksheet!$B$15,$P192,1)</f>
        <v>5.5918839107055213E-22</v>
      </c>
      <c r="K192">
        <f ca="1">BINOMDIST(Worksheet!$A$28,Worksheet!$B$15,$P192,1)</f>
        <v>7.6188044914165545E-21</v>
      </c>
      <c r="L192">
        <f ca="1">BINOMDIST(Worksheet!$A$29,Worksheet!$B$15,$P192,1)</f>
        <v>8.8389812234554877E-20</v>
      </c>
      <c r="M192">
        <f ca="1">BINOMDIST(Worksheet!$A$30,Worksheet!$B$15,$P192,1)</f>
        <v>8.9134309474814567E-19</v>
      </c>
      <c r="N192">
        <f ca="1">BINOMDIST(Worksheet!$A$31,Worksheet!$B$15,$P192,1)</f>
        <v>7.9367048918630112E-18</v>
      </c>
      <c r="O192">
        <f ca="1">BINOMDIST(Worksheet!$A$32,Worksheet!$B$15,$P192,1)</f>
        <v>6.3178496455512229E-17</v>
      </c>
      <c r="P192">
        <v>0.35899999999999999</v>
      </c>
    </row>
    <row r="193" spans="5:16" x14ac:dyDescent="0.2">
      <c r="E193">
        <f ca="1">BINOMDIST(Worksheet!$A$22,Worksheet!$B$15,$P193,1)</f>
        <v>2.1024185621399258E-29</v>
      </c>
      <c r="F193">
        <f ca="1">BINOMDIST(Worksheet!$A$23,Worksheet!$B$15,$P193,1)</f>
        <v>1.7678654775476771E-27</v>
      </c>
      <c r="G193">
        <f ca="1">BINOMDIST(Worksheet!$A$24,Worksheet!$B$15,$P193,1)</f>
        <v>7.3850917667129369E-26</v>
      </c>
      <c r="H193">
        <f ca="1">BINOMDIST(Worksheet!$A$25,Worksheet!$B$15,$P193,1)</f>
        <v>2.0434473374640717E-24</v>
      </c>
      <c r="I193">
        <f ca="1">BINOMDIST(Worksheet!$A$26,Worksheet!$B$15,$P193,1)</f>
        <v>4.213179066688236E-23</v>
      </c>
      <c r="J193">
        <f ca="1">BINOMDIST(Worksheet!$A$27,Worksheet!$B$15,$P193,1)</f>
        <v>6.9041400319962751E-22</v>
      </c>
      <c r="K193">
        <f ca="1">BINOMDIST(Worksheet!$A$28,Worksheet!$B$15,$P193,1)</f>
        <v>9.3664899690583837E-21</v>
      </c>
      <c r="L193">
        <f ca="1">BINOMDIST(Worksheet!$A$29,Worksheet!$B$15,$P193,1)</f>
        <v>1.0820116575814938E-19</v>
      </c>
      <c r="M193">
        <f ca="1">BINOMDIST(Worksheet!$A$30,Worksheet!$B$15,$P193,1)</f>
        <v>1.0864643235490853E-18</v>
      </c>
      <c r="N193">
        <f ca="1">BINOMDIST(Worksheet!$A$31,Worksheet!$B$15,$P193,1)</f>
        <v>9.6328069471161698E-18</v>
      </c>
      <c r="O193">
        <f ca="1">BINOMDIST(Worksheet!$A$32,Worksheet!$B$15,$P193,1)</f>
        <v>7.6352852475649555E-17</v>
      </c>
      <c r="P193">
        <v>0.35799999999999998</v>
      </c>
    </row>
    <row r="194" spans="5:16" x14ac:dyDescent="0.2">
      <c r="E194">
        <f ca="1">BINOMDIST(Worksheet!$A$22,Worksheet!$B$15,$P194,1)</f>
        <v>2.6511540609453303E-29</v>
      </c>
      <c r="F194">
        <f ca="1">BINOMDIST(Worksheet!$A$23,Worksheet!$B$15,$P194,1)</f>
        <v>2.2197127531112567E-27</v>
      </c>
      <c r="G194">
        <f ca="1">BINOMDIST(Worksheet!$A$24,Worksheet!$B$15,$P194,1)</f>
        <v>9.232856132523012E-26</v>
      </c>
      <c r="H194">
        <f ca="1">BINOMDIST(Worksheet!$A$25,Worksheet!$B$15,$P194,1)</f>
        <v>2.5437657122926789E-24</v>
      </c>
      <c r="I194">
        <f ca="1">BINOMDIST(Worksheet!$A$26,Worksheet!$B$15,$P194,1)</f>
        <v>5.2222539889091209E-23</v>
      </c>
      <c r="J194">
        <f ca="1">BINOMDIST(Worksheet!$A$27,Worksheet!$B$15,$P194,1)</f>
        <v>8.5210488678239947E-22</v>
      </c>
      <c r="K194">
        <f ca="1">BINOMDIST(Worksheet!$A$28,Worksheet!$B$15,$P194,1)</f>
        <v>1.1510568258760369E-20</v>
      </c>
      <c r="L194">
        <f ca="1">BINOMDIST(Worksheet!$A$29,Worksheet!$B$15,$P194,1)</f>
        <v>1.3240041798167744E-19</v>
      </c>
      <c r="M194">
        <f ca="1">BINOMDIST(Worksheet!$A$30,Worksheet!$B$15,$P194,1)</f>
        <v>1.3237670668645567E-18</v>
      </c>
      <c r="N194">
        <f ca="1">BINOMDIST(Worksheet!$A$31,Worksheet!$B$15,$P194,1)</f>
        <v>1.1686618804348183E-17</v>
      </c>
      <c r="O194">
        <f ca="1">BINOMDIST(Worksheet!$A$32,Worksheet!$B$15,$P194,1)</f>
        <v>9.2236436819811448E-17</v>
      </c>
      <c r="P194">
        <v>0.35699999999999998</v>
      </c>
    </row>
    <row r="195" spans="5:16" x14ac:dyDescent="0.2">
      <c r="E195">
        <f ca="1">BINOMDIST(Worksheet!$A$22,Worksheet!$B$15,$P195,1)</f>
        <v>3.341906050563388E-29</v>
      </c>
      <c r="F195">
        <f ca="1">BINOMDIST(Worksheet!$A$23,Worksheet!$B$15,$P195,1)</f>
        <v>2.7860287584262035E-27</v>
      </c>
      <c r="G195">
        <f ca="1">BINOMDIST(Worksheet!$A$24,Worksheet!$B$15,$P195,1)</f>
        <v>1.1538657205348687E-25</v>
      </c>
      <c r="H195">
        <f ca="1">BINOMDIST(Worksheet!$A$25,Worksheet!$B$15,$P195,1)</f>
        <v>3.1653925926110037E-24</v>
      </c>
      <c r="I195">
        <f ca="1">BINOMDIST(Worksheet!$A$26,Worksheet!$B$15,$P195,1)</f>
        <v>6.4705420901810425E-23</v>
      </c>
      <c r="J195">
        <f ca="1">BINOMDIST(Worksheet!$A$27,Worksheet!$B$15,$P195,1)</f>
        <v>1.0512570548523938E-21</v>
      </c>
      <c r="K195">
        <f ca="1">BINOMDIST(Worksheet!$A$28,Worksheet!$B$15,$P195,1)</f>
        <v>1.4139917241923508E-20</v>
      </c>
      <c r="L195">
        <f ca="1">BINOMDIST(Worksheet!$A$29,Worksheet!$B$15,$P195,1)</f>
        <v>1.6194770624001835E-19</v>
      </c>
      <c r="M195">
        <f ca="1">BINOMDIST(Worksheet!$A$30,Worksheet!$B$15,$P195,1)</f>
        <v>1.6122542569837498E-18</v>
      </c>
      <c r="N195">
        <f ca="1">BINOMDIST(Worksheet!$A$31,Worksheet!$B$15,$P195,1)</f>
        <v>1.4172569581540761E-17</v>
      </c>
      <c r="O195">
        <f ca="1">BINOMDIST(Worksheet!$A$32,Worksheet!$B$15,$P195,1)</f>
        <v>1.1137848818028645E-16</v>
      </c>
      <c r="P195">
        <v>0.35599999999999998</v>
      </c>
    </row>
    <row r="196" spans="5:16" x14ac:dyDescent="0.2">
      <c r="E196">
        <f ca="1">BINOMDIST(Worksheet!$A$22,Worksheet!$B$15,$P196,1)</f>
        <v>4.2111186755656469E-29</v>
      </c>
      <c r="F196">
        <f ca="1">BINOMDIST(Worksheet!$A$23,Worksheet!$B$15,$P196,1)</f>
        <v>3.495554944027667E-27</v>
      </c>
      <c r="G196">
        <f ca="1">BINOMDIST(Worksheet!$A$24,Worksheet!$B$15,$P196,1)</f>
        <v>1.4414976812780297E-25</v>
      </c>
      <c r="H196">
        <f ca="1">BINOMDIST(Worksheet!$A$25,Worksheet!$B$15,$P196,1)</f>
        <v>3.9374521531383296E-24</v>
      </c>
      <c r="I196">
        <f ca="1">BINOMDIST(Worksheet!$A$26,Worksheet!$B$15,$P196,1)</f>
        <v>8.0141662469066812E-23</v>
      </c>
      <c r="J196">
        <f ca="1">BINOMDIST(Worksheet!$A$27,Worksheet!$B$15,$P196,1)</f>
        <v>1.2964553759612894E-21</v>
      </c>
      <c r="K196">
        <f ca="1">BINOMDIST(Worksheet!$A$28,Worksheet!$B$15,$P196,1)</f>
        <v>1.7363110940230646E-20</v>
      </c>
      <c r="L196">
        <f ca="1">BINOMDIST(Worksheet!$A$29,Worksheet!$B$15,$P196,1)</f>
        <v>1.9801067898455704E-19</v>
      </c>
      <c r="M196">
        <f ca="1">BINOMDIST(Worksheet!$A$30,Worksheet!$B$15,$P196,1)</f>
        <v>1.9628253892780621E-18</v>
      </c>
      <c r="N196">
        <f ca="1">BINOMDIST(Worksheet!$A$31,Worksheet!$B$15,$P196,1)</f>
        <v>1.718036205142128E-17</v>
      </c>
      <c r="O196">
        <f ca="1">BINOMDIST(Worksheet!$A$32,Worksheet!$B$15,$P196,1)</f>
        <v>1.3443797013026129E-16</v>
      </c>
      <c r="P196">
        <v>0.35499999999999998</v>
      </c>
    </row>
    <row r="197" spans="5:16" x14ac:dyDescent="0.2">
      <c r="E197">
        <f ca="1">BINOMDIST(Worksheet!$A$22,Worksheet!$B$15,$P197,1)</f>
        <v>5.3045088859965125E-29</v>
      </c>
      <c r="F197">
        <f ca="1">BINOMDIST(Worksheet!$A$23,Worksheet!$B$15,$P197,1)</f>
        <v>4.384184805590189E-27</v>
      </c>
      <c r="G197">
        <f ca="1">BINOMDIST(Worksheet!$A$24,Worksheet!$B$15,$P197,1)</f>
        <v>1.8001659350445238E-25</v>
      </c>
      <c r="H197">
        <f ca="1">BINOMDIST(Worksheet!$A$25,Worksheet!$B$15,$P197,1)</f>
        <v>4.8959914561831935E-24</v>
      </c>
      <c r="I197">
        <f ca="1">BINOMDIST(Worksheet!$A$26,Worksheet!$B$15,$P197,1)</f>
        <v>9.9222788980443333E-23</v>
      </c>
      <c r="J197">
        <f ca="1">BINOMDIST(Worksheet!$A$27,Worksheet!$B$15,$P197,1)</f>
        <v>1.5982303793582264E-21</v>
      </c>
      <c r="K197">
        <f ca="1">BINOMDIST(Worksheet!$A$28,Worksheet!$B$15,$P197,1)</f>
        <v>2.131273268253107E-20</v>
      </c>
      <c r="L197">
        <f ca="1">BINOMDIST(Worksheet!$A$29,Worksheet!$B$15,$P197,1)</f>
        <v>2.4200878212773606E-19</v>
      </c>
      <c r="M197">
        <f ca="1">BINOMDIST(Worksheet!$A$30,Worksheet!$B$15,$P197,1)</f>
        <v>2.3886707429465384E-18</v>
      </c>
      <c r="N197">
        <f ca="1">BINOMDIST(Worksheet!$A$31,Worksheet!$B$15,$P197,1)</f>
        <v>2.081806274712778E-17</v>
      </c>
      <c r="O197">
        <f ca="1">BINOMDIST(Worksheet!$A$32,Worksheet!$B$15,$P197,1)</f>
        <v>1.622051630144996E-16</v>
      </c>
      <c r="P197">
        <v>0.35399999999999998</v>
      </c>
    </row>
    <row r="198" spans="5:16" x14ac:dyDescent="0.2">
      <c r="E198">
        <f ca="1">BINOMDIST(Worksheet!$A$22,Worksheet!$B$15,$P198,1)</f>
        <v>6.6794056505604312E-29</v>
      </c>
      <c r="F198">
        <f ca="1">BINOMDIST(Worksheet!$A$23,Worksheet!$B$15,$P198,1)</f>
        <v>5.4967275805014435E-27</v>
      </c>
      <c r="G198">
        <f ca="1">BINOMDIST(Worksheet!$A$24,Worksheet!$B$15,$P198,1)</f>
        <v>2.2472504831283227E-25</v>
      </c>
      <c r="H198">
        <f ca="1">BINOMDIST(Worksheet!$A$25,Worksheet!$B$15,$P198,1)</f>
        <v>6.0856095362682417E-24</v>
      </c>
      <c r="I198">
        <f ca="1">BINOMDIST(Worksheet!$A$26,Worksheet!$B$15,$P198,1)</f>
        <v>1.2280054954409105E-22</v>
      </c>
      <c r="J198">
        <f ca="1">BINOMDIST(Worksheet!$A$27,Worksheet!$B$15,$P198,1)</f>
        <v>1.9694942757575074E-21</v>
      </c>
      <c r="K198">
        <f ca="1">BINOMDIST(Worksheet!$A$28,Worksheet!$B$15,$P198,1)</f>
        <v>2.6150621398601448E-20</v>
      </c>
      <c r="L198">
        <f ca="1">BINOMDIST(Worksheet!$A$29,Worksheet!$B$15,$P198,1)</f>
        <v>2.9566687576690312E-19</v>
      </c>
      <c r="M198">
        <f ca="1">BINOMDIST(Worksheet!$A$30,Worksheet!$B$15,$P198,1)</f>
        <v>2.9057464287934822E-18</v>
      </c>
      <c r="N198">
        <f ca="1">BINOMDIST(Worksheet!$A$31,Worksheet!$B$15,$P198,1)</f>
        <v>2.521580818266461E-17</v>
      </c>
      <c r="O198">
        <f ca="1">BINOMDIST(Worksheet!$A$32,Worksheet!$B$15,$P198,1)</f>
        <v>1.9562743907544812E-16</v>
      </c>
      <c r="P198">
        <v>0.35299999999999998</v>
      </c>
    </row>
    <row r="199" spans="5:16" x14ac:dyDescent="0.2">
      <c r="E199">
        <f ca="1">BINOMDIST(Worksheet!$A$22,Worksheet!$B$15,$P199,1)</f>
        <v>8.4076742081100553E-29</v>
      </c>
      <c r="F199">
        <f ca="1">BINOMDIST(Worksheet!$A$23,Worksheet!$B$15,$P199,1)</f>
        <v>6.889102928299605E-27</v>
      </c>
      <c r="G199">
        <f ca="1">BINOMDIST(Worksheet!$A$24,Worksheet!$B$15,$P199,1)</f>
        <v>2.8043435308048942E-25</v>
      </c>
      <c r="H199">
        <f ca="1">BINOMDIST(Worksheet!$A$25,Worksheet!$B$15,$P199,1)</f>
        <v>7.5614659497239894E-24</v>
      </c>
      <c r="I199">
        <f ca="1">BINOMDIST(Worksheet!$A$26,Worksheet!$B$15,$P199,1)</f>
        <v>1.5192364797700069E-22</v>
      </c>
      <c r="J199">
        <f ca="1">BINOMDIST(Worksheet!$A$27,Worksheet!$B$15,$P199,1)</f>
        <v>2.4260735771968257E-21</v>
      </c>
      <c r="K199">
        <f ca="1">BINOMDIST(Worksheet!$A$28,Worksheet!$B$15,$P199,1)</f>
        <v>3.2074250432210709E-20</v>
      </c>
      <c r="L199">
        <f ca="1">BINOMDIST(Worksheet!$A$29,Worksheet!$B$15,$P199,1)</f>
        <v>3.6108012128185485E-19</v>
      </c>
      <c r="M199">
        <f ca="1">BINOMDIST(Worksheet!$A$30,Worksheet!$B$15,$P199,1)</f>
        <v>3.5333466044123613E-18</v>
      </c>
      <c r="N199">
        <f ca="1">BINOMDIST(Worksheet!$A$31,Worksheet!$B$15,$P199,1)</f>
        <v>3.0530248197473716E-17</v>
      </c>
      <c r="O199">
        <f ca="1">BINOMDIST(Worksheet!$A$32,Worksheet!$B$15,$P199,1)</f>
        <v>2.358400183372976E-16</v>
      </c>
      <c r="P199">
        <v>0.35199999999999998</v>
      </c>
    </row>
    <row r="200" spans="5:16" x14ac:dyDescent="0.2">
      <c r="E200">
        <f ca="1">BINOMDIST(Worksheet!$A$22,Worksheet!$B$15,$P200,1)</f>
        <v>1.0579370413176336E-28</v>
      </c>
      <c r="F200">
        <f ca="1">BINOMDIST(Worksheet!$A$23,Worksheet!$B$15,$P200,1)</f>
        <v>8.6310709497205369E-27</v>
      </c>
      <c r="G200">
        <f ca="1">BINOMDIST(Worksheet!$A$24,Worksheet!$B$15,$P200,1)</f>
        <v>3.4982606505900002E-25</v>
      </c>
      <c r="H200">
        <f ca="1">BINOMDIST(Worksheet!$A$25,Worksheet!$B$15,$P200,1)</f>
        <v>9.3917562710458861E-24</v>
      </c>
      <c r="I200">
        <f ca="1">BINOMDIST(Worksheet!$A$26,Worksheet!$B$15,$P200,1)</f>
        <v>1.8788280224023176E-22</v>
      </c>
      <c r="J200">
        <f ca="1">BINOMDIST(Worksheet!$A$27,Worksheet!$B$15,$P200,1)</f>
        <v>2.9873594692977661E-21</v>
      </c>
      <c r="K200">
        <f ca="1">BINOMDIST(Worksheet!$A$28,Worksheet!$B$15,$P200,1)</f>
        <v>3.9324480337237098E-20</v>
      </c>
      <c r="L200">
        <f ca="1">BINOMDIST(Worksheet!$A$29,Worksheet!$B$15,$P200,1)</f>
        <v>4.4079247675468732E-19</v>
      </c>
      <c r="M200">
        <f ca="1">BINOMDIST(Worksheet!$A$30,Worksheet!$B$15,$P200,1)</f>
        <v>4.2947924531488562E-18</v>
      </c>
      <c r="N200">
        <f ca="1">BINOMDIST(Worksheet!$A$31,Worksheet!$B$15,$P200,1)</f>
        <v>3.6949870835570512E-17</v>
      </c>
      <c r="O200">
        <f ca="1">BINOMDIST(Worksheet!$A$32,Worksheet!$B$15,$P200,1)</f>
        <v>2.8420265230124021E-16</v>
      </c>
      <c r="P200">
        <v>0.35099999999999998</v>
      </c>
    </row>
    <row r="201" spans="5:16" x14ac:dyDescent="0.2">
      <c r="E201">
        <f ca="1">BINOMDIST(Worksheet!$A$22,Worksheet!$B$15,$P201,1)</f>
        <v>1.3307305884738394E-28</v>
      </c>
      <c r="F201">
        <f ca="1">BINOMDIST(Worksheet!$A$23,Worksheet!$B$15,$P201,1)</f>
        <v>1.0809626934064489E-26</v>
      </c>
      <c r="G201">
        <f ca="1">BINOMDIST(Worksheet!$A$24,Worksheet!$B$15,$P201,1)</f>
        <v>4.3622923519271511E-25</v>
      </c>
      <c r="H201">
        <f ca="1">BINOMDIST(Worksheet!$A$25,Worksheet!$B$15,$P201,1)</f>
        <v>1.1660761976170957E-23</v>
      </c>
      <c r="I201">
        <f ca="1">BINOMDIST(Worksheet!$A$26,Worksheet!$B$15,$P201,1)</f>
        <v>2.3226600161616634E-22</v>
      </c>
      <c r="J201">
        <f ca="1">BINOMDIST(Worksheet!$A$27,Worksheet!$B$15,$P201,1)</f>
        <v>3.6771016667637853E-21</v>
      </c>
      <c r="K201">
        <f ca="1">BINOMDIST(Worksheet!$A$28,Worksheet!$B$15,$P201,1)</f>
        <v>4.8194977954825302E-20</v>
      </c>
      <c r="L201">
        <f ca="1">BINOMDIST(Worksheet!$A$29,Worksheet!$B$15,$P201,1)</f>
        <v>5.3789161712350215E-19</v>
      </c>
      <c r="M201">
        <f ca="1">BINOMDIST(Worksheet!$A$30,Worksheet!$B$15,$P201,1)</f>
        <v>5.2182614184087372E-18</v>
      </c>
      <c r="N201">
        <f ca="1">BINOMDIST(Worksheet!$A$31,Worksheet!$B$15,$P201,1)</f>
        <v>4.470138102412263E-17</v>
      </c>
      <c r="O201">
        <f ca="1">BINOMDIST(Worksheet!$A$32,Worksheet!$B$15,$P201,1)</f>
        <v>3.4234335959027313E-16</v>
      </c>
      <c r="P201">
        <v>0.35</v>
      </c>
    </row>
    <row r="202" spans="5:16" x14ac:dyDescent="0.2">
      <c r="E202">
        <f ca="1">BINOMDIST(Worksheet!$A$22,Worksheet!$B$15,$P202,1)</f>
        <v>1.6732749007774104E-28</v>
      </c>
      <c r="F202">
        <f ca="1">BINOMDIST(Worksheet!$A$23,Worksheet!$B$15,$P202,1)</f>
        <v>1.3533221209789821E-26</v>
      </c>
      <c r="G202">
        <f ca="1">BINOMDIST(Worksheet!$A$24,Worksheet!$B$15,$P202,1)</f>
        <v>5.4377526607198E-25</v>
      </c>
      <c r="H202">
        <f ca="1">BINOMDIST(Worksheet!$A$25,Worksheet!$B$15,$P202,1)</f>
        <v>1.4472606616591625E-23</v>
      </c>
      <c r="I202">
        <f ca="1">BINOMDIST(Worksheet!$A$26,Worksheet!$B$15,$P202,1)</f>
        <v>2.8702624434100631E-22</v>
      </c>
      <c r="J202">
        <f ca="1">BINOMDIST(Worksheet!$A$27,Worksheet!$B$15,$P202,1)</f>
        <v>4.5243770391318147E-21</v>
      </c>
      <c r="K202">
        <f ca="1">BINOMDIST(Worksheet!$A$28,Worksheet!$B$15,$P202,1)</f>
        <v>5.9043655467960837E-20</v>
      </c>
      <c r="L202">
        <f ca="1">BINOMDIST(Worksheet!$A$29,Worksheet!$B$15,$P202,1)</f>
        <v>6.5612367051021728E-19</v>
      </c>
      <c r="M202">
        <f ca="1">BINOMDIST(Worksheet!$A$30,Worksheet!$B$15,$P202,1)</f>
        <v>6.337784842834392E-18</v>
      </c>
      <c r="N202">
        <f ca="1">BINOMDIST(Worksheet!$A$31,Worksheet!$B$15,$P202,1)</f>
        <v>5.4057338457597885E-17</v>
      </c>
      <c r="O202">
        <f ca="1">BINOMDIST(Worksheet!$A$32,Worksheet!$B$15,$P202,1)</f>
        <v>4.1221054730818758E-16</v>
      </c>
      <c r="P202">
        <v>0.34899999999999998</v>
      </c>
    </row>
    <row r="203" spans="5:16" x14ac:dyDescent="0.2">
      <c r="E203">
        <f ca="1">BINOMDIST(Worksheet!$A$22,Worksheet!$B$15,$P203,1)</f>
        <v>2.1032541962347811E-28</v>
      </c>
      <c r="F203">
        <f ca="1">BINOMDIST(Worksheet!$A$23,Worksheet!$B$15,$P203,1)</f>
        <v>1.693700280967966E-26</v>
      </c>
      <c r="G203">
        <f ca="1">BINOMDIST(Worksheet!$A$24,Worksheet!$B$15,$P203,1)</f>
        <v>6.7758945089054815E-25</v>
      </c>
      <c r="H203">
        <f ca="1">BINOMDIST(Worksheet!$A$25,Worksheet!$B$15,$P203,1)</f>
        <v>1.7955880163582201E-23</v>
      </c>
      <c r="I203">
        <f ca="1">BINOMDIST(Worksheet!$A$26,Worksheet!$B$15,$P203,1)</f>
        <v>3.545645437105286E-22</v>
      </c>
      <c r="J203">
        <f ca="1">BINOMDIST(Worksheet!$A$27,Worksheet!$B$15,$P203,1)</f>
        <v>5.5647710352991474E-21</v>
      </c>
      <c r="K203">
        <f ca="1">BINOMDIST(Worksheet!$A$28,Worksheet!$B$15,$P203,1)</f>
        <v>7.2306557258839168E-20</v>
      </c>
      <c r="L203">
        <f ca="1">BINOMDIST(Worksheet!$A$29,Worksheet!$B$15,$P203,1)</f>
        <v>8.0003185297055388E-19</v>
      </c>
      <c r="M203">
        <f ca="1">BINOMDIST(Worksheet!$A$30,Worksheet!$B$15,$P203,1)</f>
        <v>7.6944477296749285E-18</v>
      </c>
      <c r="N203">
        <f ca="1">BINOMDIST(Worksheet!$A$31,Worksheet!$B$15,$P203,1)</f>
        <v>6.5345299508497304E-17</v>
      </c>
      <c r="O203">
        <f ca="1">BINOMDIST(Worksheet!$A$32,Worksheet!$B$15,$P203,1)</f>
        <v>4.9613509991712041E-16</v>
      </c>
      <c r="P203">
        <v>0.34799999999999998</v>
      </c>
    </row>
    <row r="204" spans="5:16" x14ac:dyDescent="0.2">
      <c r="E204">
        <f ca="1">BINOMDIST(Worksheet!$A$22,Worksheet!$B$15,$P204,1)</f>
        <v>2.642798246527897E-28</v>
      </c>
      <c r="F204">
        <f ca="1">BINOMDIST(Worksheet!$A$23,Worksheet!$B$15,$P204,1)</f>
        <v>2.1189333077368218E-26</v>
      </c>
      <c r="G204">
        <f ca="1">BINOMDIST(Worksheet!$A$24,Worksheet!$B$15,$P204,1)</f>
        <v>8.440277977377458E-25</v>
      </c>
      <c r="H204">
        <f ca="1">BINOMDIST(Worksheet!$A$25,Worksheet!$B$15,$P204,1)</f>
        <v>2.2269330117217691E-23</v>
      </c>
      <c r="I204">
        <f ca="1">BINOMDIST(Worksheet!$A$26,Worksheet!$B$15,$P204,1)</f>
        <v>4.3783160657567564E-22</v>
      </c>
      <c r="J204">
        <f ca="1">BINOMDIST(Worksheet!$A$27,Worksheet!$B$15,$P204,1)</f>
        <v>6.8418181119377932E-21</v>
      </c>
      <c r="K204">
        <f ca="1">BINOMDIST(Worksheet!$A$28,Worksheet!$B$15,$P204,1)</f>
        <v>8.8514711858730509E-20</v>
      </c>
      <c r="L204">
        <f ca="1">BINOMDIST(Worksheet!$A$29,Worksheet!$B$15,$P204,1)</f>
        <v>9.7512391347973363E-19</v>
      </c>
      <c r="M204">
        <f ca="1">BINOMDIST(Worksheet!$A$30,Worksheet!$B$15,$P204,1)</f>
        <v>9.3378309963038739E-18</v>
      </c>
      <c r="N204">
        <f ca="1">BINOMDIST(Worksheet!$A$31,Worksheet!$B$15,$P204,1)</f>
        <v>7.8958754842030623E-17</v>
      </c>
      <c r="O204">
        <f ca="1">BINOMDIST(Worksheet!$A$32,Worksheet!$B$15,$P204,1)</f>
        <v>5.9690431080304187E-16</v>
      </c>
      <c r="P204">
        <v>0.34699999999999998</v>
      </c>
    </row>
    <row r="205" spans="5:16" x14ac:dyDescent="0.2">
      <c r="E205">
        <f ca="1">BINOMDIST(Worksheet!$A$22,Worksheet!$B$15,$P205,1)</f>
        <v>3.3195904026363437E-28</v>
      </c>
      <c r="F205">
        <f ca="1">BINOMDIST(Worksheet!$A$23,Worksheet!$B$15,$P205,1)</f>
        <v>2.6499873966489146E-26</v>
      </c>
      <c r="G205">
        <f ca="1">BINOMDIST(Worksheet!$A$24,Worksheet!$B$15,$P205,1)</f>
        <v>1.050969742117983E-24</v>
      </c>
      <c r="H205">
        <f ca="1">BINOMDIST(Worksheet!$A$25,Worksheet!$B$15,$P205,1)</f>
        <v>2.7608862929641538E-23</v>
      </c>
      <c r="I205">
        <f ca="1">BINOMDIST(Worksheet!$A$26,Worksheet!$B$15,$P205,1)</f>
        <v>5.4045233856455689E-22</v>
      </c>
      <c r="J205">
        <f ca="1">BINOMDIST(Worksheet!$A$27,Worksheet!$B$15,$P205,1)</f>
        <v>8.4087572843149116E-21</v>
      </c>
      <c r="K205">
        <f ca="1">BINOMDIST(Worksheet!$A$28,Worksheet!$B$15,$P205,1)</f>
        <v>1.0831457421017245E-19</v>
      </c>
      <c r="L205">
        <f ca="1">BINOMDIST(Worksheet!$A$29,Worksheet!$B$15,$P205,1)</f>
        <v>1.1880742967653534E-18</v>
      </c>
      <c r="M205">
        <f ca="1">BINOMDIST(Worksheet!$A$30,Worksheet!$B$15,$P205,1)</f>
        <v>1.1327744535408514E-17</v>
      </c>
      <c r="N205">
        <f ca="1">BINOMDIST(Worksheet!$A$31,Worksheet!$B$15,$P205,1)</f>
        <v>9.5370210091379351E-17</v>
      </c>
      <c r="O205">
        <f ca="1">BINOMDIST(Worksheet!$A$32,Worksheet!$B$15,$P205,1)</f>
        <v>7.1784987852122969E-16</v>
      </c>
      <c r="P205">
        <v>0.34599999999999997</v>
      </c>
    </row>
    <row r="206" spans="5:16" x14ac:dyDescent="0.2">
      <c r="E206">
        <f ca="1">BINOMDIST(Worksheet!$A$22,Worksheet!$B$15,$P206,1)</f>
        <v>4.1682494234851089E-28</v>
      </c>
      <c r="F206">
        <f ca="1">BINOMDIST(Worksheet!$A$23,Worksheet!$B$15,$P206,1)</f>
        <v>3.3129628242234243E-26</v>
      </c>
      <c r="G206">
        <f ca="1">BINOMDIST(Worksheet!$A$24,Worksheet!$B$15,$P206,1)</f>
        <v>1.3081798087706037E-24</v>
      </c>
      <c r="H206">
        <f ca="1">BINOMDIST(Worksheet!$A$25,Worksheet!$B$15,$P206,1)</f>
        <v>3.4216154315384452E-23</v>
      </c>
      <c r="I206">
        <f ca="1">BINOMDIST(Worksheet!$A$26,Worksheet!$B$15,$P206,1)</f>
        <v>6.6687824435284167E-22</v>
      </c>
      <c r="J206">
        <f ca="1">BINOMDIST(Worksheet!$A$27,Worksheet!$B$15,$P206,1)</f>
        <v>1.0330670932634909E-20</v>
      </c>
      <c r="K206">
        <f ca="1">BINOMDIST(Worksheet!$A$28,Worksheet!$B$15,$P206,1)</f>
        <v>1.3249281361809354E-19</v>
      </c>
      <c r="L206">
        <f ca="1">BINOMDIST(Worksheet!$A$29,Worksheet!$B$15,$P206,1)</f>
        <v>1.4469681264615184E-18</v>
      </c>
      <c r="M206">
        <f ca="1">BINOMDIST(Worksheet!$A$30,Worksheet!$B$15,$P206,1)</f>
        <v>1.3736308885278276E-17</v>
      </c>
      <c r="N206">
        <f ca="1">BINOMDIST(Worksheet!$A$31,Worksheet!$B$15,$P206,1)</f>
        <v>1.1514682308589571E-16</v>
      </c>
      <c r="O206">
        <f ca="1">BINOMDIST(Worksheet!$A$32,Worksheet!$B$15,$P206,1)</f>
        <v>8.6295259955762414E-16</v>
      </c>
      <c r="P206">
        <v>0.34499999999999997</v>
      </c>
    </row>
    <row r="207" spans="5:16" x14ac:dyDescent="0.2">
      <c r="E207">
        <f ca="1">BINOMDIST(Worksheet!$A$22,Worksheet!$B$15,$P207,1)</f>
        <v>5.232052184276562E-28</v>
      </c>
      <c r="F207">
        <f ca="1">BINOMDIST(Worksheet!$A$23,Worksheet!$B$15,$P207,1)</f>
        <v>4.1403398321671626E-26</v>
      </c>
      <c r="G207">
        <f ca="1">BINOMDIST(Worksheet!$A$24,Worksheet!$B$15,$P207,1)</f>
        <v>1.6277543063036484E-24</v>
      </c>
      <c r="H207">
        <f ca="1">BINOMDIST(Worksheet!$A$25,Worksheet!$B$15,$P207,1)</f>
        <v>4.2389234344328285E-23</v>
      </c>
      <c r="I207">
        <f ca="1">BINOMDIST(Worksheet!$A$26,Worksheet!$B$15,$P207,1)</f>
        <v>8.2257390409651802E-22</v>
      </c>
      <c r="J207">
        <f ca="1">BINOMDIST(Worksheet!$A$27,Worksheet!$B$15,$P207,1)</f>
        <v>1.2687089552645134E-20</v>
      </c>
      <c r="K207">
        <f ca="1">BINOMDIST(Worksheet!$A$28,Worksheet!$B$15,$P207,1)</f>
        <v>1.6200635966608588E-19</v>
      </c>
      <c r="L207">
        <f ca="1">BINOMDIST(Worksheet!$A$29,Worksheet!$B$15,$P207,1)</f>
        <v>1.7615955442088492E-18</v>
      </c>
      <c r="M207">
        <f ca="1">BINOMDIST(Worksheet!$A$30,Worksheet!$B$15,$P207,1)</f>
        <v>1.66504546308218E-17</v>
      </c>
      <c r="N207">
        <f ca="1">BINOMDIST(Worksheet!$A$31,Worksheet!$B$15,$P207,1)</f>
        <v>1.389690896472647E-16</v>
      </c>
      <c r="O207">
        <f ca="1">BINOMDIST(Worksheet!$A$32,Worksheet!$B$15,$P207,1)</f>
        <v>1.0369668735484651E-15</v>
      </c>
      <c r="P207">
        <v>0.34399999999999997</v>
      </c>
    </row>
    <row r="208" spans="5:16" x14ac:dyDescent="0.2">
      <c r="E208">
        <f ca="1">BINOMDIST(Worksheet!$A$22,Worksheet!$B$15,$P208,1)</f>
        <v>6.5650806314776771E-28</v>
      </c>
      <c r="F208">
        <f ca="1">BINOMDIST(Worksheet!$A$23,Worksheet!$B$15,$P208,1)</f>
        <v>5.1725241066637738E-26</v>
      </c>
      <c r="G208">
        <f ca="1">BINOMDIST(Worksheet!$A$24,Worksheet!$B$15,$P208,1)</f>
        <v>2.0246728530827366E-24</v>
      </c>
      <c r="H208">
        <f ca="1">BINOMDIST(Worksheet!$A$25,Worksheet!$B$15,$P208,1)</f>
        <v>5.2495495554992453E-23</v>
      </c>
      <c r="I208">
        <f ca="1">BINOMDIST(Worksheet!$A$26,Worksheet!$B$15,$P208,1)</f>
        <v>1.0142450614858232E-21</v>
      </c>
      <c r="J208">
        <f ca="1">BINOMDIST(Worksheet!$A$27,Worksheet!$B$15,$P208,1)</f>
        <v>1.5575162766682177E-20</v>
      </c>
      <c r="K208">
        <f ca="1">BINOMDIST(Worksheet!$A$28,Worksheet!$B$15,$P208,1)</f>
        <v>1.9801880743818395E-19</v>
      </c>
      <c r="L208">
        <f ca="1">BINOMDIST(Worksheet!$A$29,Worksheet!$B$15,$P208,1)</f>
        <v>2.1438066585998406E-18</v>
      </c>
      <c r="M208">
        <f ca="1">BINOMDIST(Worksheet!$A$30,Worksheet!$B$15,$P208,1)</f>
        <v>2.0174922160631799E-17</v>
      </c>
      <c r="N208">
        <f ca="1">BINOMDIST(Worksheet!$A$31,Worksheet!$B$15,$P208,1)</f>
        <v>1.6765316315923937E-16</v>
      </c>
      <c r="O208">
        <f ca="1">BINOMDIST(Worksheet!$A$32,Worksheet!$B$15,$P208,1)</f>
        <v>1.2455687084793559E-15</v>
      </c>
      <c r="P208">
        <v>0.34300000000000003</v>
      </c>
    </row>
    <row r="209" spans="5:16" x14ac:dyDescent="0.2">
      <c r="E209">
        <f ca="1">BINOMDIST(Worksheet!$A$22,Worksheet!$B$15,$P209,1)</f>
        <v>8.2348965635939756E-28</v>
      </c>
      <c r="F209">
        <f ca="1">BINOMDIST(Worksheet!$A$23,Worksheet!$B$15,$P209,1)</f>
        <v>6.4597632374843217E-26</v>
      </c>
      <c r="G209">
        <f ca="1">BINOMDIST(Worksheet!$A$24,Worksheet!$B$15,$P209,1)</f>
        <v>2.5174790972979244E-24</v>
      </c>
      <c r="H209">
        <f ca="1">BINOMDIST(Worksheet!$A$25,Worksheet!$B$15,$P209,1)</f>
        <v>6.4987673001828241E-23</v>
      </c>
      <c r="I209">
        <f ca="1">BINOMDIST(Worksheet!$A$26,Worksheet!$B$15,$P209,1)</f>
        <v>1.2501175066040335E-21</v>
      </c>
      <c r="J209">
        <f ca="1">BINOMDIST(Worksheet!$A$27,Worksheet!$B$15,$P209,1)</f>
        <v>1.9113518250778286E-20</v>
      </c>
      <c r="K209">
        <f ca="1">BINOMDIST(Worksheet!$A$28,Worksheet!$B$15,$P209,1)</f>
        <v>2.4194451112035578E-19</v>
      </c>
      <c r="L209">
        <f ca="1">BINOMDIST(Worksheet!$A$29,Worksheet!$B$15,$P209,1)</f>
        <v>2.6079394171732532E-18</v>
      </c>
      <c r="M209">
        <f ca="1">BINOMDIST(Worksheet!$A$30,Worksheet!$B$15,$P209,1)</f>
        <v>2.4435860507133863E-17</v>
      </c>
      <c r="N209">
        <f ca="1">BINOMDIST(Worksheet!$A$31,Worksheet!$B$15,$P209,1)</f>
        <v>2.0217750366824132E-16</v>
      </c>
      <c r="O209">
        <f ca="1">BINOMDIST(Worksheet!$A$32,Worksheet!$B$15,$P209,1)</f>
        <v>1.4955315879469378E-15</v>
      </c>
      <c r="P209">
        <v>0.34200000000000003</v>
      </c>
    </row>
    <row r="210" spans="5:16" x14ac:dyDescent="0.2">
      <c r="E210">
        <f ca="1">BINOMDIST(Worksheet!$A$22,Worksheet!$B$15,$P210,1)</f>
        <v>1.0325872886803047E-27</v>
      </c>
      <c r="F210">
        <f ca="1">BINOMDIST(Worksheet!$A$23,Worksheet!$B$15,$P210,1)</f>
        <v>8.0645223935960413E-26</v>
      </c>
      <c r="G210">
        <f ca="1">BINOMDIST(Worksheet!$A$24,Worksheet!$B$15,$P210,1)</f>
        <v>3.1291206005026759E-24</v>
      </c>
      <c r="H210">
        <f ca="1">BINOMDIST(Worksheet!$A$25,Worksheet!$B$15,$P210,1)</f>
        <v>8.0423468198459049E-23</v>
      </c>
      <c r="I210">
        <f ca="1">BINOMDIST(Worksheet!$A$26,Worksheet!$B$15,$P210,1)</f>
        <v>1.5402779406991741E-21</v>
      </c>
      <c r="J210">
        <f ca="1">BINOMDIST(Worksheet!$A$27,Worksheet!$B$15,$P210,1)</f>
        <v>2.3446956056874541E-20</v>
      </c>
      <c r="K210">
        <f ca="1">BINOMDIST(Worksheet!$A$28,Worksheet!$B$15,$P210,1)</f>
        <v>2.9550196926291274E-19</v>
      </c>
      <c r="L210">
        <f ca="1">BINOMDIST(Worksheet!$A$29,Worksheet!$B$15,$P210,1)</f>
        <v>3.1713351816986459E-18</v>
      </c>
      <c r="M210">
        <f ca="1">BINOMDIST(Worksheet!$A$30,Worksheet!$B$15,$P210,1)</f>
        <v>2.9585143188633985E-17</v>
      </c>
      <c r="N210">
        <f ca="1">BINOMDIST(Worksheet!$A$31,Worksheet!$B$15,$P210,1)</f>
        <v>2.4371468336422968E-16</v>
      </c>
      <c r="O210">
        <f ca="1">BINOMDIST(Worksheet!$A$32,Worksheet!$B$15,$P210,1)</f>
        <v>1.7949353583237029E-15</v>
      </c>
      <c r="P210">
        <v>0.34100000000000003</v>
      </c>
    </row>
    <row r="211" spans="5:16" x14ac:dyDescent="0.2">
      <c r="E211">
        <f ca="1">BINOMDIST(Worksheet!$A$22,Worksheet!$B$15,$P211,1)</f>
        <v>1.2943341079527178E-27</v>
      </c>
      <c r="F211">
        <f ca="1">BINOMDIST(Worksheet!$A$23,Worksheet!$B$15,$P211,1)</f>
        <v>1.006442824547478E-25</v>
      </c>
      <c r="G211">
        <f ca="1">BINOMDIST(Worksheet!$A$24,Worksheet!$B$15,$P211,1)</f>
        <v>3.8879847376143951E-24</v>
      </c>
      <c r="H211">
        <f ca="1">BINOMDIST(Worksheet!$A$25,Worksheet!$B$15,$P211,1)</f>
        <v>9.9489639257250434E-23</v>
      </c>
      <c r="I211">
        <f ca="1">BINOMDIST(Worksheet!$A$26,Worksheet!$B$15,$P211,1)</f>
        <v>1.8970904462098025E-21</v>
      </c>
      <c r="J211">
        <f ca="1">BINOMDIST(Worksheet!$A$27,Worksheet!$B$15,$P211,1)</f>
        <v>2.8752157047046449E-20</v>
      </c>
      <c r="K211">
        <f ca="1">BINOMDIST(Worksheet!$A$28,Worksheet!$B$15,$P211,1)</f>
        <v>3.6077843502102711E-19</v>
      </c>
      <c r="L211">
        <f ca="1">BINOMDIST(Worksheet!$A$29,Worksheet!$B$15,$P211,1)</f>
        <v>3.8549597413186095E-18</v>
      </c>
      <c r="M211">
        <f ca="1">BINOMDIST(Worksheet!$A$30,Worksheet!$B$15,$P211,1)</f>
        <v>3.5805541837539736E-17</v>
      </c>
      <c r="N211">
        <f ca="1">BINOMDIST(Worksheet!$A$31,Worksheet!$B$15,$P211,1)</f>
        <v>2.9366933067471847E-16</v>
      </c>
      <c r="O211">
        <f ca="1">BINOMDIST(Worksheet!$A$32,Worksheet!$B$15,$P211,1)</f>
        <v>2.1534142319852825E-15</v>
      </c>
      <c r="P211">
        <v>0.34</v>
      </c>
    </row>
    <row r="212" spans="5:16" x14ac:dyDescent="0.2">
      <c r="E212">
        <f ca="1">BINOMDIST(Worksheet!$A$22,Worksheet!$B$15,$P212,1)</f>
        <v>1.6218753130704785E-27</v>
      </c>
      <c r="F212">
        <f ca="1">BINOMDIST(Worksheet!$A$23,Worksheet!$B$15,$P212,1)</f>
        <v>1.255591581247242E-25</v>
      </c>
      <c r="G212">
        <f ca="1">BINOMDIST(Worksheet!$A$24,Worksheet!$B$15,$P212,1)</f>
        <v>4.8291759154819836E-24</v>
      </c>
      <c r="H212">
        <f ca="1">BINOMDIST(Worksheet!$A$25,Worksheet!$B$15,$P212,1)</f>
        <v>1.2303156314159627E-22</v>
      </c>
      <c r="I212">
        <f ca="1">BINOMDIST(Worksheet!$A$26,Worksheet!$B$15,$P212,1)</f>
        <v>2.3357051461103044E-21</v>
      </c>
      <c r="J212">
        <f ca="1">BINOMDIST(Worksheet!$A$27,Worksheet!$B$15,$P212,1)</f>
        <v>3.5244621930021666E-20</v>
      </c>
      <c r="K212">
        <f ca="1">BINOMDIST(Worksheet!$A$28,Worksheet!$B$15,$P212,1)</f>
        <v>4.4030808176951178E-19</v>
      </c>
      <c r="L212">
        <f ca="1">BINOMDIST(Worksheet!$A$29,Worksheet!$B$15,$P212,1)</f>
        <v>4.6841510345767327E-18</v>
      </c>
      <c r="M212">
        <f ca="1">BINOMDIST(Worksheet!$A$30,Worksheet!$B$15,$P212,1)</f>
        <v>4.3316925630309372E-17</v>
      </c>
      <c r="N212">
        <f ca="1">BINOMDIST(Worksheet!$A$31,Worksheet!$B$15,$P212,1)</f>
        <v>3.5372337930343512E-16</v>
      </c>
      <c r="O212">
        <f ca="1">BINOMDIST(Worksheet!$A$32,Worksheet!$B$15,$P212,1)</f>
        <v>2.5824511087022916E-15</v>
      </c>
      <c r="P212">
        <v>0.33900000000000002</v>
      </c>
    </row>
    <row r="213" spans="5:16" x14ac:dyDescent="0.2">
      <c r="E213">
        <f ca="1">BINOMDIST(Worksheet!$A$22,Worksheet!$B$15,$P213,1)</f>
        <v>2.0316103960693332E-27</v>
      </c>
      <c r="F213">
        <f ca="1">BINOMDIST(Worksheet!$A$23,Worksheet!$B$15,$P213,1)</f>
        <v>1.5658744539130086E-25</v>
      </c>
      <c r="G213">
        <f ca="1">BINOMDIST(Worksheet!$A$24,Worksheet!$B$15,$P213,1)</f>
        <v>5.9960897790782385E-24</v>
      </c>
      <c r="H213">
        <f ca="1">BINOMDIST(Worksheet!$A$25,Worksheet!$B$15,$P213,1)</f>
        <v>1.5208950012730009E-22</v>
      </c>
      <c r="I213">
        <f ca="1">BINOMDIST(Worksheet!$A$26,Worksheet!$B$15,$P213,1)</f>
        <v>2.8746792334596392E-21</v>
      </c>
      <c r="J213">
        <f ca="1">BINOMDIST(Worksheet!$A$27,Worksheet!$B$15,$P213,1)</f>
        <v>4.3187103049356541E-20</v>
      </c>
      <c r="K213">
        <f ca="1">BINOMDIST(Worksheet!$A$28,Worksheet!$B$15,$P213,1)</f>
        <v>5.3716653204415224E-19</v>
      </c>
      <c r="L213">
        <f ca="1">BINOMDIST(Worksheet!$A$29,Worksheet!$B$15,$P213,1)</f>
        <v>5.6895190829795025E-18</v>
      </c>
      <c r="M213">
        <f ca="1">BINOMDIST(Worksheet!$A$30,Worksheet!$B$15,$P213,1)</f>
        <v>5.2383686952067978E-17</v>
      </c>
      <c r="N213">
        <f ca="1">BINOMDIST(Worksheet!$A$31,Worksheet!$B$15,$P213,1)</f>
        <v>4.258900065735906E-16</v>
      </c>
      <c r="O213">
        <f ca="1">BINOMDIST(Worksheet!$A$32,Worksheet!$B$15,$P213,1)</f>
        <v>3.0957267202428336E-15</v>
      </c>
      <c r="P213">
        <v>0.33800000000000002</v>
      </c>
    </row>
    <row r="214" spans="5:16" x14ac:dyDescent="0.2">
      <c r="E214">
        <f ca="1">BINOMDIST(Worksheet!$A$22,Worksheet!$B$15,$P214,1)</f>
        <v>2.5439919475313775E-27</v>
      </c>
      <c r="F214">
        <f ca="1">BINOMDIST(Worksheet!$A$23,Worksheet!$B$15,$P214,1)</f>
        <v>1.9521588887270937E-25</v>
      </c>
      <c r="G214">
        <f ca="1">BINOMDIST(Worksheet!$A$24,Worksheet!$B$15,$P214,1)</f>
        <v>7.442352790109644E-24</v>
      </c>
      <c r="H214">
        <f ca="1">BINOMDIST(Worksheet!$A$25,Worksheet!$B$15,$P214,1)</f>
        <v>1.8794306417793092E-22</v>
      </c>
      <c r="I214">
        <f ca="1">BINOMDIST(Worksheet!$A$26,Worksheet!$B$15,$P214,1)</f>
        <v>3.5367349200239517E-21</v>
      </c>
      <c r="J214">
        <f ca="1">BINOMDIST(Worksheet!$A$27,Worksheet!$B$15,$P214,1)</f>
        <v>5.2899846243075462E-20</v>
      </c>
      <c r="K214">
        <f ca="1">BINOMDIST(Worksheet!$A$28,Worksheet!$B$15,$P214,1)</f>
        <v>6.5508513188536867E-19</v>
      </c>
      <c r="L214">
        <f ca="1">BINOMDIST(Worksheet!$A$29,Worksheet!$B$15,$P214,1)</f>
        <v>6.9080287001654302E-18</v>
      </c>
      <c r="M214">
        <f ca="1">BINOMDIST(Worksheet!$A$30,Worksheet!$B$15,$P214,1)</f>
        <v>6.332363230432718E-17</v>
      </c>
      <c r="N214">
        <f ca="1">BINOMDIST(Worksheet!$A$31,Worksheet!$B$15,$P214,1)</f>
        <v>5.1257790353927831E-16</v>
      </c>
      <c r="O214">
        <f ca="1">BINOMDIST(Worksheet!$A$32,Worksheet!$B$15,$P214,1)</f>
        <v>3.7095336376063951E-15</v>
      </c>
      <c r="P214">
        <v>0.33700000000000002</v>
      </c>
    </row>
    <row r="215" spans="5:16" x14ac:dyDescent="0.2">
      <c r="E215">
        <f ca="1">BINOMDIST(Worksheet!$A$22,Worksheet!$B$15,$P215,1)</f>
        <v>3.1845188639516733E-27</v>
      </c>
      <c r="F215">
        <f ca="1">BINOMDIST(Worksheet!$A$23,Worksheet!$B$15,$P215,1)</f>
        <v>2.4328956766647612E-25</v>
      </c>
      <c r="G215">
        <f ca="1">BINOMDIST(Worksheet!$A$24,Worksheet!$B$15,$P215,1)</f>
        <v>9.234211154151396E-24</v>
      </c>
      <c r="H215">
        <f ca="1">BINOMDIST(Worksheet!$A$25,Worksheet!$B$15,$P215,1)</f>
        <v>2.3216573675639101E-22</v>
      </c>
      <c r="I215">
        <f ca="1">BINOMDIST(Worksheet!$A$26,Worksheet!$B$15,$P215,1)</f>
        <v>4.3496841554098166E-21</v>
      </c>
      <c r="J215">
        <f ca="1">BINOMDIST(Worksheet!$A$27,Worksheet!$B$15,$P215,1)</f>
        <v>6.4773026732757875E-20</v>
      </c>
      <c r="K215">
        <f ca="1">BINOMDIST(Worksheet!$A$28,Worksheet!$B$15,$P215,1)</f>
        <v>7.9858904261187256E-19</v>
      </c>
      <c r="L215">
        <f ca="1">BINOMDIST(Worksheet!$A$29,Worksheet!$B$15,$P215,1)</f>
        <v>8.3843015923020286E-18</v>
      </c>
      <c r="M215">
        <f ca="1">BINOMDIST(Worksheet!$A$30,Worksheet!$B$15,$P215,1)</f>
        <v>7.6518623348856018E-17</v>
      </c>
      <c r="N215">
        <f ca="1">BINOMDIST(Worksheet!$A$31,Worksheet!$B$15,$P215,1)</f>
        <v>6.1666782474418958E-16</v>
      </c>
      <c r="O215">
        <f ca="1">BINOMDIST(Worksheet!$A$32,Worksheet!$B$15,$P215,1)</f>
        <v>4.4432669864364422E-15</v>
      </c>
      <c r="P215">
        <v>0.33600000000000002</v>
      </c>
    </row>
    <row r="216" spans="5:16" x14ac:dyDescent="0.2">
      <c r="E216">
        <f ca="1">BINOMDIST(Worksheet!$A$22,Worksheet!$B$15,$P216,1)</f>
        <v>3.9849708617104221E-27</v>
      </c>
      <c r="F216">
        <f ca="1">BINOMDIST(Worksheet!$A$23,Worksheet!$B$15,$P216,1)</f>
        <v>3.0309748298543149E-25</v>
      </c>
      <c r="G216">
        <f ca="1">BINOMDIST(Worksheet!$A$24,Worksheet!$B$15,$P216,1)</f>
        <v>1.1453472183056184E-23</v>
      </c>
      <c r="H216">
        <f ca="1">BINOMDIST(Worksheet!$A$25,Worksheet!$B$15,$P216,1)</f>
        <v>2.8669166872690812E-22</v>
      </c>
      <c r="I216">
        <f ca="1">BINOMDIST(Worksheet!$A$26,Worksheet!$B$15,$P216,1)</f>
        <v>5.3475564029223227E-21</v>
      </c>
      <c r="J216">
        <f ca="1">BINOMDIST(Worksheet!$A$27,Worksheet!$B$15,$P216,1)</f>
        <v>7.9281843459626821E-20</v>
      </c>
      <c r="K216">
        <f ca="1">BINOMDIST(Worksheet!$A$28,Worksheet!$B$15,$P216,1)</f>
        <v>9.7316405088203953E-19</v>
      </c>
      <c r="L216">
        <f ca="1">BINOMDIST(Worksheet!$A$29,Worksheet!$B$15,$P216,1)</f>
        <v>1.0172181697836008E-17</v>
      </c>
      <c r="M216">
        <f ca="1">BINOMDIST(Worksheet!$A$30,Worksheet!$B$15,$P216,1)</f>
        <v>9.2427307537234601E-17</v>
      </c>
      <c r="N216">
        <f ca="1">BINOMDIST(Worksheet!$A$31,Worksheet!$B$15,$P216,1)</f>
        <v>7.4160372675594706E-16</v>
      </c>
      <c r="O216">
        <f ca="1">BINOMDIST(Worksheet!$A$32,Worksheet!$B$15,$P216,1)</f>
        <v>5.3200058412458151E-15</v>
      </c>
      <c r="P216">
        <v>0.33500000000000002</v>
      </c>
    </row>
    <row r="217" spans="5:16" x14ac:dyDescent="0.2">
      <c r="E217">
        <f ca="1">BINOMDIST(Worksheet!$A$22,Worksheet!$B$15,$P217,1)</f>
        <v>4.9849424216133559E-27</v>
      </c>
      <c r="F217">
        <f ca="1">BINOMDIST(Worksheet!$A$23,Worksheet!$B$15,$P217,1)</f>
        <v>3.7747840271291828E-25</v>
      </c>
      <c r="G217">
        <f ca="1">BINOMDIST(Worksheet!$A$24,Worksheet!$B$15,$P217,1)</f>
        <v>1.4201124595745811E-23</v>
      </c>
      <c r="H217">
        <f ca="1">BINOMDIST(Worksheet!$A$25,Worksheet!$B$15,$P217,1)</f>
        <v>3.5389751137529032E-22</v>
      </c>
      <c r="I217">
        <f ca="1">BINOMDIST(Worksheet!$A$26,Worksheet!$B$15,$P217,1)</f>
        <v>6.5719735642723351E-21</v>
      </c>
      <c r="J217">
        <f ca="1">BINOMDIST(Worksheet!$A$27,Worksheet!$B$15,$P217,1)</f>
        <v>9.7004833396646039E-20</v>
      </c>
      <c r="K217">
        <f ca="1">BINOMDIST(Worksheet!$A$28,Worksheet!$B$15,$P217,1)</f>
        <v>1.1854579931808925E-18</v>
      </c>
      <c r="L217">
        <f ca="1">BINOMDIST(Worksheet!$A$29,Worksheet!$B$15,$P217,1)</f>
        <v>1.233661625521755E-17</v>
      </c>
      <c r="M217">
        <f ca="1">BINOMDIST(Worksheet!$A$30,Worksheet!$B$15,$P217,1)</f>
        <v>1.1160034261630533E-16</v>
      </c>
      <c r="N217">
        <f ca="1">BINOMDIST(Worksheet!$A$31,Worksheet!$B$15,$P217,1)</f>
        <v>8.9150123171358098E-16</v>
      </c>
      <c r="O217">
        <f ca="1">BINOMDIST(Worksheet!$A$32,Worksheet!$B$15,$P217,1)</f>
        <v>6.3672017683785448E-15</v>
      </c>
      <c r="P217">
        <v>0.33400000000000002</v>
      </c>
    </row>
    <row r="218" spans="5:16" x14ac:dyDescent="0.2">
      <c r="E218">
        <f ca="1">BINOMDIST(Worksheet!$A$22,Worksheet!$B$15,$P218,1)</f>
        <v>6.2337481675929106E-27</v>
      </c>
      <c r="F218">
        <f ca="1">BINOMDIST(Worksheet!$A$23,Worksheet!$B$15,$P218,1)</f>
        <v>4.6995171343214606E-25</v>
      </c>
      <c r="G218">
        <f ca="1">BINOMDIST(Worksheet!$A$24,Worksheet!$B$15,$P218,1)</f>
        <v>1.7601792942891084E-23</v>
      </c>
      <c r="H218">
        <f ca="1">BINOMDIST(Worksheet!$A$25,Worksheet!$B$15,$P218,1)</f>
        <v>4.3670262253971463E-22</v>
      </c>
      <c r="I218">
        <f ca="1">BINOMDIST(Worksheet!$A$26,Worksheet!$B$15,$P218,1)</f>
        <v>8.0738256110473404E-21</v>
      </c>
      <c r="J218">
        <f ca="1">BINOMDIST(Worksheet!$A$27,Worksheet!$B$15,$P218,1)</f>
        <v>1.1864608453161424E-19</v>
      </c>
      <c r="K218">
        <f ca="1">BINOMDIST(Worksheet!$A$28,Worksheet!$B$15,$P218,1)</f>
        <v>1.4435238855708501E-18</v>
      </c>
      <c r="L218">
        <f ca="1">BINOMDIST(Worksheet!$A$29,Worksheet!$B$15,$P218,1)</f>
        <v>1.4955915405743858E-17</v>
      </c>
      <c r="M218">
        <f ca="1">BINOMDIST(Worksheet!$A$30,Worksheet!$B$15,$P218,1)</f>
        <v>1.3469859633207447E-16</v>
      </c>
      <c r="N218">
        <f ca="1">BINOMDIST(Worksheet!$A$31,Worksheet!$B$15,$P218,1)</f>
        <v>1.0712766568907946E-15</v>
      </c>
      <c r="O218">
        <f ca="1">BINOMDIST(Worksheet!$A$32,Worksheet!$B$15,$P218,1)</f>
        <v>7.6174939257434942E-15</v>
      </c>
      <c r="P218">
        <v>0.33300000000000002</v>
      </c>
    </row>
    <row r="219" spans="5:16" x14ac:dyDescent="0.2">
      <c r="E219">
        <f ca="1">BINOMDIST(Worksheet!$A$22,Worksheet!$B$15,$P219,1)</f>
        <v>7.7927888484053155E-27</v>
      </c>
      <c r="F219">
        <f ca="1">BINOMDIST(Worksheet!$A$23,Worksheet!$B$15,$P219,1)</f>
        <v>5.8487913428689726E-25</v>
      </c>
      <c r="G219">
        <f ca="1">BINOMDIST(Worksheet!$A$24,Worksheet!$B$15,$P219,1)</f>
        <v>2.1809216461731369E-23</v>
      </c>
      <c r="H219">
        <f ca="1">BINOMDIST(Worksheet!$A$25,Worksheet!$B$15,$P219,1)</f>
        <v>5.3869173089716162E-22</v>
      </c>
      <c r="I219">
        <f ca="1">BINOMDIST(Worksheet!$A$26,Worksheet!$B$15,$P219,1)</f>
        <v>9.9153119553410371E-21</v>
      </c>
      <c r="J219">
        <f ca="1">BINOMDIST(Worksheet!$A$27,Worksheet!$B$15,$P219,1)</f>
        <v>1.4506216752561926E-19</v>
      </c>
      <c r="K219">
        <f ca="1">BINOMDIST(Worksheet!$A$28,Worksheet!$B$15,$P219,1)</f>
        <v>1.7571132830704972E-18</v>
      </c>
      <c r="L219">
        <f ca="1">BINOMDIST(Worksheet!$A$29,Worksheet!$B$15,$P219,1)</f>
        <v>1.8124465456211706E-17</v>
      </c>
      <c r="M219">
        <f ca="1">BINOMDIST(Worksheet!$A$30,Worksheet!$B$15,$P219,1)</f>
        <v>1.6251489413333945E-16</v>
      </c>
      <c r="N219">
        <f ca="1">BINOMDIST(Worksheet!$A$31,Worksheet!$B$15,$P219,1)</f>
        <v>1.286800447565428E-15</v>
      </c>
      <c r="O219">
        <f ca="1">BINOMDIST(Worksheet!$A$32,Worksheet!$B$15,$P219,1)</f>
        <v>9.1096735798294409E-15</v>
      </c>
      <c r="P219">
        <v>0.33200000000000002</v>
      </c>
    </row>
    <row r="220" spans="5:16" x14ac:dyDescent="0.2">
      <c r="E220">
        <f ca="1">BINOMDIST(Worksheet!$A$22,Worksheet!$B$15,$P220,1)</f>
        <v>9.7384883130185123E-27</v>
      </c>
      <c r="F220">
        <f ca="1">BINOMDIST(Worksheet!$A$23,Worksheet!$B$15,$P220,1)</f>
        <v>7.2766450491953613E-25</v>
      </c>
      <c r="G220">
        <f ca="1">BINOMDIST(Worksheet!$A$24,Worksheet!$B$15,$P220,1)</f>
        <v>2.7012985657027219E-23</v>
      </c>
      <c r="H220">
        <f ca="1">BINOMDIST(Worksheet!$A$25,Worksheet!$B$15,$P220,1)</f>
        <v>6.6426503911896258E-22</v>
      </c>
      <c r="I220">
        <f ca="1">BINOMDIST(Worksheet!$A$26,Worksheet!$B$15,$P220,1)</f>
        <v>1.2172427496369059E-20</v>
      </c>
      <c r="J220">
        <f ca="1">BINOMDIST(Worksheet!$A$27,Worksheet!$B$15,$P220,1)</f>
        <v>1.7729477641586652E-19</v>
      </c>
      <c r="K220">
        <f ca="1">BINOMDIST(Worksheet!$A$28,Worksheet!$B$15,$P220,1)</f>
        <v>2.1380301124644281E-18</v>
      </c>
      <c r="L220">
        <f ca="1">BINOMDIST(Worksheet!$A$29,Worksheet!$B$15,$P220,1)</f>
        <v>2.195598562414211E-17</v>
      </c>
      <c r="M220">
        <f ca="1">BINOMDIST(Worksheet!$A$30,Worksheet!$B$15,$P220,1)</f>
        <v>1.9599999626686906E-16</v>
      </c>
      <c r="N220">
        <f ca="1">BINOMDIST(Worksheet!$A$31,Worksheet!$B$15,$P220,1)</f>
        <v>1.545079554597165E-15</v>
      </c>
      <c r="O220">
        <f ca="1">BINOMDIST(Worksheet!$A$32,Worksheet!$B$15,$P220,1)</f>
        <v>1.0889824955647381E-14</v>
      </c>
      <c r="P220">
        <v>0.33100000000000002</v>
      </c>
    </row>
    <row r="221" spans="5:16" x14ac:dyDescent="0.2">
      <c r="E221">
        <f ca="1">BINOMDIST(Worksheet!$A$22,Worksheet!$B$15,$P221,1)</f>
        <v>1.2165938099172882E-26</v>
      </c>
      <c r="F221">
        <f ca="1">BINOMDIST(Worksheet!$A$23,Worksheet!$B$15,$P221,1)</f>
        <v>9.0500052964593404E-25</v>
      </c>
      <c r="G221">
        <f ca="1">BINOMDIST(Worksheet!$A$24,Worksheet!$B$15,$P221,1)</f>
        <v>3.344682250811148E-23</v>
      </c>
      <c r="H221">
        <f ca="1">BINOMDIST(Worksheet!$A$25,Worksheet!$B$15,$P221,1)</f>
        <v>8.1882183951077999E-22</v>
      </c>
      <c r="I221">
        <f ca="1">BINOMDIST(Worksheet!$A$26,Worksheet!$B$15,$P221,1)</f>
        <v>1.4937989122790095E-20</v>
      </c>
      <c r="J221">
        <f ca="1">BINOMDIST(Worksheet!$A$27,Worksheet!$B$15,$P221,1)</f>
        <v>2.1661027404963047E-19</v>
      </c>
      <c r="K221">
        <f ca="1">BINOMDIST(Worksheet!$A$28,Worksheet!$B$15,$P221,1)</f>
        <v>2.6005572839310853E-18</v>
      </c>
      <c r="L221">
        <f ca="1">BINOMDIST(Worksheet!$A$29,Worksheet!$B$15,$P221,1)</f>
        <v>2.6587435620030426E-17</v>
      </c>
      <c r="M221">
        <f ca="1">BINOMDIST(Worksheet!$A$30,Worksheet!$B$15,$P221,1)</f>
        <v>2.3629361450615259E-16</v>
      </c>
      <c r="N221">
        <f ca="1">BINOMDIST(Worksheet!$A$31,Worksheet!$B$15,$P221,1)</f>
        <v>1.8544741291945872E-15</v>
      </c>
      <c r="O221">
        <f ca="1">BINOMDIST(Worksheet!$A$32,Worksheet!$B$15,$P221,1)</f>
        <v>1.3012674096150667E-14</v>
      </c>
      <c r="P221">
        <v>0.33</v>
      </c>
    </row>
    <row r="222" spans="5:16" x14ac:dyDescent="0.2">
      <c r="E222">
        <f ca="1">BINOMDIST(Worksheet!$A$22,Worksheet!$B$15,$P222,1)</f>
        <v>1.5193418661338125E-26</v>
      </c>
      <c r="F222">
        <f ca="1">BINOMDIST(Worksheet!$A$23,Worksheet!$B$15,$P222,1)</f>
        <v>1.1251734129943545E-24</v>
      </c>
      <c r="G222">
        <f ca="1">BINOMDIST(Worksheet!$A$24,Worksheet!$B$15,$P222,1)</f>
        <v>4.139875454866004E-23</v>
      </c>
      <c r="H222">
        <f ca="1">BINOMDIST(Worksheet!$A$25,Worksheet!$B$15,$P222,1)</f>
        <v>1.0089850458870556E-21</v>
      </c>
      <c r="I222">
        <f ca="1">BINOMDIST(Worksheet!$A$26,Worksheet!$B$15,$P222,1)</f>
        <v>1.8325318845495326E-20</v>
      </c>
      <c r="J222">
        <f ca="1">BINOMDIST(Worksheet!$A$27,Worksheet!$B$15,$P222,1)</f>
        <v>2.6454758528672171E-19</v>
      </c>
      <c r="K222">
        <f ca="1">BINOMDIST(Worksheet!$A$28,Worksheet!$B$15,$P222,1)</f>
        <v>3.1619708577456079E-18</v>
      </c>
      <c r="L222">
        <f ca="1">BINOMDIST(Worksheet!$A$29,Worksheet!$B$15,$P222,1)</f>
        <v>3.2183702324506014E-17</v>
      </c>
      <c r="M222">
        <f ca="1">BINOMDIST(Worksheet!$A$30,Worksheet!$B$15,$P222,1)</f>
        <v>2.8476143158384205E-16</v>
      </c>
      <c r="N222">
        <f ca="1">BINOMDIST(Worksheet!$A$31,Worksheet!$B$15,$P222,1)</f>
        <v>2.2249548878864199E-15</v>
      </c>
      <c r="O222">
        <f ca="1">BINOMDIST(Worksheet!$A$32,Worksheet!$B$15,$P222,1)</f>
        <v>1.5543182994786119E-14</v>
      </c>
      <c r="P222">
        <v>0.32900000000000001</v>
      </c>
    </row>
    <row r="223" spans="5:16" x14ac:dyDescent="0.2">
      <c r="E223">
        <f ca="1">BINOMDIST(Worksheet!$A$22,Worksheet!$B$15,$P223,1)</f>
        <v>1.8968006291439807E-26</v>
      </c>
      <c r="F223">
        <f ca="1">BINOMDIST(Worksheet!$A$23,Worksheet!$B$15,$P223,1)</f>
        <v>1.3984388447962737E-24</v>
      </c>
      <c r="G223">
        <f ca="1">BINOMDIST(Worksheet!$A$24,Worksheet!$B$15,$P223,1)</f>
        <v>5.1223611749839837E-23</v>
      </c>
      <c r="H223">
        <f ca="1">BINOMDIST(Worksheet!$A$25,Worksheet!$B$15,$P223,1)</f>
        <v>1.2428756637287959E-21</v>
      </c>
      <c r="I223">
        <f ca="1">BINOMDIST(Worksheet!$A$26,Worksheet!$B$15,$P223,1)</f>
        <v>2.2472724423091942E-20</v>
      </c>
      <c r="J223">
        <f ca="1">BINOMDIST(Worksheet!$A$27,Worksheet!$B$15,$P223,1)</f>
        <v>3.229761788859839E-19</v>
      </c>
      <c r="K223">
        <f ca="1">BINOMDIST(Worksheet!$A$28,Worksheet!$B$15,$P223,1)</f>
        <v>3.8431595025941354E-18</v>
      </c>
      <c r="L223">
        <f ca="1">BINOMDIST(Worksheet!$A$29,Worksheet!$B$15,$P223,1)</f>
        <v>3.8943218732017383E-17</v>
      </c>
      <c r="M223">
        <f ca="1">BINOMDIST(Worksheet!$A$30,Worksheet!$B$15,$P223,1)</f>
        <v>3.4303926759169496E-16</v>
      </c>
      <c r="N223">
        <f ca="1">BINOMDIST(Worksheet!$A$31,Worksheet!$B$15,$P223,1)</f>
        <v>2.6684086570861255E-15</v>
      </c>
      <c r="O223">
        <f ca="1">BINOMDIST(Worksheet!$A$32,Worksheet!$B$15,$P223,1)</f>
        <v>1.8558432818631364E-14</v>
      </c>
      <c r="P223">
        <v>0.32800000000000001</v>
      </c>
    </row>
    <row r="224" spans="5:16" x14ac:dyDescent="0.2">
      <c r="E224">
        <f ca="1">BINOMDIST(Worksheet!$A$22,Worksheet!$B$15,$P224,1)</f>
        <v>2.3672524209635208E-26</v>
      </c>
      <c r="F224">
        <f ca="1">BINOMDIST(Worksheet!$A$23,Worksheet!$B$15,$P224,1)</f>
        <v>1.7374858928070399E-24</v>
      </c>
      <c r="G224">
        <f ca="1">BINOMDIST(Worksheet!$A$24,Worksheet!$B$15,$P224,1)</f>
        <v>6.3358371321217282E-23</v>
      </c>
      <c r="H224">
        <f ca="1">BINOMDIST(Worksheet!$A$25,Worksheet!$B$15,$P224,1)</f>
        <v>1.5304481888835058E-21</v>
      </c>
      <c r="I224">
        <f ca="1">BINOMDIST(Worksheet!$A$26,Worksheet!$B$15,$P224,1)</f>
        <v>2.7548948214908177E-20</v>
      </c>
      <c r="J224">
        <f ca="1">BINOMDIST(Worksheet!$A$27,Worksheet!$B$15,$P224,1)</f>
        <v>3.9416623758607125E-19</v>
      </c>
      <c r="K224">
        <f ca="1">BINOMDIST(Worksheet!$A$28,Worksheet!$B$15,$P224,1)</f>
        <v>4.669370527311026E-18</v>
      </c>
      <c r="L224">
        <f ca="1">BINOMDIST(Worksheet!$A$29,Worksheet!$B$15,$P224,1)</f>
        <v>4.710469801443213E-17</v>
      </c>
      <c r="M224">
        <f ca="1">BINOMDIST(Worksheet!$A$30,Worksheet!$B$15,$P224,1)</f>
        <v>4.1308575234893954E-16</v>
      </c>
      <c r="N224">
        <f ca="1">BINOMDIST(Worksheet!$A$31,Worksheet!$B$15,$P224,1)</f>
        <v>3.1990009698165259E-15</v>
      </c>
      <c r="O224">
        <f ca="1">BINOMDIST(Worksheet!$A$32,Worksheet!$B$15,$P224,1)</f>
        <v>2.2149847724001561E-14</v>
      </c>
      <c r="P224">
        <v>0.32700000000000001</v>
      </c>
    </row>
    <row r="225" spans="5:16" x14ac:dyDescent="0.2">
      <c r="E225">
        <f ca="1">BINOMDIST(Worksheet!$A$22,Worksheet!$B$15,$P225,1)</f>
        <v>2.9534157309813648E-26</v>
      </c>
      <c r="F225">
        <f ca="1">BINOMDIST(Worksheet!$A$23,Worksheet!$B$15,$P225,1)</f>
        <v>2.1580091679431769E-24</v>
      </c>
      <c r="G225">
        <f ca="1">BINOMDIST(Worksheet!$A$24,Worksheet!$B$15,$P225,1)</f>
        <v>7.8340993079692546E-23</v>
      </c>
      <c r="H225">
        <f ca="1">BINOMDIST(Worksheet!$A$25,Worksheet!$B$15,$P225,1)</f>
        <v>1.8839003180148397E-21</v>
      </c>
      <c r="I225">
        <f ca="1">BINOMDIST(Worksheet!$A$26,Worksheet!$B$15,$P225,1)</f>
        <v>3.3759791130186027E-20</v>
      </c>
      <c r="J225">
        <f ca="1">BINOMDIST(Worksheet!$A$27,Worksheet!$B$15,$P225,1)</f>
        <v>4.8087354741841352E-19</v>
      </c>
      <c r="K225">
        <f ca="1">BINOMDIST(Worksheet!$A$28,Worksheet!$B$15,$P225,1)</f>
        <v>5.6711080121055133E-18</v>
      </c>
      <c r="L225">
        <f ca="1">BINOMDIST(Worksheet!$A$29,Worksheet!$B$15,$P225,1)</f>
        <v>5.6955200906294197E-17</v>
      </c>
      <c r="M225">
        <f ca="1">BINOMDIST(Worksheet!$A$30,Worksheet!$B$15,$P225,1)</f>
        <v>4.9724511712621121E-16</v>
      </c>
      <c r="N225">
        <f ca="1">BINOMDIST(Worksheet!$A$31,Worksheet!$B$15,$P225,1)</f>
        <v>3.8336061934474455E-15</v>
      </c>
      <c r="O225">
        <f ca="1">BINOMDIST(Worksheet!$A$32,Worksheet!$B$15,$P225,1)</f>
        <v>2.6425819772572328E-14</v>
      </c>
      <c r="P225">
        <v>0.32600000000000001</v>
      </c>
    </row>
    <row r="226" spans="5:16" x14ac:dyDescent="0.2">
      <c r="E226">
        <f ca="1">BINOMDIST(Worksheet!$A$22,Worksheet!$B$15,$P226,1)</f>
        <v>3.6835125326621952E-26</v>
      </c>
      <c r="F226">
        <f ca="1">BINOMDIST(Worksheet!$A$23,Worksheet!$B$15,$P226,1)</f>
        <v>2.679414301536488E-24</v>
      </c>
      <c r="G226">
        <f ca="1">BINOMDIST(Worksheet!$A$24,Worksheet!$B$15,$P226,1)</f>
        <v>9.6833531616865895E-23</v>
      </c>
      <c r="H226">
        <f ca="1">BINOMDIST(Worksheet!$A$25,Worksheet!$B$15,$P226,1)</f>
        <v>2.3181732623526042E-21</v>
      </c>
      <c r="I226">
        <f ca="1">BINOMDIST(Worksheet!$A$26,Worksheet!$B$15,$P226,1)</f>
        <v>4.1356162233986265E-20</v>
      </c>
      <c r="J226">
        <f ca="1">BINOMDIST(Worksheet!$A$27,Worksheet!$B$15,$P226,1)</f>
        <v>5.8644215639346454E-19</v>
      </c>
      <c r="K226">
        <f ca="1">BINOMDIST(Worksheet!$A$28,Worksheet!$B$15,$P226,1)</f>
        <v>6.8852136444585059E-18</v>
      </c>
      <c r="L226">
        <f ca="1">BINOMDIST(Worksheet!$A$29,Worksheet!$B$15,$P226,1)</f>
        <v>6.883979669373331E-17</v>
      </c>
      <c r="M226">
        <f ca="1">BINOMDIST(Worksheet!$A$30,Worksheet!$B$15,$P226,1)</f>
        <v>5.9832202034633238E-16</v>
      </c>
      <c r="N226">
        <f ca="1">BINOMDIST(Worksheet!$A$31,Worksheet!$B$15,$P226,1)</f>
        <v>4.5923175592566833E-15</v>
      </c>
      <c r="O226">
        <f ca="1">BINOMDIST(Worksheet!$A$32,Worksheet!$B$15,$P226,1)</f>
        <v>3.1514806006726487E-14</v>
      </c>
      <c r="P226">
        <v>0.32500000000000001</v>
      </c>
    </row>
    <row r="227" spans="5:16" x14ac:dyDescent="0.2">
      <c r="E227">
        <f ca="1">BINOMDIST(Worksheet!$A$22,Worksheet!$B$15,$P227,1)</f>
        <v>4.5925902058582336E-26</v>
      </c>
      <c r="F227">
        <f ca="1">BINOMDIST(Worksheet!$A$23,Worksheet!$B$15,$P227,1)</f>
        <v>3.3256875112007742E-24</v>
      </c>
      <c r="G227">
        <f ca="1">BINOMDIST(Worksheet!$A$24,Worksheet!$B$15,$P227,1)</f>
        <v>1.1965048683190042E-22</v>
      </c>
      <c r="H227">
        <f ca="1">BINOMDIST(Worksheet!$A$25,Worksheet!$B$15,$P227,1)</f>
        <v>2.8515624898133159E-21</v>
      </c>
      <c r="I227">
        <f ca="1">BINOMDIST(Worksheet!$A$26,Worksheet!$B$15,$P227,1)</f>
        <v>5.0643857382206977E-20</v>
      </c>
      <c r="J227">
        <f ca="1">BINOMDIST(Worksheet!$A$27,Worksheet!$B$15,$P227,1)</f>
        <v>7.1492847692204322E-19</v>
      </c>
      <c r="K227">
        <f ca="1">BINOMDIST(Worksheet!$A$28,Worksheet!$B$15,$P227,1)</f>
        <v>8.3561669407412582E-18</v>
      </c>
      <c r="L227">
        <f ca="1">BINOMDIST(Worksheet!$A$29,Worksheet!$B$15,$P227,1)</f>
        <v>8.317312816341052E-17</v>
      </c>
      <c r="M227">
        <f ca="1">BINOMDIST(Worksheet!$A$30,Worksheet!$B$15,$P227,1)</f>
        <v>7.1967067844680249E-16</v>
      </c>
      <c r="N227">
        <f ca="1">BINOMDIST(Worksheet!$A$31,Worksheet!$B$15,$P227,1)</f>
        <v>5.4990516921131956E-15</v>
      </c>
      <c r="O227">
        <f ca="1">BINOMDIST(Worksheet!$A$32,Worksheet!$B$15,$P227,1)</f>
        <v>3.7568981097425128E-14</v>
      </c>
      <c r="P227">
        <v>0.32400000000000001</v>
      </c>
    </row>
    <row r="228" spans="5:16" x14ac:dyDescent="0.2">
      <c r="E228">
        <f ca="1">BINOMDIST(Worksheet!$A$22,Worksheet!$B$15,$P228,1)</f>
        <v>5.7241582807569285E-26</v>
      </c>
      <c r="F228">
        <f ca="1">BINOMDIST(Worksheet!$A$23,Worksheet!$B$15,$P228,1)</f>
        <v>4.1264670714041571E-24</v>
      </c>
      <c r="G228">
        <f ca="1">BINOMDIST(Worksheet!$A$24,Worksheet!$B$15,$P228,1)</f>
        <v>1.4779356844280111E-22</v>
      </c>
      <c r="H228">
        <f ca="1">BINOMDIST(Worksheet!$A$25,Worksheet!$B$15,$P228,1)</f>
        <v>3.5064630121726413E-21</v>
      </c>
      <c r="I228">
        <f ca="1">BINOMDIST(Worksheet!$A$26,Worksheet!$B$15,$P228,1)</f>
        <v>6.1995434071039649E-20</v>
      </c>
      <c r="J228">
        <f ca="1">BINOMDIST(Worksheet!$A$27,Worksheet!$B$15,$P228,1)</f>
        <v>8.7125125668315742E-19</v>
      </c>
      <c r="K228">
        <f ca="1">BINOMDIST(Worksheet!$A$28,Worksheet!$B$15,$P228,1)</f>
        <v>1.0137648800094003E-17</v>
      </c>
      <c r="L228">
        <f ca="1">BINOMDIST(Worksheet!$A$29,Worksheet!$B$15,$P228,1)</f>
        <v>1.0045325043178933E-16</v>
      </c>
      <c r="M228">
        <f ca="1">BINOMDIST(Worksheet!$A$30,Worksheet!$B$15,$P228,1)</f>
        <v>8.6530099497376515E-16</v>
      </c>
      <c r="N228">
        <f ca="1">BINOMDIST(Worksheet!$A$31,Worksheet!$B$15,$P228,1)</f>
        <v>6.5822648600115478E-15</v>
      </c>
      <c r="O228">
        <f ca="1">BINOMDIST(Worksheet!$A$32,Worksheet!$B$15,$P228,1)</f>
        <v>4.4768543438594848E-14</v>
      </c>
      <c r="P228">
        <v>0.32300000000000001</v>
      </c>
    </row>
    <row r="229" spans="5:16" x14ac:dyDescent="0.2">
      <c r="E229">
        <f ca="1">BINOMDIST(Worksheet!$A$22,Worksheet!$B$15,$P229,1)</f>
        <v>7.1322143385407892E-26</v>
      </c>
      <c r="F229">
        <f ca="1">BINOMDIST(Worksheet!$A$23,Worksheet!$B$15,$P229,1)</f>
        <v>5.1183631394696229E-24</v>
      </c>
      <c r="G229">
        <f ca="1">BINOMDIST(Worksheet!$A$24,Worksheet!$B$15,$P229,1)</f>
        <v>1.8249431130273679E-22</v>
      </c>
      <c r="H229">
        <f ca="1">BINOMDIST(Worksheet!$A$25,Worksheet!$B$15,$P229,1)</f>
        <v>4.3102785445181043E-21</v>
      </c>
      <c r="I229">
        <f ca="1">BINOMDIST(Worksheet!$A$26,Worksheet!$B$15,$P229,1)</f>
        <v>7.5864626764253218E-20</v>
      </c>
      <c r="J229">
        <f ca="1">BINOMDIST(Worksheet!$A$27,Worksheet!$B$15,$P229,1)</f>
        <v>1.0613727442803058E-18</v>
      </c>
      <c r="K229">
        <f ca="1">BINOMDIST(Worksheet!$A$28,Worksheet!$B$15,$P229,1)</f>
        <v>1.2294421021808461E-17</v>
      </c>
      <c r="L229">
        <f ca="1">BINOMDIST(Worksheet!$A$29,Worksheet!$B$15,$P229,1)</f>
        <v>1.2127818439876996E-16</v>
      </c>
      <c r="M229">
        <f ca="1">BINOMDIST(Worksheet!$A$30,Worksheet!$B$15,$P229,1)</f>
        <v>1.0400048799460059E-15</v>
      </c>
      <c r="N229">
        <f ca="1">BINOMDIST(Worksheet!$A$31,Worksheet!$B$15,$P229,1)</f>
        <v>7.8758012469134623E-15</v>
      </c>
      <c r="O229">
        <f ca="1">BINOMDIST(Worksheet!$A$32,Worksheet!$B$15,$P229,1)</f>
        <v>5.3326789480378725E-14</v>
      </c>
      <c r="P229">
        <v>0.32200000000000001</v>
      </c>
    </row>
    <row r="230" spans="5:16" x14ac:dyDescent="0.2">
      <c r="E230">
        <f ca="1">BINOMDIST(Worksheet!$A$22,Worksheet!$B$15,$P230,1)</f>
        <v>8.8837508048102556E-26</v>
      </c>
      <c r="F230">
        <f ca="1">BINOMDIST(Worksheet!$A$23,Worksheet!$B$15,$P230,1)</f>
        <v>6.346582975548366E-24</v>
      </c>
      <c r="G230">
        <f ca="1">BINOMDIST(Worksheet!$A$24,Worksheet!$B$15,$P230,1)</f>
        <v>2.2526629701826108E-22</v>
      </c>
      <c r="H230">
        <f ca="1">BINOMDIST(Worksheet!$A$25,Worksheet!$B$15,$P230,1)</f>
        <v>5.2965301882963474E-21</v>
      </c>
      <c r="I230">
        <f ca="1">BINOMDIST(Worksheet!$A$26,Worksheet!$B$15,$P230,1)</f>
        <v>9.2803840029473885E-20</v>
      </c>
      <c r="J230">
        <f ca="1">BINOMDIST(Worksheet!$A$27,Worksheet!$B$15,$P230,1)</f>
        <v>1.2925174590449676E-18</v>
      </c>
      <c r="K230">
        <f ca="1">BINOMDIST(Worksheet!$A$28,Worksheet!$B$15,$P230,1)</f>
        <v>1.4904584794678864E-17</v>
      </c>
      <c r="L230">
        <f ca="1">BINOMDIST(Worksheet!$A$29,Worksheet!$B$15,$P230,1)</f>
        <v>1.4636570974893948E-16</v>
      </c>
      <c r="M230">
        <f ca="1">BINOMDIST(Worksheet!$A$30,Worksheet!$B$15,$P230,1)</f>
        <v>1.2495065414251355E-15</v>
      </c>
      <c r="N230">
        <f ca="1">BINOMDIST(Worksheet!$A$31,Worksheet!$B$15,$P230,1)</f>
        <v>9.4198971783907036E-15</v>
      </c>
      <c r="O230">
        <f ca="1">BINOMDIST(Worksheet!$A$32,Worksheet!$B$15,$P230,1)</f>
        <v>6.3496090878719323E-14</v>
      </c>
      <c r="P230">
        <v>0.32100000000000001</v>
      </c>
    </row>
    <row r="231" spans="5:16" x14ac:dyDescent="0.2">
      <c r="E231">
        <f ca="1">BINOMDIST(Worksheet!$A$22,Worksheet!$B$15,$P231,1)</f>
        <v>1.1061855810944251E-25</v>
      </c>
      <c r="F231">
        <f ca="1">BINOMDIST(Worksheet!$A$23,Worksheet!$B$15,$P231,1)</f>
        <v>7.8669315737832801E-24</v>
      </c>
      <c r="G231">
        <f ca="1">BINOMDIST(Worksheet!$A$24,Worksheet!$B$15,$P231,1)</f>
        <v>2.7796912600195536E-22</v>
      </c>
      <c r="H231">
        <f ca="1">BINOMDIST(Worksheet!$A$25,Worksheet!$B$15,$P231,1)</f>
        <v>6.5062079622280609E-21</v>
      </c>
      <c r="I231">
        <f ca="1">BINOMDIST(Worksheet!$A$26,Worksheet!$B$15,$P231,1)</f>
        <v>1.1348536914917005E-19</v>
      </c>
      <c r="J231">
        <f ca="1">BINOMDIST(Worksheet!$A$27,Worksheet!$B$15,$P231,1)</f>
        <v>1.5734362747592075E-18</v>
      </c>
      <c r="K231">
        <f ca="1">BINOMDIST(Worksheet!$A$28,Worksheet!$B$15,$P231,1)</f>
        <v>1.8062293561648955E-17</v>
      </c>
      <c r="L231">
        <f ca="1">BINOMDIST(Worksheet!$A$29,Worksheet!$B$15,$P231,1)</f>
        <v>1.7657702243729556E-16</v>
      </c>
      <c r="M231">
        <f ca="1">BINOMDIST(Worksheet!$A$30,Worksheet!$B$15,$P231,1)</f>
        <v>1.500641228339759E-15</v>
      </c>
      <c r="N231">
        <f ca="1">BINOMDIST(Worksheet!$A$31,Worksheet!$B$15,$P231,1)</f>
        <v>1.1262369491463747E-14</v>
      </c>
      <c r="O231">
        <f ca="1">BINOMDIST(Worksheet!$A$32,Worksheet!$B$15,$P231,1)</f>
        <v>7.5574932166163233E-14</v>
      </c>
      <c r="P231">
        <v>0.32</v>
      </c>
    </row>
    <row r="232" spans="5:16" x14ac:dyDescent="0.2">
      <c r="E232">
        <f ca="1">BINOMDIST(Worksheet!$A$22,Worksheet!$B$15,$P232,1)</f>
        <v>1.3769547704837847E-25</v>
      </c>
      <c r="F232">
        <f ca="1">BINOMDIST(Worksheet!$A$23,Worksheet!$B$15,$P232,1)</f>
        <v>9.748273626220904E-24</v>
      </c>
      <c r="G232">
        <f ca="1">BINOMDIST(Worksheet!$A$24,Worksheet!$B$15,$P232,1)</f>
        <v>3.4288675789841761E-22</v>
      </c>
      <c r="H232">
        <f ca="1">BINOMDIST(Worksheet!$A$25,Worksheet!$B$15,$P232,1)</f>
        <v>7.9894178117291557E-21</v>
      </c>
      <c r="I232">
        <f ca="1">BINOMDIST(Worksheet!$A$26,Worksheet!$B$15,$P232,1)</f>
        <v>1.3872713341419312E-19</v>
      </c>
      <c r="J232">
        <f ca="1">BINOMDIST(Worksheet!$A$27,Worksheet!$B$15,$P232,1)</f>
        <v>1.914725087949275E-18</v>
      </c>
      <c r="K232">
        <f ca="1">BINOMDIST(Worksheet!$A$28,Worksheet!$B$15,$P232,1)</f>
        <v>2.1881010462282108E-17</v>
      </c>
      <c r="L232">
        <f ca="1">BINOMDIST(Worksheet!$A$29,Worksheet!$B$15,$P232,1)</f>
        <v>2.1294500037647093E-16</v>
      </c>
      <c r="M232">
        <f ca="1">BINOMDIST(Worksheet!$A$30,Worksheet!$B$15,$P232,1)</f>
        <v>1.8015677270895713E-15</v>
      </c>
      <c r="N232">
        <f ca="1">BINOMDIST(Worksheet!$A$31,Worksheet!$B$15,$P232,1)</f>
        <v>1.3460021247211657E-14</v>
      </c>
      <c r="O232">
        <f ca="1">BINOMDIST(Worksheet!$A$32,Worksheet!$B$15,$P232,1)</f>
        <v>8.9916193671389401E-14</v>
      </c>
      <c r="P232">
        <v>0.31900000000000001</v>
      </c>
    </row>
    <row r="233" spans="5:16" x14ac:dyDescent="0.2">
      <c r="E233">
        <f ca="1">BINOMDIST(Worksheet!$A$22,Worksheet!$B$15,$P233,1)</f>
        <v>1.7134515306643748E-25</v>
      </c>
      <c r="F233">
        <f ca="1">BINOMDIST(Worksheet!$A$23,Worksheet!$B$15,$P233,1)</f>
        <v>1.2075562224318552E-23</v>
      </c>
      <c r="G233">
        <f ca="1">BINOMDIST(Worksheet!$A$24,Worksheet!$B$15,$P233,1)</f>
        <v>4.2282341577373931E-22</v>
      </c>
      <c r="H233">
        <f ca="1">BINOMDIST(Worksheet!$A$25,Worksheet!$B$15,$P233,1)</f>
        <v>9.8073880110920395E-21</v>
      </c>
      <c r="I233">
        <f ca="1">BINOMDIST(Worksheet!$A$26,Worksheet!$B$15,$P233,1)</f>
        <v>1.695238707938772E-19</v>
      </c>
      <c r="J233">
        <f ca="1">BINOMDIST(Worksheet!$A$27,Worksheet!$B$15,$P233,1)</f>
        <v>2.3292092142291365E-18</v>
      </c>
      <c r="K233">
        <f ca="1">BINOMDIST(Worksheet!$A$28,Worksheet!$B$15,$P233,1)</f>
        <v>2.6497418218771519E-17</v>
      </c>
      <c r="L233">
        <f ca="1">BINOMDIST(Worksheet!$A$29,Worksheet!$B$15,$P233,1)</f>
        <v>2.5670796205466599E-16</v>
      </c>
      <c r="M233">
        <f ca="1">BINOMDIST(Worksheet!$A$30,Worksheet!$B$15,$P233,1)</f>
        <v>2.162020886807903E-15</v>
      </c>
      <c r="N233">
        <f ca="1">BINOMDIST(Worksheet!$A$31,Worksheet!$B$15,$P233,1)</f>
        <v>1.6080303864990645E-14</v>
      </c>
      <c r="O233">
        <f ca="1">BINOMDIST(Worksheet!$A$32,Worksheet!$B$15,$P233,1)</f>
        <v>1.0693689597477011E-13</v>
      </c>
      <c r="P233">
        <v>0.318</v>
      </c>
    </row>
    <row r="234" spans="5:16" x14ac:dyDescent="0.2">
      <c r="E234">
        <f ca="1">BINOMDIST(Worksheet!$A$22,Worksheet!$B$15,$P234,1)</f>
        <v>2.131497602782823E-25</v>
      </c>
      <c r="F234">
        <f ca="1">BINOMDIST(Worksheet!$A$23,Worksheet!$B$15,$P234,1)</f>
        <v>1.4953563562948922E-23</v>
      </c>
      <c r="G234">
        <f ca="1">BINOMDIST(Worksheet!$A$24,Worksheet!$B$15,$P234,1)</f>
        <v>5.2122095299640142E-22</v>
      </c>
      <c r="H234">
        <f ca="1">BINOMDIST(Worksheet!$A$25,Worksheet!$B$15,$P234,1)</f>
        <v>1.2034912548999071E-20</v>
      </c>
      <c r="I234">
        <f ca="1">BINOMDIST(Worksheet!$A$26,Worksheet!$B$15,$P234,1)</f>
        <v>2.0708493979870469E-19</v>
      </c>
      <c r="J234">
        <f ca="1">BINOMDIST(Worksheet!$A$27,Worksheet!$B$15,$P234,1)</f>
        <v>2.8324069024730024E-18</v>
      </c>
      <c r="K234">
        <f ca="1">BINOMDIST(Worksheet!$A$28,Worksheet!$B$15,$P234,1)</f>
        <v>3.2076110404707344E-17</v>
      </c>
      <c r="L234">
        <f ca="1">BINOMDIST(Worksheet!$A$29,Worksheet!$B$15,$P234,1)</f>
        <v>3.0934997015366911E-16</v>
      </c>
      <c r="M234">
        <f ca="1">BINOMDIST(Worksheet!$A$30,Worksheet!$B$15,$P234,1)</f>
        <v>2.5936115958381076E-15</v>
      </c>
      <c r="N234">
        <f ca="1">BINOMDIST(Worksheet!$A$31,Worksheet!$B$15,$P234,1)</f>
        <v>1.9203281659807097E-14</v>
      </c>
      <c r="O234">
        <f ca="1">BINOMDIST(Worksheet!$A$32,Worksheet!$B$15,$P234,1)</f>
        <v>1.2712965903007708E-13</v>
      </c>
      <c r="P234">
        <v>0.317</v>
      </c>
    </row>
    <row r="235" spans="5:16" x14ac:dyDescent="0.2">
      <c r="E235">
        <f ca="1">BINOMDIST(Worksheet!$A$22,Worksheet!$B$15,$P235,1)</f>
        <v>2.6506913221867947E-25</v>
      </c>
      <c r="F235">
        <f ca="1">BINOMDIST(Worksheet!$A$23,Worksheet!$B$15,$P235,1)</f>
        <v>1.8511436122546698E-23</v>
      </c>
      <c r="G235">
        <f ca="1">BINOMDIST(Worksheet!$A$24,Worksheet!$B$15,$P235,1)</f>
        <v>6.4230243861060241E-22</v>
      </c>
      <c r="H235">
        <f ca="1">BINOMDIST(Worksheet!$A$25,Worksheet!$B$15,$P235,1)</f>
        <v>1.4763325658676462E-20</v>
      </c>
      <c r="I235">
        <f ca="1">BINOMDIST(Worksheet!$A$26,Worksheet!$B$15,$P235,1)</f>
        <v>2.5288011194557628E-19</v>
      </c>
      <c r="J235">
        <f ca="1">BINOMDIST(Worksheet!$A$27,Worksheet!$B$15,$P235,1)</f>
        <v>3.4430880498595355E-18</v>
      </c>
      <c r="K235">
        <f ca="1">BINOMDIST(Worksheet!$A$28,Worksheet!$B$15,$P235,1)</f>
        <v>3.8815218168484422E-17</v>
      </c>
      <c r="L235">
        <f ca="1">BINOMDIST(Worksheet!$A$29,Worksheet!$B$15,$P235,1)</f>
        <v>3.7264893074167208E-16</v>
      </c>
      <c r="M235">
        <f ca="1">BINOMDIST(Worksheet!$A$30,Worksheet!$B$15,$P235,1)</f>
        <v>3.110182986038467E-15</v>
      </c>
      <c r="N235">
        <f ca="1">BINOMDIST(Worksheet!$A$31,Worksheet!$B$15,$P235,1)</f>
        <v>2.2923952863849512E-14</v>
      </c>
      <c r="O235">
        <f ca="1">BINOMDIST(Worksheet!$A$32,Worksheet!$B$15,$P235,1)</f>
        <v>1.5107617207355102E-13</v>
      </c>
      <c r="P235">
        <v>0.316</v>
      </c>
    </row>
    <row r="236" spans="5:16" x14ac:dyDescent="0.2">
      <c r="E236">
        <f ca="1">BINOMDIST(Worksheet!$A$22,Worksheet!$B$15,$P236,1)</f>
        <v>3.2953014721208473E-25</v>
      </c>
      <c r="F236">
        <f ca="1">BINOMDIST(Worksheet!$A$23,Worksheet!$B$15,$P236,1)</f>
        <v>2.290835855509402E-23</v>
      </c>
      <c r="G236">
        <f ca="1">BINOMDIST(Worksheet!$A$24,Worksheet!$B$15,$P236,1)</f>
        <v>7.9124776028900412E-22</v>
      </c>
      <c r="H236">
        <f ca="1">BINOMDIST(Worksheet!$A$25,Worksheet!$B$15,$P236,1)</f>
        <v>1.8104121724906403E-20</v>
      </c>
      <c r="I236">
        <f ca="1">BINOMDIST(Worksheet!$A$26,Worksheet!$B$15,$P236,1)</f>
        <v>3.0869502451058344E-19</v>
      </c>
      <c r="J236">
        <f ca="1">BINOMDIST(Worksheet!$A$27,Worksheet!$B$15,$P236,1)</f>
        <v>4.1839474288130136E-18</v>
      </c>
      <c r="K236">
        <f ca="1">BINOMDIST(Worksheet!$A$28,Worksheet!$B$15,$P236,1)</f>
        <v>4.6953156445639886E-17</v>
      </c>
      <c r="L236">
        <f ca="1">BINOMDIST(Worksheet!$A$29,Worksheet!$B$15,$P236,1)</f>
        <v>4.48733973997872E-16</v>
      </c>
      <c r="M236">
        <f ca="1">BINOMDIST(Worksheet!$A$30,Worksheet!$B$15,$P236,1)</f>
        <v>3.7282332384342567E-15</v>
      </c>
      <c r="N236">
        <f ca="1">BINOMDIST(Worksheet!$A$31,Worksheet!$B$15,$P236,1)</f>
        <v>2.7354990712877428E-14</v>
      </c>
      <c r="O236">
        <f ca="1">BINOMDIST(Worksheet!$A$32,Worksheet!$B$15,$P236,1)</f>
        <v>1.7946302058484028E-13</v>
      </c>
      <c r="P236">
        <v>0.315</v>
      </c>
    </row>
    <row r="237" spans="5:16" x14ac:dyDescent="0.2">
      <c r="E237">
        <f ca="1">BINOMDIST(Worksheet!$A$22,Worksheet!$B$15,$P237,1)</f>
        <v>4.0953709024391202E-25</v>
      </c>
      <c r="F237">
        <f ca="1">BINOMDIST(Worksheet!$A$23,Worksheet!$B$15,$P237,1)</f>
        <v>2.8340444239152989E-23</v>
      </c>
      <c r="G237">
        <f ca="1">BINOMDIST(Worksheet!$A$24,Worksheet!$B$15,$P237,1)</f>
        <v>9.7440831379024781E-22</v>
      </c>
      <c r="H237">
        <f ca="1">BINOMDIST(Worksheet!$A$25,Worksheet!$B$15,$P237,1)</f>
        <v>2.2193359102293352E-20</v>
      </c>
      <c r="I237">
        <f ca="1">BINOMDIST(Worksheet!$A$26,Worksheet!$B$15,$P237,1)</f>
        <v>3.7669830806298423E-19</v>
      </c>
      <c r="J237">
        <f ca="1">BINOMDIST(Worksheet!$A$27,Worksheet!$B$15,$P237,1)</f>
        <v>5.0824156043254466E-18</v>
      </c>
      <c r="K237">
        <f ca="1">BINOMDIST(Worksheet!$A$28,Worksheet!$B$15,$P237,1)</f>
        <v>5.6776709401167831E-17</v>
      </c>
      <c r="L237">
        <f ca="1">BINOMDIST(Worksheet!$A$29,Worksheet!$B$15,$P237,1)</f>
        <v>5.4015388142653928E-16</v>
      </c>
      <c r="M237">
        <f ca="1">BINOMDIST(Worksheet!$A$30,Worksheet!$B$15,$P237,1)</f>
        <v>4.4674172462711523E-15</v>
      </c>
      <c r="N237">
        <f ca="1">BINOMDIST(Worksheet!$A$31,Worksheet!$B$15,$P237,1)</f>
        <v>3.262997931545322E-14</v>
      </c>
      <c r="O237">
        <f ca="1">BINOMDIST(Worksheet!$A$32,Worksheet!$B$15,$P237,1)</f>
        <v>2.1310027502408916E-13</v>
      </c>
      <c r="P237">
        <v>0.314</v>
      </c>
    </row>
    <row r="238" spans="5:16" x14ac:dyDescent="0.2">
      <c r="E238">
        <f ca="1">BINOMDIST(Worksheet!$A$22,Worksheet!$B$15,$P238,1)</f>
        <v>5.0880787201349279E-25</v>
      </c>
      <c r="F238">
        <f ca="1">BINOMDIST(Worksheet!$A$23,Worksheet!$B$15,$P238,1)</f>
        <v>3.504923396676358E-23</v>
      </c>
      <c r="G238">
        <f ca="1">BINOMDIST(Worksheet!$A$24,Worksheet!$B$15,$P238,1)</f>
        <v>1.1995693929283343E-21</v>
      </c>
      <c r="H238">
        <f ca="1">BINOMDIST(Worksheet!$A$25,Worksheet!$B$15,$P238,1)</f>
        <v>2.7197015794665882E-20</v>
      </c>
      <c r="I238">
        <f ca="1">BINOMDIST(Worksheet!$A$26,Worksheet!$B$15,$P238,1)</f>
        <v>4.595228184389887E-19</v>
      </c>
      <c r="J238">
        <f ca="1">BINOMDIST(Worksheet!$A$27,Worksheet!$B$15,$P238,1)</f>
        <v>6.1716353520670938E-18</v>
      </c>
      <c r="K238">
        <f ca="1">BINOMDIST(Worksheet!$A$28,Worksheet!$B$15,$P238,1)</f>
        <v>6.8630717379162459E-17</v>
      </c>
      <c r="L238">
        <f ca="1">BINOMDIST(Worksheet!$A$29,Worksheet!$B$15,$P238,1)</f>
        <v>6.4995865508986206E-16</v>
      </c>
      <c r="M238">
        <f ca="1">BINOMDIST(Worksheet!$A$30,Worksheet!$B$15,$P238,1)</f>
        <v>5.3511416098733162E-15</v>
      </c>
      <c r="N238">
        <f ca="1">BINOMDIST(Worksheet!$A$31,Worksheet!$B$15,$P238,1)</f>
        <v>3.8907232074608484E-14</v>
      </c>
      <c r="O238">
        <f ca="1">BINOMDIST(Worksheet!$A$32,Worksheet!$B$15,$P238,1)</f>
        <v>2.5294331419465091E-13</v>
      </c>
      <c r="P238">
        <v>0.313</v>
      </c>
    </row>
    <row r="239" spans="5:16" x14ac:dyDescent="0.2">
      <c r="E239">
        <f ca="1">BINOMDIST(Worksheet!$A$22,Worksheet!$B$15,$P239,1)</f>
        <v>6.3194211171811817E-25</v>
      </c>
      <c r="F239">
        <f ca="1">BINOMDIST(Worksheet!$A$23,Worksheet!$B$15,$P239,1)</f>
        <v>4.3332123637229531E-23</v>
      </c>
      <c r="G239">
        <f ca="1">BINOMDIST(Worksheet!$A$24,Worksheet!$B$15,$P239,1)</f>
        <v>1.476270773435206E-21</v>
      </c>
      <c r="H239">
        <f ca="1">BINOMDIST(Worksheet!$A$25,Worksheet!$B$15,$P239,1)</f>
        <v>3.3317500538132091E-20</v>
      </c>
      <c r="I239">
        <f ca="1">BINOMDIST(Worksheet!$A$26,Worksheet!$B$15,$P239,1)</f>
        <v>5.603639025154113E-19</v>
      </c>
      <c r="J239">
        <f ca="1">BINOMDIST(Worksheet!$A$27,Worksheet!$B$15,$P239,1)</f>
        <v>7.4916369331700937E-18</v>
      </c>
      <c r="K239">
        <f ca="1">BINOMDIST(Worksheet!$A$28,Worksheet!$B$15,$P239,1)</f>
        <v>8.2929678290062853E-17</v>
      </c>
      <c r="L239">
        <f ca="1">BINOMDIST(Worksheet!$A$29,Worksheet!$B$15,$P239,1)</f>
        <v>7.8179671591031423E-16</v>
      </c>
      <c r="M239">
        <f ca="1">BINOMDIST(Worksheet!$A$30,Worksheet!$B$15,$P239,1)</f>
        <v>6.407270050708209E-15</v>
      </c>
      <c r="N239">
        <f ca="1">BINOMDIST(Worksheet!$A$31,Worksheet!$B$15,$P239,1)</f>
        <v>4.6374295720028095E-14</v>
      </c>
      <c r="O239">
        <f ca="1">BINOMDIST(Worksheet!$A$32,Worksheet!$B$15,$P239,1)</f>
        <v>3.0011843543454732E-13</v>
      </c>
      <c r="P239">
        <v>0.312</v>
      </c>
    </row>
    <row r="240" spans="5:16" x14ac:dyDescent="0.2">
      <c r="E240">
        <f ca="1">BINOMDIST(Worksheet!$A$22,Worksheet!$B$15,$P240,1)</f>
        <v>7.8462847346272857E-25</v>
      </c>
      <c r="F240">
        <f ca="1">BINOMDIST(Worksheet!$A$23,Worksheet!$B$15,$P240,1)</f>
        <v>5.3555163788106004E-23</v>
      </c>
      <c r="G240">
        <f ca="1">BINOMDIST(Worksheet!$A$24,Worksheet!$B$15,$P240,1)</f>
        <v>1.8161982693486381E-21</v>
      </c>
      <c r="H240">
        <f ca="1">BINOMDIST(Worksheet!$A$25,Worksheet!$B$15,$P240,1)</f>
        <v>4.0801565882754869E-20</v>
      </c>
      <c r="I240">
        <f ca="1">BINOMDIST(Worksheet!$A$26,Worksheet!$B$15,$P240,1)</f>
        <v>6.8309822838432203E-19</v>
      </c>
      <c r="J240">
        <f ca="1">BINOMDIST(Worksheet!$A$27,Worksheet!$B$15,$P240,1)</f>
        <v>9.090752218372229E-18</v>
      </c>
      <c r="K240">
        <f ca="1">BINOMDIST(Worksheet!$A$28,Worksheet!$B$15,$P240,1)</f>
        <v>1.0017163666143399E-16</v>
      </c>
      <c r="L240">
        <f ca="1">BINOMDIST(Worksheet!$A$29,Worksheet!$B$15,$P240,1)</f>
        <v>9.4003068162023105E-16</v>
      </c>
      <c r="M240">
        <f ca="1">BINOMDIST(Worksheet!$A$30,Worksheet!$B$15,$P240,1)</f>
        <v>7.6689594086649239E-15</v>
      </c>
      <c r="N240">
        <f ca="1">BINOMDIST(Worksheet!$A$31,Worksheet!$B$15,$P240,1)</f>
        <v>5.5253260909977306E-14</v>
      </c>
      <c r="O240">
        <f ca="1">BINOMDIST(Worksheet!$A$32,Worksheet!$B$15,$P240,1)</f>
        <v>3.5595289623176738E-13</v>
      </c>
      <c r="P240">
        <v>0.311</v>
      </c>
    </row>
    <row r="241" spans="5:16" x14ac:dyDescent="0.2">
      <c r="E241">
        <f ca="1">BINOMDIST(Worksheet!$A$22,Worksheet!$B$15,$P241,1)</f>
        <v>9.7390034538212733E-25</v>
      </c>
      <c r="F241">
        <f ca="1">BINOMDIST(Worksheet!$A$23,Worksheet!$B$15,$P241,1)</f>
        <v>6.6168765494947636E-23</v>
      </c>
      <c r="G241">
        <f ca="1">BINOMDIST(Worksheet!$A$24,Worksheet!$B$15,$P241,1)</f>
        <v>2.233661818438485E-21</v>
      </c>
      <c r="H241">
        <f ca="1">BINOMDIST(Worksheet!$A$25,Worksheet!$B$15,$P241,1)</f>
        <v>4.9949921925992467E-20</v>
      </c>
      <c r="I241">
        <f ca="1">BINOMDIST(Worksheet!$A$26,Worksheet!$B$15,$P241,1)</f>
        <v>8.3242743368971958E-19</v>
      </c>
      <c r="J241">
        <f ca="1">BINOMDIST(Worksheet!$A$27,Worksheet!$B$15,$P241,1)</f>
        <v>1.1027315594205582E-17</v>
      </c>
      <c r="K241">
        <f ca="1">BINOMDIST(Worksheet!$A$28,Worksheet!$B$15,$P241,1)</f>
        <v>1.20954805324985E-16</v>
      </c>
      <c r="L241">
        <f ca="1">BINOMDIST(Worksheet!$A$29,Worksheet!$B$15,$P241,1)</f>
        <v>1.1298752234958835E-15</v>
      </c>
      <c r="M241">
        <f ca="1">BINOMDIST(Worksheet!$A$30,Worksheet!$B$15,$P241,1)</f>
        <v>9.1756500075326868E-15</v>
      </c>
      <c r="N241">
        <f ca="1">BINOMDIST(Worksheet!$A$31,Worksheet!$B$15,$P241,1)</f>
        <v>6.5807021313530671E-14</v>
      </c>
      <c r="O241">
        <f ca="1">BINOMDIST(Worksheet!$A$32,Worksheet!$B$15,$P241,1)</f>
        <v>4.2201013938314044E-13</v>
      </c>
      <c r="P241">
        <v>0.31</v>
      </c>
    </row>
    <row r="242" spans="5:16" x14ac:dyDescent="0.2">
      <c r="E242">
        <f ca="1">BINOMDIST(Worksheet!$A$22,Worksheet!$B$15,$P242,1)</f>
        <v>1.2084510370918024E-24</v>
      </c>
      <c r="F242">
        <f ca="1">BINOMDIST(Worksheet!$A$23,Worksheet!$B$15,$P242,1)</f>
        <v>8.1726966520078496E-23</v>
      </c>
      <c r="G242">
        <f ca="1">BINOMDIST(Worksheet!$A$24,Worksheet!$B$15,$P242,1)</f>
        <v>2.7461790287978918E-21</v>
      </c>
      <c r="H242">
        <f ca="1">BINOMDIST(Worksheet!$A$25,Worksheet!$B$15,$P242,1)</f>
        <v>6.1128912277637669E-20</v>
      </c>
      <c r="I242">
        <f ca="1">BINOMDIST(Worksheet!$A$26,Worksheet!$B$15,$P242,1)</f>
        <v>1.0140517153847907E-18</v>
      </c>
      <c r="J242">
        <f ca="1">BINOMDIST(Worksheet!$A$27,Worksheet!$B$15,$P242,1)</f>
        <v>1.3371709079557258E-17</v>
      </c>
      <c r="K242">
        <f ca="1">BINOMDIST(Worksheet!$A$28,Worksheet!$B$15,$P242,1)</f>
        <v>1.4599745005307784E-16</v>
      </c>
      <c r="L242">
        <f ca="1">BINOMDIST(Worksheet!$A$29,Worksheet!$B$15,$P242,1)</f>
        <v>1.3575611499490866E-15</v>
      </c>
      <c r="M242">
        <f ca="1">BINOMDIST(Worksheet!$A$30,Worksheet!$B$15,$P242,1)</f>
        <v>1.0974238433602647E-14</v>
      </c>
      <c r="N242">
        <f ca="1">BINOMDIST(Worksheet!$A$31,Worksheet!$B$15,$P242,1)</f>
        <v>7.8346647594480725E-14</v>
      </c>
      <c r="O242">
        <f ca="1">BINOMDIST(Worksheet!$A$32,Worksheet!$B$15,$P242,1)</f>
        <v>5.0013107889688333E-13</v>
      </c>
      <c r="P242">
        <v>0.309</v>
      </c>
    </row>
    <row r="243" spans="5:16" x14ac:dyDescent="0.2">
      <c r="E243">
        <f ca="1">BINOMDIST(Worksheet!$A$22,Worksheet!$B$15,$P243,1)</f>
        <v>1.4990222324799093E-24</v>
      </c>
      <c r="F243">
        <f ca="1">BINOMDIST(Worksheet!$A$23,Worksheet!$B$15,$P243,1)</f>
        <v>1.009110573379246E-22</v>
      </c>
      <c r="G243">
        <f ca="1">BINOMDIST(Worksheet!$A$24,Worksheet!$B$15,$P243,1)</f>
        <v>3.3751872193658154E-21</v>
      </c>
      <c r="H243">
        <f ca="1">BINOMDIST(Worksheet!$A$25,Worksheet!$B$15,$P243,1)</f>
        <v>7.4784689874459809E-20</v>
      </c>
      <c r="I243">
        <f ca="1">BINOMDIST(Worksheet!$A$26,Worksheet!$B$15,$P243,1)</f>
        <v>1.2348795292509946E-18</v>
      </c>
      <c r="J243">
        <f ca="1">BINOMDIST(Worksheet!$A$27,Worksheet!$B$15,$P243,1)</f>
        <v>1.6208820432879948E-17</v>
      </c>
      <c r="K243">
        <f ca="1">BINOMDIST(Worksheet!$A$28,Worksheet!$B$15,$P243,1)</f>
        <v>1.7616166892944838E-16</v>
      </c>
      <c r="L243">
        <f ca="1">BINOMDIST(Worksheet!$A$29,Worksheet!$B$15,$P243,1)</f>
        <v>1.6305306324271418E-15</v>
      </c>
      <c r="M243">
        <f ca="1">BINOMDIST(Worksheet!$A$30,Worksheet!$B$15,$P243,1)</f>
        <v>1.3120465781909657E-14</v>
      </c>
      <c r="N243">
        <f ca="1">BINOMDIST(Worksheet!$A$31,Worksheet!$B$15,$P243,1)</f>
        <v>9.3240071381095241E-14</v>
      </c>
      <c r="O243">
        <f ca="1">BINOMDIST(Worksheet!$A$32,Worksheet!$B$15,$P243,1)</f>
        <v>5.9248246927659974E-13</v>
      </c>
      <c r="P243">
        <v>0.308</v>
      </c>
    </row>
    <row r="244" spans="5:16" x14ac:dyDescent="0.2">
      <c r="E244">
        <f ca="1">BINOMDIST(Worksheet!$A$22,Worksheet!$B$15,$P244,1)</f>
        <v>1.858882578253906E-24</v>
      </c>
      <c r="F244">
        <f ca="1">BINOMDIST(Worksheet!$A$23,Worksheet!$B$15,$P244,1)</f>
        <v>1.2455854459422581E-22</v>
      </c>
      <c r="G244">
        <f ca="1">BINOMDIST(Worksheet!$A$24,Worksheet!$B$15,$P244,1)</f>
        <v>4.14691196693023E-21</v>
      </c>
      <c r="H244">
        <f ca="1">BINOMDIST(Worksheet!$A$25,Worksheet!$B$15,$P244,1)</f>
        <v>9.1460422114405774E-20</v>
      </c>
      <c r="I244">
        <f ca="1">BINOMDIST(Worksheet!$A$26,Worksheet!$B$15,$P244,1)</f>
        <v>1.5032808232075337E-18</v>
      </c>
      <c r="J244">
        <f ca="1">BINOMDIST(Worksheet!$A$27,Worksheet!$B$15,$P244,1)</f>
        <v>1.9640996596558231E-17</v>
      </c>
      <c r="K244">
        <f ca="1">BINOMDIST(Worksheet!$A$28,Worksheet!$B$15,$P244,1)</f>
        <v>2.1248181884482384E-16</v>
      </c>
      <c r="L244">
        <f ca="1">BINOMDIST(Worksheet!$A$29,Worksheet!$B$15,$P244,1)</f>
        <v>1.9576693961528254E-15</v>
      </c>
      <c r="M244">
        <f ca="1">BINOMDIST(Worksheet!$A$30,Worksheet!$B$15,$P244,1)</f>
        <v>1.5680560313390393E-14</v>
      </c>
      <c r="N244">
        <f ca="1">BINOMDIST(Worksheet!$A$31,Worksheet!$B$15,$P244,1)</f>
        <v>1.1092230780969671E-13</v>
      </c>
      <c r="O244">
        <f ca="1">BINOMDIST(Worksheet!$A$32,Worksheet!$B$15,$P244,1)</f>
        <v>7.0161354985749593E-13</v>
      </c>
      <c r="P244">
        <v>0.307</v>
      </c>
    </row>
    <row r="245" spans="5:16" x14ac:dyDescent="0.2">
      <c r="E245">
        <f ca="1">BINOMDIST(Worksheet!$A$22,Worksheet!$B$15,$P245,1)</f>
        <v>2.3044171451603324E-24</v>
      </c>
      <c r="F245">
        <f ca="1">BINOMDIST(Worksheet!$A$23,Worksheet!$B$15,$P245,1)</f>
        <v>1.5369864670775373E-22</v>
      </c>
      <c r="G245">
        <f ca="1">BINOMDIST(Worksheet!$A$24,Worksheet!$B$15,$P245,1)</f>
        <v>5.0934262176232776E-21</v>
      </c>
      <c r="H245">
        <f ca="1">BINOMDIST(Worksheet!$A$25,Worksheet!$B$15,$P245,1)</f>
        <v>1.1181716569645181E-19</v>
      </c>
      <c r="I245">
        <f ca="1">BINOMDIST(Worksheet!$A$26,Worksheet!$B$15,$P245,1)</f>
        <v>1.8293927366460749E-18</v>
      </c>
      <c r="J245">
        <f ca="1">BINOMDIST(Worksheet!$A$27,Worksheet!$B$15,$P245,1)</f>
        <v>2.3791591031468837E-17</v>
      </c>
      <c r="K245">
        <f ca="1">BINOMDIST(Worksheet!$A$28,Worksheet!$B$15,$P245,1)</f>
        <v>2.5619848480261791E-16</v>
      </c>
      <c r="L245">
        <f ca="1">BINOMDIST(Worksheet!$A$29,Worksheet!$B$15,$P245,1)</f>
        <v>2.3495827700306892E-15</v>
      </c>
      <c r="M245">
        <f ca="1">BINOMDIST(Worksheet!$A$30,Worksheet!$B$15,$P245,1)</f>
        <v>1.8733180385616129E-14</v>
      </c>
      <c r="N245">
        <f ca="1">BINOMDIST(Worksheet!$A$31,Worksheet!$B$15,$P245,1)</f>
        <v>1.3190748437569791E-13</v>
      </c>
      <c r="O245">
        <f ca="1">BINOMDIST(Worksheet!$A$32,Worksheet!$B$15,$P245,1)</f>
        <v>8.3052235223377784E-13</v>
      </c>
      <c r="P245">
        <v>0.30599999999999999</v>
      </c>
    </row>
    <row r="246" spans="5:16" x14ac:dyDescent="0.2">
      <c r="E246">
        <f ca="1">BINOMDIST(Worksheet!$A$22,Worksheet!$B$15,$P246,1)</f>
        <v>2.8558532287774296E-24</v>
      </c>
      <c r="F246">
        <f ca="1">BINOMDIST(Worksheet!$A$23,Worksheet!$B$15,$P246,1)</f>
        <v>1.8959578126013E-22</v>
      </c>
      <c r="G246">
        <f ca="1">BINOMDIST(Worksheet!$A$24,Worksheet!$B$15,$P246,1)</f>
        <v>6.2539413577603503E-21</v>
      </c>
      <c r="H246">
        <f ca="1">BINOMDIST(Worksheet!$A$25,Worksheet!$B$15,$P246,1)</f>
        <v>1.3665918544523623E-19</v>
      </c>
      <c r="I246">
        <f ca="1">BINOMDIST(Worksheet!$A$26,Worksheet!$B$15,$P246,1)</f>
        <v>2.2254885089039748E-18</v>
      </c>
      <c r="J246">
        <f ca="1">BINOMDIST(Worksheet!$A$27,Worksheet!$B$15,$P246,1)</f>
        <v>2.8809222848461572E-17</v>
      </c>
      <c r="K246">
        <f ca="1">BINOMDIST(Worksheet!$A$28,Worksheet!$B$15,$P246,1)</f>
        <v>3.0879905790682329E-16</v>
      </c>
      <c r="L246">
        <f ca="1">BINOMDIST(Worksheet!$A$29,Worksheet!$B$15,$P246,1)</f>
        <v>2.8189237559685782E-15</v>
      </c>
      <c r="M246">
        <f ca="1">BINOMDIST(Worksheet!$A$30,Worksheet!$B$15,$P246,1)</f>
        <v>2.2371711646805703E-14</v>
      </c>
      <c r="N246">
        <f ca="1">BINOMDIST(Worksheet!$A$31,Worksheet!$B$15,$P246,1)</f>
        <v>1.568029895437612E-13</v>
      </c>
      <c r="O246">
        <f ca="1">BINOMDIST(Worksheet!$A$32,Worksheet!$B$15,$P246,1)</f>
        <v>9.827332868387237E-13</v>
      </c>
      <c r="P246">
        <v>0.30499999999999999</v>
      </c>
    </row>
    <row r="247" spans="5:16" x14ac:dyDescent="0.2">
      <c r="E247">
        <f ca="1">BINOMDIST(Worksheet!$A$22,Worksheet!$B$15,$P247,1)</f>
        <v>3.538153756363733E-24</v>
      </c>
      <c r="F247">
        <f ca="1">BINOMDIST(Worksheet!$A$23,Worksheet!$B$15,$P247,1)</f>
        <v>2.338028269578743E-22</v>
      </c>
      <c r="G247">
        <f ca="1">BINOMDIST(Worksheet!$A$24,Worksheet!$B$15,$P247,1)</f>
        <v>7.6763805400917824E-21</v>
      </c>
      <c r="H247">
        <f ca="1">BINOMDIST(Worksheet!$A$25,Worksheet!$B$15,$P247,1)</f>
        <v>1.6696465297520992E-19</v>
      </c>
      <c r="I247">
        <f ca="1">BINOMDIST(Worksheet!$A$26,Worksheet!$B$15,$P247,1)</f>
        <v>2.7064225135212973E-18</v>
      </c>
      <c r="J247">
        <f ca="1">BINOMDIST(Worksheet!$A$27,Worksheet!$B$15,$P247,1)</f>
        <v>3.487288874710518E-17</v>
      </c>
      <c r="K247">
        <f ca="1">BINOMDIST(Worksheet!$A$28,Worksheet!$B$15,$P247,1)</f>
        <v>3.7206618995432766E-16</v>
      </c>
      <c r="L247">
        <f ca="1">BINOMDIST(Worksheet!$A$29,Worksheet!$B$15,$P247,1)</f>
        <v>3.3807827724831527E-15</v>
      </c>
      <c r="M247">
        <f ca="1">BINOMDIST(Worksheet!$A$30,Worksheet!$B$15,$P247,1)</f>
        <v>2.6706982024387529E-14</v>
      </c>
      <c r="N247">
        <f ca="1">BINOMDIST(Worksheet!$A$31,Worksheet!$B$15,$P247,1)</f>
        <v>1.8632610793971855E-13</v>
      </c>
      <c r="O247">
        <f ca="1">BINOMDIST(Worksheet!$A$32,Worksheet!$B$15,$P247,1)</f>
        <v>1.1623878893989793E-12</v>
      </c>
      <c r="P247">
        <v>0.30399999999999999</v>
      </c>
    </row>
    <row r="248" spans="5:16" x14ac:dyDescent="0.2">
      <c r="E248">
        <f ca="1">BINOMDIST(Worksheet!$A$22,Worksheet!$B$15,$P248,1)</f>
        <v>4.3821166752105609E-24</v>
      </c>
      <c r="F248">
        <f ca="1">BINOMDIST(Worksheet!$A$23,Worksheet!$B$15,$P248,1)</f>
        <v>2.8822633695602975E-22</v>
      </c>
      <c r="G248">
        <f ca="1">BINOMDIST(Worksheet!$A$24,Worksheet!$B$15,$P248,1)</f>
        <v>9.4192953572380196E-21</v>
      </c>
      <c r="H248">
        <f ca="1">BINOMDIST(Worksheet!$A$25,Worksheet!$B$15,$P248,1)</f>
        <v>2.0392285596574033E-19</v>
      </c>
      <c r="I248">
        <f ca="1">BINOMDIST(Worksheet!$A$26,Worksheet!$B$15,$P248,1)</f>
        <v>3.2901669428376751E-18</v>
      </c>
      <c r="J248">
        <f ca="1">BINOMDIST(Worksheet!$A$27,Worksheet!$B$15,$P248,1)</f>
        <v>4.219809634218314E-17</v>
      </c>
      <c r="K248">
        <f ca="1">BINOMDIST(Worksheet!$A$28,Worksheet!$B$15,$P248,1)</f>
        <v>4.4813563234223868E-16</v>
      </c>
      <c r="L248">
        <f ca="1">BINOMDIST(Worksheet!$A$29,Worksheet!$B$15,$P248,1)</f>
        <v>4.0531504914007502E-15</v>
      </c>
      <c r="M248">
        <f ca="1">BINOMDIST(Worksheet!$A$30,Worksheet!$B$15,$P248,1)</f>
        <v>3.1870469237069803E-14</v>
      </c>
      <c r="N248">
        <f ca="1">BINOMDIST(Worksheet!$A$31,Worksheet!$B$15,$P248,1)</f>
        <v>2.2132357122514954E-13</v>
      </c>
      <c r="O248">
        <f ca="1">BINOMDIST(Worksheet!$A$32,Worksheet!$B$15,$P248,1)</f>
        <v>1.3743509150320802E-12</v>
      </c>
      <c r="P248">
        <v>0.30299999999999999</v>
      </c>
    </row>
    <row r="249" spans="5:16" x14ac:dyDescent="0.2">
      <c r="E249">
        <f ca="1">BINOMDIST(Worksheet!$A$22,Worksheet!$B$15,$P249,1)</f>
        <v>5.4257274093575479E-24</v>
      </c>
      <c r="F249">
        <f ca="1">BINOMDIST(Worksheet!$A$23,Worksheet!$B$15,$P249,1)</f>
        <v>3.5520636059885833E-22</v>
      </c>
      <c r="G249">
        <f ca="1">BINOMDIST(Worksheet!$A$24,Worksheet!$B$15,$P249,1)</f>
        <v>1.1554200043290767E-20</v>
      </c>
      <c r="H249">
        <f ca="1">BINOMDIST(Worksheet!$A$25,Worksheet!$B$15,$P249,1)</f>
        <v>2.4897928387778151E-19</v>
      </c>
      <c r="I249">
        <f ca="1">BINOMDIST(Worksheet!$A$26,Worksheet!$B$15,$P249,1)</f>
        <v>3.9984587954932629E-18</v>
      </c>
      <c r="J249">
        <f ca="1">BINOMDIST(Worksheet!$A$27,Worksheet!$B$15,$P249,1)</f>
        <v>5.104422034667996E-17</v>
      </c>
      <c r="K249">
        <f ca="1">BINOMDIST(Worksheet!$A$28,Worksheet!$B$15,$P249,1)</f>
        <v>5.3956525146845726E-16</v>
      </c>
      <c r="L249">
        <f ca="1">BINOMDIST(Worksheet!$A$29,Worksheet!$B$15,$P249,1)</f>
        <v>4.8574672674375922E-15</v>
      </c>
      <c r="M249">
        <f ca="1">BINOMDIST(Worksheet!$A$30,Worksheet!$B$15,$P249,1)</f>
        <v>3.8018088695234881E-14</v>
      </c>
      <c r="N249">
        <f ca="1">BINOMDIST(Worksheet!$A$31,Worksheet!$B$15,$P249,1)</f>
        <v>2.627945263963587E-13</v>
      </c>
      <c r="O249">
        <f ca="1">BINOMDIST(Worksheet!$A$32,Worksheet!$B$15,$P249,1)</f>
        <v>1.6243343238180626E-12</v>
      </c>
      <c r="P249">
        <v>0.30199999999999999</v>
      </c>
    </row>
    <row r="250" spans="5:16" x14ac:dyDescent="0.2">
      <c r="E250">
        <f ca="1">BINOMDIST(Worksheet!$A$22,Worksheet!$B$15,$P250,1)</f>
        <v>6.7158221434748123E-24</v>
      </c>
      <c r="F250">
        <f ca="1">BINOMDIST(Worksheet!$A$23,Worksheet!$B$15,$P250,1)</f>
        <v>4.3761411586693794E-22</v>
      </c>
      <c r="G250">
        <f ca="1">BINOMDIST(Worksheet!$A$24,Worksheet!$B$15,$P250,1)</f>
        <v>1.4168413249481288E-20</v>
      </c>
      <c r="H250">
        <f ca="1">BINOMDIST(Worksheet!$A$25,Worksheet!$B$15,$P250,1)</f>
        <v>3.0389023931769072E-19</v>
      </c>
      <c r="I250">
        <f ca="1">BINOMDIST(Worksheet!$A$26,Worksheet!$B$15,$P250,1)</f>
        <v>4.8575795699305489E-18</v>
      </c>
      <c r="J250">
        <f ca="1">BINOMDIST(Worksheet!$A$27,Worksheet!$B$15,$P250,1)</f>
        <v>6.1723322297998805E-17</v>
      </c>
      <c r="K250">
        <f ca="1">BINOMDIST(Worksheet!$A$28,Worksheet!$B$15,$P250,1)</f>
        <v>6.4941735014858865E-16</v>
      </c>
      <c r="L250">
        <f ca="1">BINOMDIST(Worksheet!$A$29,Worksheet!$B$15,$P250,1)</f>
        <v>5.8192751144594428E-15</v>
      </c>
      <c r="M250">
        <f ca="1">BINOMDIST(Worksheet!$A$30,Worksheet!$B$15,$P250,1)</f>
        <v>4.5334665057623759E-14</v>
      </c>
      <c r="N250">
        <f ca="1">BINOMDIST(Worksheet!$A$31,Worksheet!$B$15,$P250,1)</f>
        <v>3.1191750794076462E-13</v>
      </c>
      <c r="O250">
        <f ca="1">BINOMDIST(Worksheet!$A$32,Worksheet!$B$15,$P250,1)</f>
        <v>1.9190421143921921E-12</v>
      </c>
      <c r="P250">
        <v>0.30099999999999999</v>
      </c>
    </row>
    <row r="251" spans="5:16" x14ac:dyDescent="0.2">
      <c r="E251">
        <f ca="1">BINOMDIST(Worksheet!$A$22,Worksheet!$B$15,$P251,1)</f>
        <v>8.3101327626061869E-24</v>
      </c>
      <c r="F251">
        <f ca="1">BINOMDIST(Worksheet!$A$23,Worksheet!$B$15,$P251,1)</f>
        <v>5.3897146774617162E-22</v>
      </c>
      <c r="G251">
        <f ca="1">BINOMDIST(Worksheet!$A$24,Worksheet!$B$15,$P251,1)</f>
        <v>1.7368516662939293E-20</v>
      </c>
      <c r="H251">
        <f ca="1">BINOMDIST(Worksheet!$A$25,Worksheet!$B$15,$P251,1)</f>
        <v>3.7078896576199584E-19</v>
      </c>
      <c r="I251">
        <f ca="1">BINOMDIST(Worksheet!$A$26,Worksheet!$B$15,$P251,1)</f>
        <v>5.8992945623829227E-18</v>
      </c>
      <c r="J251">
        <f ca="1">BINOMDIST(Worksheet!$A$27,Worksheet!$B$15,$P251,1)</f>
        <v>7.4610721263243273E-17</v>
      </c>
      <c r="K251">
        <f ca="1">BINOMDIST(Worksheet!$A$28,Worksheet!$B$15,$P251,1)</f>
        <v>7.8135682447208858E-16</v>
      </c>
      <c r="L251">
        <f ca="1">BINOMDIST(Worksheet!$A$29,Worksheet!$B$15,$P251,1)</f>
        <v>6.9689910750148577E-15</v>
      </c>
      <c r="M251">
        <f ca="1">BINOMDIST(Worksheet!$A$30,Worksheet!$B$15,$P251,1)</f>
        <v>5.4039208766643906E-14</v>
      </c>
      <c r="N251">
        <f ca="1">BINOMDIST(Worksheet!$A$31,Worksheet!$B$15,$P251,1)</f>
        <v>3.7008209898186575E-13</v>
      </c>
      <c r="O251">
        <f ca="1">BINOMDIST(Worksheet!$A$32,Worksheet!$B$15,$P251,1)</f>
        <v>2.2663394402732045E-12</v>
      </c>
      <c r="P251">
        <v>0.3</v>
      </c>
    </row>
    <row r="252" spans="5:16" x14ac:dyDescent="0.2">
      <c r="E252">
        <f ca="1">BINOMDIST(Worksheet!$A$22,Worksheet!$B$15,$P252,1)</f>
        <v>1.0279800278456798E-23</v>
      </c>
      <c r="F252">
        <f ca="1">BINOMDIST(Worksheet!$A$23,Worksheet!$B$15,$P252,1)</f>
        <v>6.6359703594968157E-22</v>
      </c>
      <c r="G252">
        <f ca="1">BINOMDIST(Worksheet!$A$24,Worksheet!$B$15,$P252,1)</f>
        <v>2.1284563022342788E-20</v>
      </c>
      <c r="H252">
        <f ca="1">BINOMDIST(Worksheet!$A$25,Worksheet!$B$15,$P252,1)</f>
        <v>4.5226569378788363E-19</v>
      </c>
      <c r="I252">
        <f ca="1">BINOMDIST(Worksheet!$A$26,Worksheet!$B$15,$P252,1)</f>
        <v>7.1619840541441595E-18</v>
      </c>
      <c r="J252">
        <f ca="1">BINOMDIST(Worksheet!$A$27,Worksheet!$B$15,$P252,1)</f>
        <v>9.0157658665626331E-17</v>
      </c>
      <c r="K252">
        <f ca="1">BINOMDIST(Worksheet!$A$28,Worksheet!$B$15,$P252,1)</f>
        <v>9.3976815939600906E-16</v>
      </c>
      <c r="L252">
        <f ca="1">BINOMDIST(Worksheet!$A$29,Worksheet!$B$15,$P252,1)</f>
        <v>8.3428242384114662E-15</v>
      </c>
      <c r="M252">
        <f ca="1">BINOMDIST(Worksheet!$A$30,Worksheet!$B$15,$P252,1)</f>
        <v>6.4391140037776568E-14</v>
      </c>
      <c r="N252">
        <f ca="1">BINOMDIST(Worksheet!$A$31,Worksheet!$B$15,$P252,1)</f>
        <v>4.3892608151589034E-13</v>
      </c>
      <c r="O252">
        <f ca="1">BINOMDIST(Worksheet!$A$32,Worksheet!$B$15,$P252,1)</f>
        <v>2.6754499973894865E-12</v>
      </c>
      <c r="P252">
        <v>0.29899999999999999</v>
      </c>
    </row>
    <row r="253" spans="5:16" x14ac:dyDescent="0.2">
      <c r="E253">
        <f ca="1">BINOMDIST(Worksheet!$A$22,Worksheet!$B$15,$P253,1)</f>
        <v>1.271246315909939E-23</v>
      </c>
      <c r="F253">
        <f ca="1">BINOMDIST(Worksheet!$A$23,Worksheet!$B$15,$P253,1)</f>
        <v>8.1678481243307201E-22</v>
      </c>
      <c r="G253">
        <f ca="1">BINOMDIST(Worksheet!$A$24,Worksheet!$B$15,$P253,1)</f>
        <v>2.6075194279939834E-20</v>
      </c>
      <c r="H253">
        <f ca="1">BINOMDIST(Worksheet!$A$25,Worksheet!$B$15,$P253,1)</f>
        <v>5.5146450346018641E-19</v>
      </c>
      <c r="I253">
        <f ca="1">BINOMDIST(Worksheet!$A$26,Worksheet!$B$15,$P253,1)</f>
        <v>8.692005124476612E-18</v>
      </c>
      <c r="J253">
        <f ca="1">BINOMDIST(Worksheet!$A$27,Worksheet!$B$15,$P253,1)</f>
        <v>1.0890646672963876E-16</v>
      </c>
      <c r="K253">
        <f ca="1">BINOMDIST(Worksheet!$A$28,Worksheet!$B$15,$P253,1)</f>
        <v>1.1298948276984757E-15</v>
      </c>
      <c r="L253">
        <f ca="1">BINOMDIST(Worksheet!$A$29,Worksheet!$B$15,$P253,1)</f>
        <v>9.9838626775816546E-15</v>
      </c>
      <c r="M253">
        <f ca="1">BINOMDIST(Worksheet!$A$30,Worksheet!$B$15,$P253,1)</f>
        <v>7.6697627552164297E-14</v>
      </c>
      <c r="N253">
        <f ca="1">BINOMDIST(Worksheet!$A$31,Worksheet!$B$15,$P253,1)</f>
        <v>5.2037900971427328E-13</v>
      </c>
      <c r="O253">
        <f ca="1">BINOMDIST(Worksheet!$A$32,Worksheet!$B$15,$P253,1)</f>
        <v>3.1571863122503584E-12</v>
      </c>
      <c r="P253">
        <v>0.29799999999999999</v>
      </c>
    </row>
    <row r="254" spans="5:16" x14ac:dyDescent="0.2">
      <c r="E254">
        <f ca="1">BINOMDIST(Worksheet!$A$22,Worksheet!$B$15,$P254,1)</f>
        <v>1.5716050945249538E-23</v>
      </c>
      <c r="F254">
        <f ca="1">BINOMDIST(Worksheet!$A$23,Worksheet!$B$15,$P254,1)</f>
        <v>1.0050224556111504E-21</v>
      </c>
      <c r="G254">
        <f ca="1">BINOMDIST(Worksheet!$A$24,Worksheet!$B$15,$P254,1)</f>
        <v>3.1933864790955525E-20</v>
      </c>
      <c r="H254">
        <f ca="1">BINOMDIST(Worksheet!$A$25,Worksheet!$B$15,$P254,1)</f>
        <v>6.7220049709005758E-19</v>
      </c>
      <c r="I254">
        <f ca="1">BINOMDIST(Worksheet!$A$26,Worksheet!$B$15,$P254,1)</f>
        <v>1.0545330550345237E-17</v>
      </c>
      <c r="J254">
        <f ca="1">BINOMDIST(Worksheet!$A$27,Worksheet!$B$15,$P254,1)</f>
        <v>1.3150872905487906E-16</v>
      </c>
      <c r="K254">
        <f ca="1">BINOMDIST(Worksheet!$A$28,Worksheet!$B$15,$P254,1)</f>
        <v>1.3580053215731064E-15</v>
      </c>
      <c r="L254">
        <f ca="1">BINOMDIST(Worksheet!$A$29,Worksheet!$B$15,$P254,1)</f>
        <v>1.194336130223596E-14</v>
      </c>
      <c r="M254">
        <f ca="1">BINOMDIST(Worksheet!$A$30,Worksheet!$B$15,$P254,1)</f>
        <v>9.1322238103173575E-14</v>
      </c>
      <c r="N254">
        <f ca="1">BINOMDIST(Worksheet!$A$31,Worksheet!$B$15,$P254,1)</f>
        <v>6.167132960758072E-13</v>
      </c>
      <c r="O254">
        <f ca="1">BINOMDIST(Worksheet!$A$32,Worksheet!$B$15,$P254,1)</f>
        <v>3.7242183018371494E-12</v>
      </c>
      <c r="P254">
        <v>0.29699999999999999</v>
      </c>
    </row>
    <row r="255" spans="5:16" x14ac:dyDescent="0.2">
      <c r="E255">
        <f ca="1">BINOMDIST(Worksheet!$A$22,Worksheet!$B$15,$P255,1)</f>
        <v>1.9423442853663358E-23</v>
      </c>
      <c r="F255">
        <f ca="1">BINOMDIST(Worksheet!$A$23,Worksheet!$B$15,$P255,1)</f>
        <v>1.2362579934473619E-21</v>
      </c>
      <c r="G255">
        <f ca="1">BINOMDIST(Worksheet!$A$24,Worksheet!$B$15,$P255,1)</f>
        <v>3.9096405715328608E-20</v>
      </c>
      <c r="H255">
        <f ca="1">BINOMDIST(Worksheet!$A$25,Worksheet!$B$15,$P255,1)</f>
        <v>8.1910149457636016E-19</v>
      </c>
      <c r="I255">
        <f ca="1">BINOMDIST(Worksheet!$A$26,Worksheet!$B$15,$P255,1)</f>
        <v>1.2789520500335723E-17</v>
      </c>
      <c r="J255">
        <f ca="1">BINOMDIST(Worksheet!$A$27,Worksheet!$B$15,$P255,1)</f>
        <v>1.5874701587737905E-16</v>
      </c>
      <c r="K255">
        <f ca="1">BINOMDIST(Worksheet!$A$28,Worksheet!$B$15,$P255,1)</f>
        <v>1.6315908328639075E-15</v>
      </c>
      <c r="L255">
        <f ca="1">BINOMDIST(Worksheet!$A$29,Worksheet!$B$15,$P255,1)</f>
        <v>1.4282267189480359E-14</v>
      </c>
      <c r="M255">
        <f ca="1">BINOMDIST(Worksheet!$A$30,Worksheet!$B$15,$P255,1)</f>
        <v>1.0869512738502422E-13</v>
      </c>
      <c r="N255">
        <f ca="1">BINOMDIST(Worksheet!$A$31,Worksheet!$B$15,$P255,1)</f>
        <v>7.3060408147612078E-13</v>
      </c>
      <c r="O255">
        <f ca="1">BINOMDIST(Worksheet!$A$32,Worksheet!$B$15,$P255,1)</f>
        <v>4.3913863339669006E-12</v>
      </c>
      <c r="P255">
        <v>0.29599999999999999</v>
      </c>
    </row>
    <row r="256" spans="5:16" x14ac:dyDescent="0.2">
      <c r="E256">
        <f ca="1">BINOMDIST(Worksheet!$A$22,Worksheet!$B$15,$P256,1)</f>
        <v>2.3998186921258161E-23</v>
      </c>
      <c r="F256">
        <f ca="1">BINOMDIST(Worksheet!$A$23,Worksheet!$B$15,$P256,1)</f>
        <v>1.5202255714941755E-21</v>
      </c>
      <c r="G256">
        <f ca="1">BINOMDIST(Worksheet!$A$24,Worksheet!$B$15,$P256,1)</f>
        <v>4.7850216784581572E-20</v>
      </c>
      <c r="H256">
        <f ca="1">BINOMDIST(Worksheet!$A$25,Worksheet!$B$15,$P256,1)</f>
        <v>9.9777932740185828E-19</v>
      </c>
      <c r="I256">
        <f ca="1">BINOMDIST(Worksheet!$A$26,Worksheet!$B$15,$P256,1)</f>
        <v>1.5506093793460793E-17</v>
      </c>
      <c r="J256">
        <f ca="1">BINOMDIST(Worksheet!$A$27,Worksheet!$B$15,$P256,1)</f>
        <v>1.9156088848443167E-16</v>
      </c>
      <c r="K256">
        <f ca="1">BINOMDIST(Worksheet!$A$28,Worksheet!$B$15,$P256,1)</f>
        <v>1.9596005287852343E-15</v>
      </c>
      <c r="L256">
        <f ca="1">BINOMDIST(Worksheet!$A$29,Worksheet!$B$15,$P256,1)</f>
        <v>1.7073025498610902E-14</v>
      </c>
      <c r="M256">
        <f ca="1">BINOMDIST(Worksheet!$A$30,Worksheet!$B$15,$P256,1)</f>
        <v>1.2932504180818494E-13</v>
      </c>
      <c r="N256">
        <f ca="1">BINOMDIST(Worksheet!$A$31,Worksheet!$B$15,$P256,1)</f>
        <v>8.6519937094872193E-13</v>
      </c>
      <c r="O256">
        <f ca="1">BINOMDIST(Worksheet!$A$32,Worksheet!$B$15,$P256,1)</f>
        <v>5.1760660083252157E-12</v>
      </c>
      <c r="P256">
        <v>0.29499999999999998</v>
      </c>
    </row>
    <row r="257" spans="5:16" x14ac:dyDescent="0.2">
      <c r="E257">
        <f ca="1">BINOMDIST(Worksheet!$A$22,Worksheet!$B$15,$P257,1)</f>
        <v>2.9641519076591212E-23</v>
      </c>
      <c r="F257">
        <f ca="1">BINOMDIST(Worksheet!$A$23,Worksheet!$B$15,$P257,1)</f>
        <v>1.8688431970782189E-21</v>
      </c>
      <c r="G257">
        <f ca="1">BINOMDIST(Worksheet!$A$24,Worksheet!$B$15,$P257,1)</f>
        <v>5.85454320166299E-20</v>
      </c>
      <c r="H257">
        <f ca="1">BINOMDIST(Worksheet!$A$25,Worksheet!$B$15,$P257,1)</f>
        <v>1.2150368463713934E-18</v>
      </c>
      <c r="I257">
        <f ca="1">BINOMDIST(Worksheet!$A$26,Worksheet!$B$15,$P257,1)</f>
        <v>1.8793378726599429E-17</v>
      </c>
      <c r="J257">
        <f ca="1">BINOMDIST(Worksheet!$A$27,Worksheet!$B$15,$P257,1)</f>
        <v>2.3107800035666242E-16</v>
      </c>
      <c r="K257">
        <f ca="1">BINOMDIST(Worksheet!$A$28,Worksheet!$B$15,$P257,1)</f>
        <v>2.3527214709256634E-15</v>
      </c>
      <c r="L257">
        <f ca="1">BINOMDIST(Worksheet!$A$29,Worksheet!$B$15,$P257,1)</f>
        <v>2.0401716774378152E-14</v>
      </c>
      <c r="M257">
        <f ca="1">BINOMDIST(Worksheet!$A$30,Worksheet!$B$15,$P257,1)</f>
        <v>1.5381344763991212E-13</v>
      </c>
      <c r="N257">
        <f ca="1">BINOMDIST(Worksheet!$A$31,Worksheet!$B$15,$P257,1)</f>
        <v>1.0242021620402666E-12</v>
      </c>
      <c r="O257">
        <f ca="1">BINOMDIST(Worksheet!$A$32,Worksheet!$B$15,$P257,1)</f>
        <v>6.0985930238983884E-12</v>
      </c>
      <c r="P257">
        <v>0.29399999999999998</v>
      </c>
    </row>
    <row r="258" spans="5:16" x14ac:dyDescent="0.2">
      <c r="E258">
        <f ca="1">BINOMDIST(Worksheet!$A$22,Worksheet!$B$15,$P258,1)</f>
        <v>3.6600975099234946E-23</v>
      </c>
      <c r="F258">
        <f ca="1">BINOMDIST(Worksheet!$A$23,Worksheet!$B$15,$P258,1)</f>
        <v>2.2966982451236972E-21</v>
      </c>
      <c r="G258">
        <f ca="1">BINOMDIST(Worksheet!$A$24,Worksheet!$B$15,$P258,1)</f>
        <v>7.1608479021177877E-20</v>
      </c>
      <c r="H258">
        <f ca="1">BINOMDIST(Worksheet!$A$25,Worksheet!$B$15,$P258,1)</f>
        <v>1.4791180074537325E-18</v>
      </c>
      <c r="I258">
        <f ca="1">BINOMDIST(Worksheet!$A$26,Worksheet!$B$15,$P258,1)</f>
        <v>2.2769939297159431E-17</v>
      </c>
      <c r="J258">
        <f ca="1">BINOMDIST(Worksheet!$A$27,Worksheet!$B$15,$P258,1)</f>
        <v>2.7865128087937867E-16</v>
      </c>
      <c r="K258">
        <f ca="1">BINOMDIST(Worksheet!$A$28,Worksheet!$B$15,$P258,1)</f>
        <v>2.8237115269984186E-15</v>
      </c>
      <c r="L258">
        <f ca="1">BINOMDIST(Worksheet!$A$29,Worksheet!$B$15,$P258,1)</f>
        <v>2.4370585491868422E-14</v>
      </c>
      <c r="M258">
        <f ca="1">BINOMDIST(Worksheet!$A$30,Worksheet!$B$15,$P258,1)</f>
        <v>1.8287115801350683E-13</v>
      </c>
      <c r="N258">
        <f ca="1">BINOMDIST(Worksheet!$A$31,Worksheet!$B$15,$P258,1)</f>
        <v>1.211966577247583E-12</v>
      </c>
      <c r="O258">
        <f ca="1">BINOMDIST(Worksheet!$A$32,Worksheet!$B$15,$P258,1)</f>
        <v>7.1827578215165683E-12</v>
      </c>
      <c r="P258">
        <v>0.29299999999999998</v>
      </c>
    </row>
    <row r="259" spans="5:16" x14ac:dyDescent="0.2">
      <c r="E259">
        <f ca="1">BINOMDIST(Worksheet!$A$22,Worksheet!$B$15,$P259,1)</f>
        <v>4.5180953888319366E-23</v>
      </c>
      <c r="F259">
        <f ca="1">BINOMDIST(Worksheet!$A$23,Worksheet!$B$15,$P259,1)</f>
        <v>2.8216399111948075E-21</v>
      </c>
      <c r="G259">
        <f ca="1">BINOMDIST(Worksheet!$A$24,Worksheet!$B$15,$P259,1)</f>
        <v>8.7558539839837442E-20</v>
      </c>
      <c r="H259">
        <f ca="1">BINOMDIST(Worksheet!$A$25,Worksheet!$B$15,$P259,1)</f>
        <v>1.8000099016746086E-18</v>
      </c>
      <c r="I259">
        <f ca="1">BINOMDIST(Worksheet!$A$26,Worksheet!$B$15,$P259,1)</f>
        <v>2.7578691560481056E-17</v>
      </c>
      <c r="J259">
        <f ca="1">BINOMDIST(Worksheet!$A$27,Worksheet!$B$15,$P259,1)</f>
        <v>3.3590337558134664E-16</v>
      </c>
      <c r="K259">
        <f ca="1">BINOMDIST(Worksheet!$A$28,Worksheet!$B$15,$P259,1)</f>
        <v>3.3877951631777077E-15</v>
      </c>
      <c r="L259">
        <f ca="1">BINOMDIST(Worksheet!$A$29,Worksheet!$B$15,$P259,1)</f>
        <v>2.9101030329213524E-14</v>
      </c>
      <c r="M259">
        <f ca="1">BINOMDIST(Worksheet!$A$30,Worksheet!$B$15,$P259,1)</f>
        <v>2.1733789172125241E-13</v>
      </c>
      <c r="N259">
        <f ca="1">BINOMDIST(Worksheet!$A$31,Worksheet!$B$15,$P259,1)</f>
        <v>1.4336103426366767E-12</v>
      </c>
      <c r="O259">
        <f ca="1">BINOMDIST(Worksheet!$A$32,Worksheet!$B$15,$P259,1)</f>
        <v>8.4563812174138538E-12</v>
      </c>
      <c r="P259">
        <v>0.29199999999999998</v>
      </c>
    </row>
    <row r="260" spans="5:16" x14ac:dyDescent="0.2">
      <c r="E260">
        <f ca="1">BINOMDIST(Worksheet!$A$22,Worksheet!$B$15,$P260,1)</f>
        <v>5.5755670423803361E-23</v>
      </c>
      <c r="F260">
        <f ca="1">BINOMDIST(Worksheet!$A$23,Worksheet!$B$15,$P260,1)</f>
        <v>3.465501952378213E-21</v>
      </c>
      <c r="G260">
        <f ca="1">BINOMDIST(Worksheet!$A$24,Worksheet!$B$15,$P260,1)</f>
        <v>1.0702752795464413E-19</v>
      </c>
      <c r="H260">
        <f ca="1">BINOMDIST(Worksheet!$A$25,Worksheet!$B$15,$P260,1)</f>
        <v>2.1898073992752439E-18</v>
      </c>
      <c r="I260">
        <f ca="1">BINOMDIST(Worksheet!$A$26,Worksheet!$B$15,$P260,1)</f>
        <v>3.3391847460251061E-17</v>
      </c>
      <c r="J260">
        <f ca="1">BINOMDIST(Worksheet!$A$27,Worksheet!$B$15,$P260,1)</f>
        <v>4.0477974037220305E-16</v>
      </c>
      <c r="K260">
        <f ca="1">BINOMDIST(Worksheet!$A$28,Worksheet!$B$15,$P260,1)</f>
        <v>4.0631338223144654E-15</v>
      </c>
      <c r="L260">
        <f ca="1">BINOMDIST(Worksheet!$A$29,Worksheet!$B$15,$P260,1)</f>
        <v>3.4737139144068294E-14</v>
      </c>
      <c r="M260">
        <f ca="1">BINOMDIST(Worksheet!$A$30,Worksheet!$B$15,$P260,1)</f>
        <v>2.5820527170850881E-13</v>
      </c>
      <c r="N260">
        <f ca="1">BINOMDIST(Worksheet!$A$31,Worksheet!$B$15,$P260,1)</f>
        <v>1.6951463385086345E-12</v>
      </c>
      <c r="O260">
        <f ca="1">BINOMDIST(Worksheet!$A$32,Worksheet!$B$15,$P260,1)</f>
        <v>9.9519840058481072E-12</v>
      </c>
      <c r="P260">
        <v>0.29099999999999998</v>
      </c>
    </row>
    <row r="261" spans="5:16" x14ac:dyDescent="0.2">
      <c r="E261">
        <f ca="1">BINOMDIST(Worksheet!$A$22,Worksheet!$B$15,$P261,1)</f>
        <v>6.8785034452662963E-23</v>
      </c>
      <c r="F261">
        <f ca="1">BINOMDIST(Worksheet!$A$23,Worksheet!$B$15,$P261,1)</f>
        <v>4.2549841030435937E-21</v>
      </c>
      <c r="G261">
        <f ca="1">BINOMDIST(Worksheet!$A$24,Worksheet!$B$15,$P261,1)</f>
        <v>1.3078432496496148E-19</v>
      </c>
      <c r="H261">
        <f ca="1">BINOMDIST(Worksheet!$A$25,Worksheet!$B$15,$P261,1)</f>
        <v>2.6631532455957298E-18</v>
      </c>
      <c r="I261">
        <f ca="1">BINOMDIST(Worksheet!$A$26,Worksheet!$B$15,$P261,1)</f>
        <v>4.0416850463732018E-17</v>
      </c>
      <c r="J261">
        <f ca="1">BINOMDIST(Worksheet!$A$27,Worksheet!$B$15,$P261,1)</f>
        <v>4.8761205272362952E-16</v>
      </c>
      <c r="K261">
        <f ca="1">BINOMDIST(Worksheet!$A$28,Worksheet!$B$15,$P261,1)</f>
        <v>4.8713847396657027E-15</v>
      </c>
      <c r="L261">
        <f ca="1">BINOMDIST(Worksheet!$A$29,Worksheet!$B$15,$P261,1)</f>
        <v>4.1449866294492348E-14</v>
      </c>
      <c r="M261">
        <f ca="1">BINOMDIST(Worksheet!$A$30,Worksheet!$B$15,$P261,1)</f>
        <v>3.0664385756698417E-13</v>
      </c>
      <c r="N261">
        <f ca="1">BINOMDIST(Worksheet!$A$31,Worksheet!$B$15,$P261,1)</f>
        <v>2.0036363932684293E-12</v>
      </c>
      <c r="O261">
        <f ca="1">BINOMDIST(Worksheet!$A$32,Worksheet!$B$15,$P261,1)</f>
        <v>1.1707565541082277E-11</v>
      </c>
      <c r="P261">
        <v>0.28999999999999998</v>
      </c>
    </row>
    <row r="262" spans="5:16" x14ac:dyDescent="0.2">
      <c r="E262">
        <f ca="1">BINOMDIST(Worksheet!$A$22,Worksheet!$B$15,$P262,1)</f>
        <v>8.48341101454671E-23</v>
      </c>
      <c r="F262">
        <f ca="1">BINOMDIST(Worksheet!$A$23,Worksheet!$B$15,$P262,1)</f>
        <v>5.2227266797290941E-21</v>
      </c>
      <c r="G262">
        <f ca="1">BINOMDIST(Worksheet!$A$24,Worksheet!$B$15,$P262,1)</f>
        <v>1.5976417603713476E-19</v>
      </c>
      <c r="H262">
        <f ca="1">BINOMDIST(Worksheet!$A$25,Worksheet!$B$15,$P262,1)</f>
        <v>3.2377690485409634E-18</v>
      </c>
      <c r="I262">
        <f ca="1">BINOMDIST(Worksheet!$A$26,Worksheet!$B$15,$P262,1)</f>
        <v>4.8903499565568576E-17</v>
      </c>
      <c r="J262">
        <f ca="1">BINOMDIST(Worksheet!$A$27,Worksheet!$B$15,$P262,1)</f>
        <v>5.8719391793857616E-16</v>
      </c>
      <c r="K262">
        <f ca="1">BINOMDIST(Worksheet!$A$28,Worksheet!$B$15,$P262,1)</f>
        <v>5.8383645815604912E-15</v>
      </c>
      <c r="L262">
        <f ca="1">BINOMDIST(Worksheet!$A$29,Worksheet!$B$15,$P262,1)</f>
        <v>4.9441967156505814E-14</v>
      </c>
      <c r="M262">
        <f ca="1">BINOMDIST(Worksheet!$A$30,Worksheet!$B$15,$P262,1)</f>
        <v>3.6403490711265999E-13</v>
      </c>
      <c r="N262">
        <f ca="1">BINOMDIST(Worksheet!$A$31,Worksheet!$B$15,$P262,1)</f>
        <v>2.3673710081086488E-12</v>
      </c>
      <c r="O262">
        <f ca="1">BINOMDIST(Worksheet!$A$32,Worksheet!$B$15,$P262,1)</f>
        <v>1.3767508651751083E-11</v>
      </c>
      <c r="P262">
        <v>0.28899999999999998</v>
      </c>
    </row>
    <row r="263" spans="5:16" x14ac:dyDescent="0.2">
      <c r="E263">
        <f ca="1">BINOMDIST(Worksheet!$A$22,Worksheet!$B$15,$P263,1)</f>
        <v>1.0459695746792721E-22</v>
      </c>
      <c r="F263">
        <f ca="1">BINOMDIST(Worksheet!$A$23,Worksheet!$B$15,$P263,1)</f>
        <v>6.4086203266584986E-21</v>
      </c>
      <c r="G263">
        <f ca="1">BINOMDIST(Worksheet!$A$24,Worksheet!$B$15,$P263,1)</f>
        <v>1.9510433106287965E-19</v>
      </c>
      <c r="H263">
        <f ca="1">BINOMDIST(Worksheet!$A$25,Worksheet!$B$15,$P263,1)</f>
        <v>3.9350957213852856E-18</v>
      </c>
      <c r="I263">
        <f ca="1">BINOMDIST(Worksheet!$A$26,Worksheet!$B$15,$P263,1)</f>
        <v>5.9152496697605943E-17</v>
      </c>
      <c r="J263">
        <f ca="1">BINOMDIST(Worksheet!$A$27,Worksheet!$B$15,$P263,1)</f>
        <v>7.0687122275574463E-16</v>
      </c>
      <c r="K263">
        <f ca="1">BINOMDIST(Worksheet!$A$28,Worksheet!$B$15,$P263,1)</f>
        <v>6.9948372824662091E-15</v>
      </c>
      <c r="L263">
        <f ca="1">BINOMDIST(Worksheet!$A$29,Worksheet!$B$15,$P263,1)</f>
        <v>5.8953824883412432E-14</v>
      </c>
      <c r="M263">
        <f ca="1">BINOMDIST(Worksheet!$A$30,Worksheet!$B$15,$P263,1)</f>
        <v>4.3200767968122023E-13</v>
      </c>
      <c r="N263">
        <f ca="1">BINOMDIST(Worksheet!$A$31,Worksheet!$B$15,$P263,1)</f>
        <v>2.7960792988493453E-12</v>
      </c>
      <c r="O263">
        <f ca="1">BINOMDIST(Worksheet!$A$32,Worksheet!$B$15,$P263,1)</f>
        <v>1.6183630939981185E-11</v>
      </c>
      <c r="P263">
        <v>0.28799999999999998</v>
      </c>
    </row>
    <row r="264" spans="5:16" x14ac:dyDescent="0.2">
      <c r="E264">
        <f ca="1">BINOMDIST(Worksheet!$A$22,Worksheet!$B$15,$P264,1)</f>
        <v>1.2892583354301166E-22</v>
      </c>
      <c r="F264">
        <f ca="1">BINOMDIST(Worksheet!$A$23,Worksheet!$B$15,$P264,1)</f>
        <v>7.8614018781430321E-21</v>
      </c>
      <c r="G264">
        <f ca="1">BINOMDIST(Worksheet!$A$24,Worksheet!$B$15,$P264,1)</f>
        <v>2.381872451252902E-19</v>
      </c>
      <c r="H264">
        <f ca="1">BINOMDIST(Worksheet!$A$25,Worksheet!$B$15,$P264,1)</f>
        <v>4.7810656933505627E-18</v>
      </c>
      <c r="I264">
        <f ca="1">BINOMDIST(Worksheet!$A$26,Worksheet!$B$15,$P264,1)</f>
        <v>7.1525698490523173E-17</v>
      </c>
      <c r="J264">
        <f ca="1">BINOMDIST(Worksheet!$A$27,Worksheet!$B$15,$P264,1)</f>
        <v>8.5064993239075533E-16</v>
      </c>
      <c r="K264">
        <f ca="1">BINOMDIST(Worksheet!$A$28,Worksheet!$B$15,$P264,1)</f>
        <v>8.3774489830285947E-15</v>
      </c>
      <c r="L264">
        <f ca="1">BINOMDIST(Worksheet!$A$29,Worksheet!$B$15,$P264,1)</f>
        <v>7.0270328132944347E-14</v>
      </c>
      <c r="M264">
        <f ca="1">BINOMDIST(Worksheet!$A$30,Worksheet!$B$15,$P264,1)</f>
        <v>5.1248323081100449E-13</v>
      </c>
      <c r="N264">
        <f ca="1">BINOMDIST(Worksheet!$A$31,Worksheet!$B$15,$P264,1)</f>
        <v>3.3011741350767277E-12</v>
      </c>
      <c r="O264">
        <f ca="1">BINOMDIST(Worksheet!$A$32,Worksheet!$B$15,$P264,1)</f>
        <v>1.9016405626436649E-11</v>
      </c>
      <c r="P264">
        <v>0.28699999999999998</v>
      </c>
    </row>
    <row r="265" spans="5:16" x14ac:dyDescent="0.2">
      <c r="E265">
        <f ca="1">BINOMDIST(Worksheet!$A$22,Worksheet!$B$15,$P265,1)</f>
        <v>1.5886694883321662E-22</v>
      </c>
      <c r="F265">
        <f ca="1">BINOMDIST(Worksheet!$A$23,Worksheet!$B$15,$P265,1)</f>
        <v>9.6405982619686169E-21</v>
      </c>
      <c r="G265">
        <f ca="1">BINOMDIST(Worksheet!$A$24,Worksheet!$B$15,$P265,1)</f>
        <v>2.9069292530846474E-19</v>
      </c>
      <c r="H265">
        <f ca="1">BINOMDIST(Worksheet!$A$25,Worksheet!$B$15,$P265,1)</f>
        <v>5.8070336973387291E-18</v>
      </c>
      <c r="I265">
        <f ca="1">BINOMDIST(Worksheet!$A$26,Worksheet!$B$15,$P265,1)</f>
        <v>8.6458408094010481E-17</v>
      </c>
      <c r="J265">
        <f ca="1">BINOMDIST(Worksheet!$A$27,Worksheet!$B$15,$P265,1)</f>
        <v>1.0233246535365845E-15</v>
      </c>
      <c r="K265">
        <f ca="1">BINOMDIST(Worksheet!$A$28,Worksheet!$B$15,$P265,1)</f>
        <v>1.0029837130732372E-14</v>
      </c>
      <c r="L265">
        <f ca="1">BINOMDIST(Worksheet!$A$29,Worksheet!$B$15,$P265,1)</f>
        <v>8.3728986248850596E-14</v>
      </c>
      <c r="M265">
        <f ca="1">BINOMDIST(Worksheet!$A$30,Worksheet!$B$15,$P265,1)</f>
        <v>6.0772580767480021E-13</v>
      </c>
      <c r="N265">
        <f ca="1">BINOMDIST(Worksheet!$A$31,Worksheet!$B$15,$P265,1)</f>
        <v>3.8960382603393996E-12</v>
      </c>
      <c r="O265">
        <f ca="1">BINOMDIST(Worksheet!$A$32,Worksheet!$B$15,$P265,1)</f>
        <v>2.2336378681164481E-11</v>
      </c>
      <c r="P265">
        <v>0.28599999999999998</v>
      </c>
    </row>
    <row r="266" spans="5:16" x14ac:dyDescent="0.2">
      <c r="E266">
        <f ca="1">BINOMDIST(Worksheet!$A$22,Worksheet!$B$15,$P266,1)</f>
        <v>1.9570423705337354E-22</v>
      </c>
      <c r="F266">
        <f ca="1">BINOMDIST(Worksheet!$A$23,Worksheet!$B$15,$P266,1)</f>
        <v>1.1818893644705809E-20</v>
      </c>
      <c r="G266">
        <f ca="1">BINOMDIST(Worksheet!$A$24,Worksheet!$B$15,$P266,1)</f>
        <v>3.5466234064804896E-19</v>
      </c>
      <c r="H266">
        <f ca="1">BINOMDIST(Worksheet!$A$25,Worksheet!$B$15,$P266,1)</f>
        <v>7.0508983370140138E-18</v>
      </c>
      <c r="I266">
        <f ca="1">BINOMDIST(Worksheet!$A$26,Worksheet!$B$15,$P266,1)</f>
        <v>1.0447410806036671E-16</v>
      </c>
      <c r="J266">
        <f ca="1">BINOMDIST(Worksheet!$A$27,Worksheet!$B$15,$P266,1)</f>
        <v>1.2306319099673762E-15</v>
      </c>
      <c r="K266">
        <f ca="1">BINOMDIST(Worksheet!$A$28,Worksheet!$B$15,$P266,1)</f>
        <v>1.2003945707231569E-14</v>
      </c>
      <c r="L266">
        <f ca="1">BINOMDIST(Worksheet!$A$29,Worksheet!$B$15,$P266,1)</f>
        <v>9.9729500913526131E-14</v>
      </c>
      <c r="M266">
        <f ca="1">BINOMDIST(Worksheet!$A$30,Worksheet!$B$15,$P266,1)</f>
        <v>7.2040314063358143E-13</v>
      </c>
      <c r="N266">
        <f ca="1">BINOMDIST(Worksheet!$A$31,Worksheet!$B$15,$P266,1)</f>
        <v>4.5963581075567401E-12</v>
      </c>
      <c r="O266">
        <f ca="1">BINOMDIST(Worksheet!$A$32,Worksheet!$B$15,$P266,1)</f>
        <v>2.6225813097799321E-11</v>
      </c>
      <c r="P266">
        <v>0.28499999999999998</v>
      </c>
    </row>
    <row r="267" spans="5:16" x14ac:dyDescent="0.2">
      <c r="E267">
        <f ca="1">BINOMDIST(Worksheet!$A$22,Worksheet!$B$15,$P267,1)</f>
        <v>2.4101291967286969E-22</v>
      </c>
      <c r="F267">
        <f ca="1">BINOMDIST(Worksheet!$A$23,Worksheet!$B$15,$P267,1)</f>
        <v>1.4485011116428646E-20</v>
      </c>
      <c r="G267">
        <f ca="1">BINOMDIST(Worksheet!$A$24,Worksheet!$B$15,$P267,1)</f>
        <v>4.3257420958433139E-19</v>
      </c>
      <c r="H267">
        <f ca="1">BINOMDIST(Worksheet!$A$25,Worksheet!$B$15,$P267,1)</f>
        <v>8.5584531004772884E-18</v>
      </c>
      <c r="I267">
        <f ca="1">BINOMDIST(Worksheet!$A$26,Worksheet!$B$15,$P267,1)</f>
        <v>1.2620211313259461E-16</v>
      </c>
      <c r="J267">
        <f ca="1">BINOMDIST(Worksheet!$A$27,Worksheet!$B$15,$P267,1)</f>
        <v>1.479432817077458E-15</v>
      </c>
      <c r="K267">
        <f ca="1">BINOMDIST(Worksheet!$A$28,Worksheet!$B$15,$P267,1)</f>
        <v>1.4361584322787147E-14</v>
      </c>
      <c r="L267">
        <f ca="1">BINOMDIST(Worksheet!$A$29,Worksheet!$B$15,$P267,1)</f>
        <v>1.1874505139179842E-13</v>
      </c>
      <c r="M267">
        <f ca="1">BINOMDIST(Worksheet!$A$30,Worksheet!$B$15,$P267,1)</f>
        <v>8.5365714286510525E-13</v>
      </c>
      <c r="N267">
        <f ca="1">BINOMDIST(Worksheet!$A$31,Worksheet!$B$15,$P267,1)</f>
        <v>5.4205131004934307E-12</v>
      </c>
      <c r="O267">
        <f ca="1">BINOMDIST(Worksheet!$A$32,Worksheet!$B$15,$P267,1)</f>
        <v>3.0780595904306697E-11</v>
      </c>
      <c r="P267">
        <v>0.28399999999999997</v>
      </c>
    </row>
    <row r="268" spans="5:16" x14ac:dyDescent="0.2">
      <c r="E268">
        <f ca="1">BINOMDIST(Worksheet!$A$22,Worksheet!$B$15,$P268,1)</f>
        <v>2.9672503825365682E-22</v>
      </c>
      <c r="F268">
        <f ca="1">BINOMDIST(Worksheet!$A$23,Worksheet!$B$15,$P268,1)</f>
        <v>1.7747219721715227E-20</v>
      </c>
      <c r="G268">
        <f ca="1">BINOMDIST(Worksheet!$A$24,Worksheet!$B$15,$P268,1)</f>
        <v>5.2743795844005653E-19</v>
      </c>
      <c r="H268">
        <f ca="1">BINOMDIST(Worksheet!$A$25,Worksheet!$B$15,$P268,1)</f>
        <v>1.0385013235716581E-17</v>
      </c>
      <c r="I268">
        <f ca="1">BINOMDIST(Worksheet!$A$26,Worksheet!$B$15,$P268,1)</f>
        <v>1.5239871452808399E-16</v>
      </c>
      <c r="J268">
        <f ca="1">BINOMDIST(Worksheet!$A$27,Worksheet!$B$15,$P268,1)</f>
        <v>1.7779307180238497E-15</v>
      </c>
      <c r="K268">
        <f ca="1">BINOMDIST(Worksheet!$A$28,Worksheet!$B$15,$P268,1)</f>
        <v>1.7176275721849785E-14</v>
      </c>
      <c r="L268">
        <f ca="1">BINOMDIST(Worksheet!$A$29,Worksheet!$B$15,$P268,1)</f>
        <v>1.4133559510017897E-13</v>
      </c>
      <c r="M268">
        <f ca="1">BINOMDIST(Worksheet!$A$30,Worksheet!$B$15,$P268,1)</f>
        <v>1.011186782083706E-12</v>
      </c>
      <c r="N268">
        <f ca="1">BINOMDIST(Worksheet!$A$31,Worksheet!$B$15,$P268,1)</f>
        <v>6.3900294776057652E-12</v>
      </c>
      <c r="O268">
        <f ca="1">BINOMDIST(Worksheet!$A$32,Worksheet!$B$15,$P268,1)</f>
        <v>3.6112448947143137E-11</v>
      </c>
      <c r="P268">
        <v>0.28299999999999997</v>
      </c>
    </row>
    <row r="269" spans="5:16" x14ac:dyDescent="0.2">
      <c r="E269">
        <f ca="1">BINOMDIST(Worksheet!$A$22,Worksheet!$B$15,$P269,1)</f>
        <v>3.6520960597582132E-22</v>
      </c>
      <c r="F269">
        <f ca="1">BINOMDIST(Worksheet!$A$23,Worksheet!$B$15,$P269,1)</f>
        <v>2.1737601282705653E-20</v>
      </c>
      <c r="G269">
        <f ca="1">BINOMDIST(Worksheet!$A$24,Worksheet!$B$15,$P269,1)</f>
        <v>6.4290622177017002E-19</v>
      </c>
      <c r="H269">
        <f ca="1">BINOMDIST(Worksheet!$A$25,Worksheet!$B$15,$P269,1)</f>
        <v>1.2597374185413262E-17</v>
      </c>
      <c r="I269">
        <f ca="1">BINOMDIST(Worksheet!$A$26,Worksheet!$B$15,$P269,1)</f>
        <v>1.8397249779234739E-16</v>
      </c>
      <c r="J269">
        <f ca="1">BINOMDIST(Worksheet!$A$27,Worksheet!$B$15,$P269,1)</f>
        <v>2.1359303819950094E-15</v>
      </c>
      <c r="K269">
        <f ca="1">BINOMDIST(Worksheet!$A$28,Worksheet!$B$15,$P269,1)</f>
        <v>2.0535444254256203E-14</v>
      </c>
      <c r="L269">
        <f ca="1">BINOMDIST(Worksheet!$A$29,Worksheet!$B$15,$P269,1)</f>
        <v>1.6816353745218858E-13</v>
      </c>
      <c r="M269">
        <f ca="1">BINOMDIST(Worksheet!$A$30,Worksheet!$B$15,$P269,1)</f>
        <v>1.1973451816057339E-12</v>
      </c>
      <c r="N269">
        <f ca="1">BINOMDIST(Worksheet!$A$31,Worksheet!$B$15,$P269,1)</f>
        <v>7.5301091145728387E-12</v>
      </c>
      <c r="O269">
        <f ca="1">BINOMDIST(Worksheet!$A$32,Worksheet!$B$15,$P269,1)</f>
        <v>4.2351490740414344E-11</v>
      </c>
      <c r="P269">
        <v>0.28199999999999997</v>
      </c>
    </row>
    <row r="270" spans="5:16" x14ac:dyDescent="0.2">
      <c r="E270">
        <f ca="1">BINOMDIST(Worksheet!$A$22,Worksheet!$B$15,$P270,1)</f>
        <v>4.4937061208994088E-22</v>
      </c>
      <c r="F270">
        <f ca="1">BINOMDIST(Worksheet!$A$23,Worksheet!$B$15,$P270,1)</f>
        <v>2.6617240094139559E-20</v>
      </c>
      <c r="G270">
        <f ca="1">BINOMDIST(Worksheet!$A$24,Worksheet!$B$15,$P270,1)</f>
        <v>7.8341095081700348E-19</v>
      </c>
      <c r="H270">
        <f ca="1">BINOMDIST(Worksheet!$A$25,Worksheet!$B$15,$P270,1)</f>
        <v>1.5276168395800561E-17</v>
      </c>
      <c r="I270">
        <f ca="1">BINOMDIST(Worksheet!$A$26,Worksheet!$B$15,$P270,1)</f>
        <v>2.2201464785960257E-16</v>
      </c>
      <c r="J270">
        <f ca="1">BINOMDIST(Worksheet!$A$27,Worksheet!$B$15,$P270,1)</f>
        <v>2.5651465938269466E-15</v>
      </c>
      <c r="K270">
        <f ca="1">BINOMDIST(Worksheet!$A$28,Worksheet!$B$15,$P270,1)</f>
        <v>2.4543007294249393E-14</v>
      </c>
      <c r="L270">
        <f ca="1">BINOMDIST(Worksheet!$A$29,Worksheet!$B$15,$P270,1)</f>
        <v>2.0001218601967656E-13</v>
      </c>
      <c r="M270">
        <f ca="1">BINOMDIST(Worksheet!$A$30,Worksheet!$B$15,$P270,1)</f>
        <v>1.4172533490068186E-12</v>
      </c>
      <c r="N270">
        <f ca="1">BINOMDIST(Worksheet!$A$31,Worksheet!$B$15,$P270,1)</f>
        <v>8.8702454860356228E-12</v>
      </c>
      <c r="O270">
        <f ca="1">BINOMDIST(Worksheet!$A$32,Worksheet!$B$15,$P270,1)</f>
        <v>4.9649203854702214E-11</v>
      </c>
      <c r="P270">
        <v>0.28100000000000003</v>
      </c>
    </row>
    <row r="271" spans="5:16" x14ac:dyDescent="0.2">
      <c r="E271">
        <f ca="1">BINOMDIST(Worksheet!$A$22,Worksheet!$B$15,$P271,1)</f>
        <v>5.5276682225490362E-22</v>
      </c>
      <c r="F271">
        <f ca="1">BINOMDIST(Worksheet!$A$23,Worksheet!$B$15,$P271,1)</f>
        <v>3.2582533245136117E-20</v>
      </c>
      <c r="G271">
        <f ca="1">BINOMDIST(Worksheet!$A$24,Worksheet!$B$15,$P271,1)</f>
        <v>9.5432803363694118E-19</v>
      </c>
      <c r="H271">
        <f ca="1">BINOMDIST(Worksheet!$A$25,Worksheet!$B$15,$P271,1)</f>
        <v>1.8518700624436365E-17</v>
      </c>
      <c r="I271">
        <f ca="1">BINOMDIST(Worksheet!$A$26,Worksheet!$B$15,$P271,1)</f>
        <v>2.6783521156606196E-16</v>
      </c>
      <c r="J271">
        <f ca="1">BINOMDIST(Worksheet!$A$27,Worksheet!$B$15,$P271,1)</f>
        <v>3.0795714182966207E-15</v>
      </c>
      <c r="K271">
        <f ca="1">BINOMDIST(Worksheet!$A$28,Worksheet!$B$15,$P271,1)</f>
        <v>2.9322442681115188E-14</v>
      </c>
      <c r="L271">
        <f ca="1">BINOMDIST(Worksheet!$A$29,Worksheet!$B$15,$P271,1)</f>
        <v>2.3780747549128387E-13</v>
      </c>
      <c r="M271">
        <f ca="1">BINOMDIST(Worksheet!$A$30,Worksheet!$B$15,$P271,1)</f>
        <v>1.6769333269725898E-12</v>
      </c>
      <c r="N271">
        <f ca="1">BINOMDIST(Worksheet!$A$31,Worksheet!$B$15,$P271,1)</f>
        <v>1.0444940829516107E-11</v>
      </c>
      <c r="O271">
        <f ca="1">BINOMDIST(Worksheet!$A$32,Worksheet!$B$15,$P271,1)</f>
        <v>5.8181870565586443E-11</v>
      </c>
      <c r="P271">
        <v>0.28000000000000003</v>
      </c>
    </row>
    <row r="272" spans="5:16" x14ac:dyDescent="0.2">
      <c r="E272">
        <f ca="1">BINOMDIST(Worksheet!$A$22,Worksheet!$B$15,$P272,1)</f>
        <v>6.7975818115555E-22</v>
      </c>
      <c r="F272">
        <f ca="1">BINOMDIST(Worksheet!$A$23,Worksheet!$B$15,$P272,1)</f>
        <v>3.9872861300180839E-20</v>
      </c>
      <c r="G272">
        <f ca="1">BINOMDIST(Worksheet!$A$24,Worksheet!$B$15,$P272,1)</f>
        <v>1.162176338408915E-18</v>
      </c>
      <c r="H272">
        <f ca="1">BINOMDIST(Worksheet!$A$25,Worksheet!$B$15,$P272,1)</f>
        <v>2.2442357802422125E-17</v>
      </c>
      <c r="I272">
        <f ca="1">BINOMDIST(Worksheet!$A$26,Worksheet!$B$15,$P272,1)</f>
        <v>3.2300647422236497E-16</v>
      </c>
      <c r="J272">
        <f ca="1">BINOMDIST(Worksheet!$A$27,Worksheet!$B$15,$P272,1)</f>
        <v>3.6959111426741844E-15</v>
      </c>
      <c r="K272">
        <f ca="1">BINOMDIST(Worksheet!$A$28,Worksheet!$B$15,$P272,1)</f>
        <v>3.5020418299336318E-14</v>
      </c>
      <c r="L272">
        <f ca="1">BINOMDIST(Worksheet!$A$29,Worksheet!$B$15,$P272,1)</f>
        <v>2.826435334230418E-13</v>
      </c>
      <c r="M272">
        <f ca="1">BINOMDIST(Worksheet!$A$30,Worksheet!$B$15,$P272,1)</f>
        <v>1.98346402145546E-12</v>
      </c>
      <c r="N272">
        <f ca="1">BINOMDIST(Worksheet!$A$31,Worksheet!$B$15,$P272,1)</f>
        <v>1.2294540794256715E-11</v>
      </c>
      <c r="O272">
        <f ca="1">BINOMDIST(Worksheet!$A$32,Worksheet!$B$15,$P272,1)</f>
        <v>6.8154548942053892E-11</v>
      </c>
      <c r="P272">
        <v>0.27900000000000003</v>
      </c>
    </row>
    <row r="273" spans="5:16" x14ac:dyDescent="0.2">
      <c r="E273">
        <f ca="1">BINOMDIST(Worksheet!$A$22,Worksheet!$B$15,$P273,1)</f>
        <v>8.3568467469149543E-22</v>
      </c>
      <c r="F273">
        <f ca="1">BINOMDIST(Worksheet!$A$23,Worksheet!$B$15,$P273,1)</f>
        <v>4.8779909875621194E-20</v>
      </c>
      <c r="G273">
        <f ca="1">BINOMDIST(Worksheet!$A$24,Worksheet!$B$15,$P273,1)</f>
        <v>1.4148583043818924E-18</v>
      </c>
      <c r="H273">
        <f ca="1">BINOMDIST(Worksheet!$A$25,Worksheet!$B$15,$P273,1)</f>
        <v>2.7188708567490376E-17</v>
      </c>
      <c r="I273">
        <f ca="1">BINOMDIST(Worksheet!$A$26,Worksheet!$B$15,$P273,1)</f>
        <v>3.8941482853946049E-16</v>
      </c>
      <c r="J273">
        <f ca="1">BINOMDIST(Worksheet!$A$27,Worksheet!$B$15,$P273,1)</f>
        <v>4.4341059354840984E-15</v>
      </c>
      <c r="K273">
        <f ca="1">BINOMDIST(Worksheet!$A$28,Worksheet!$B$15,$P273,1)</f>
        <v>4.1811085250629075E-14</v>
      </c>
      <c r="L273">
        <f ca="1">BINOMDIST(Worksheet!$A$29,Worksheet!$B$15,$P273,1)</f>
        <v>3.3581275436306777E-13</v>
      </c>
      <c r="M273">
        <f ca="1">BINOMDIST(Worksheet!$A$30,Worksheet!$B$15,$P273,1)</f>
        <v>2.3451634970712843E-12</v>
      </c>
      <c r="N273">
        <f ca="1">BINOMDIST(Worksheet!$A$31,Worksheet!$B$15,$P273,1)</f>
        <v>1.4466205419613116E-11</v>
      </c>
      <c r="O273">
        <f ca="1">BINOMDIST(Worksheet!$A$32,Worksheet!$B$15,$P273,1)</f>
        <v>7.9805672403730678E-11</v>
      </c>
      <c r="P273">
        <v>0.27800000000000002</v>
      </c>
    </row>
    <row r="274" spans="5:16" x14ac:dyDescent="0.2">
      <c r="E274">
        <f ca="1">BINOMDIST(Worksheet!$A$22,Worksheet!$B$15,$P274,1)</f>
        <v>1.0270847877374757E-21</v>
      </c>
      <c r="F274">
        <f ca="1">BINOMDIST(Worksheet!$A$23,Worksheet!$B$15,$P274,1)</f>
        <v>5.965899411593784E-20</v>
      </c>
      <c r="G274">
        <f ca="1">BINOMDIST(Worksheet!$A$24,Worksheet!$B$15,$P274,1)</f>
        <v>1.7219506641151798E-18</v>
      </c>
      <c r="H274">
        <f ca="1">BINOMDIST(Worksheet!$A$25,Worksheet!$B$15,$P274,1)</f>
        <v>3.2928430383201941E-17</v>
      </c>
      <c r="I274">
        <f ca="1">BINOMDIST(Worksheet!$A$26,Worksheet!$B$15,$P274,1)</f>
        <v>4.6932277782417962E-16</v>
      </c>
      <c r="J274">
        <f ca="1">BINOMDIST(Worksheet!$A$27,Worksheet!$B$15,$P274,1)</f>
        <v>5.3179476643986979E-15</v>
      </c>
      <c r="K274">
        <f ca="1">BINOMDIST(Worksheet!$A$28,Worksheet!$B$15,$P274,1)</f>
        <v>4.9901154090328727E-14</v>
      </c>
      <c r="L274">
        <f ca="1">BINOMDIST(Worksheet!$A$29,Worksheet!$B$15,$P274,1)</f>
        <v>3.98841163917935E-13</v>
      </c>
      <c r="M274">
        <f ca="1">BINOMDIST(Worksheet!$A$30,Worksheet!$B$15,$P274,1)</f>
        <v>2.7718021505291185E-12</v>
      </c>
      <c r="N274">
        <f ca="1">BINOMDIST(Worksheet!$A$31,Worksheet!$B$15,$P274,1)</f>
        <v>1.7015038243056084E-11</v>
      </c>
      <c r="O274">
        <f ca="1">BINOMDIST(Worksheet!$A$32,Worksheet!$B$15,$P274,1)</f>
        <v>9.3412368210994633E-11</v>
      </c>
      <c r="P274">
        <v>0.27700000000000002</v>
      </c>
    </row>
    <row r="275" spans="5:16" x14ac:dyDescent="0.2">
      <c r="E275">
        <f ca="1">BINOMDIST(Worksheet!$A$22,Worksheet!$B$15,$P275,1)</f>
        <v>1.2619622489568801E-21</v>
      </c>
      <c r="F275">
        <f ca="1">BINOMDIST(Worksheet!$A$23,Worksheet!$B$15,$P275,1)</f>
        <v>7.2942812423132172E-20</v>
      </c>
      <c r="G275">
        <f ca="1">BINOMDIST(Worksheet!$A$24,Worksheet!$B$15,$P275,1)</f>
        <v>2.0950556355686492E-18</v>
      </c>
      <c r="H275">
        <f ca="1">BINOMDIST(Worksheet!$A$25,Worksheet!$B$15,$P275,1)</f>
        <v>3.9867229420402798E-17</v>
      </c>
      <c r="I275">
        <f ca="1">BINOMDIST(Worksheet!$A$26,Worksheet!$B$15,$P275,1)</f>
        <v>5.6544302874142313E-16</v>
      </c>
      <c r="J275">
        <f ca="1">BINOMDIST(Worksheet!$A$27,Worksheet!$B$15,$P275,1)</f>
        <v>6.3758141582516994E-15</v>
      </c>
      <c r="K275">
        <f ca="1">BINOMDIST(Worksheet!$A$28,Worksheet!$B$15,$P275,1)</f>
        <v>5.9535894768578079E-14</v>
      </c>
      <c r="L275">
        <f ca="1">BINOMDIST(Worksheet!$A$29,Worksheet!$B$15,$P275,1)</f>
        <v>4.7352998741426856E-13</v>
      </c>
      <c r="M275">
        <f ca="1">BINOMDIST(Worksheet!$A$30,Worksheet!$B$15,$P275,1)</f>
        <v>3.2748518933137608E-12</v>
      </c>
      <c r="N275">
        <f ca="1">BINOMDIST(Worksheet!$A$31,Worksheet!$B$15,$P275,1)</f>
        <v>2.0005398745674781E-11</v>
      </c>
      <c r="O275">
        <f ca="1">BINOMDIST(Worksheet!$A$32,Worksheet!$B$15,$P275,1)</f>
        <v>1.0929660459860771E-10</v>
      </c>
      <c r="P275">
        <v>0.27600000000000002</v>
      </c>
    </row>
    <row r="276" spans="5:16" x14ac:dyDescent="0.2">
      <c r="E276">
        <f ca="1">BINOMDIST(Worksheet!$A$22,Worksheet!$B$15,$P276,1)</f>
        <v>1.5501116457961764E-21</v>
      </c>
      <c r="F276">
        <f ca="1">BINOMDIST(Worksheet!$A$23,Worksheet!$B$15,$P276,1)</f>
        <v>8.9158145696138785E-20</v>
      </c>
      <c r="G276">
        <f ca="1">BINOMDIST(Worksheet!$A$24,Worksheet!$B$15,$P276,1)</f>
        <v>2.5482250324885163E-18</v>
      </c>
      <c r="H276">
        <f ca="1">BINOMDIST(Worksheet!$A$25,Worksheet!$B$15,$P276,1)</f>
        <v>4.8252950962871043E-17</v>
      </c>
      <c r="I276">
        <f ca="1">BINOMDIST(Worksheet!$A$26,Worksheet!$B$15,$P276,1)</f>
        <v>6.8102700134385708E-16</v>
      </c>
      <c r="J276">
        <f ca="1">BINOMDIST(Worksheet!$A$27,Worksheet!$B$15,$P276,1)</f>
        <v>7.6415415555346588E-15</v>
      </c>
      <c r="K276">
        <f ca="1">BINOMDIST(Worksheet!$A$28,Worksheet!$B$15,$P276,1)</f>
        <v>7.1006225772995836E-14</v>
      </c>
      <c r="L276">
        <f ca="1">BINOMDIST(Worksheet!$A$29,Worksheet!$B$15,$P276,1)</f>
        <v>5.6200449313292952E-13</v>
      </c>
      <c r="M276">
        <f ca="1">BINOMDIST(Worksheet!$A$30,Worksheet!$B$15,$P276,1)</f>
        <v>3.8677773104442086E-12</v>
      </c>
      <c r="N276">
        <f ca="1">BINOMDIST(Worksheet!$A$31,Worksheet!$B$15,$P276,1)</f>
        <v>2.3512427270788262E-11</v>
      </c>
      <c r="O276">
        <f ca="1">BINOMDIST(Worksheet!$A$32,Worksheet!$B$15,$P276,1)</f>
        <v>1.2783229257744304E-10</v>
      </c>
      <c r="P276">
        <v>0.27500000000000002</v>
      </c>
    </row>
    <row r="277" spans="5:16" x14ac:dyDescent="0.2">
      <c r="E277">
        <f ca="1">BINOMDIST(Worksheet!$A$22,Worksheet!$B$15,$P277,1)</f>
        <v>1.9035157926259673E-21</v>
      </c>
      <c r="F277">
        <f ca="1">BINOMDIST(Worksheet!$A$23,Worksheet!$B$15,$P277,1)</f>
        <v>1.089461270181738E-19</v>
      </c>
      <c r="G277">
        <f ca="1">BINOMDIST(Worksheet!$A$24,Worksheet!$B$15,$P277,1)</f>
        <v>3.0984722774440917E-18</v>
      </c>
      <c r="H277">
        <f ca="1">BINOMDIST(Worksheet!$A$25,Worksheet!$B$15,$P277,1)</f>
        <v>5.8384117037248792E-17</v>
      </c>
      <c r="I277">
        <f ca="1">BINOMDIST(Worksheet!$A$26,Worksheet!$B$15,$P277,1)</f>
        <v>8.199705264626055E-16</v>
      </c>
      <c r="J277">
        <f ca="1">BINOMDIST(Worksheet!$A$27,Worksheet!$B$15,$P277,1)</f>
        <v>9.1554603464266011E-15</v>
      </c>
      <c r="K277">
        <f ca="1">BINOMDIST(Worksheet!$A$28,Worksheet!$B$15,$P277,1)</f>
        <v>8.46570871454396E-14</v>
      </c>
      <c r="L277">
        <f ca="1">BINOMDIST(Worksheet!$A$29,Worksheet!$B$15,$P277,1)</f>
        <v>6.6677136129713537E-13</v>
      </c>
      <c r="M277">
        <f ca="1">BINOMDIST(Worksheet!$A$30,Worksheet!$B$15,$P277,1)</f>
        <v>4.5663757309070326E-12</v>
      </c>
      <c r="N277">
        <f ca="1">BINOMDIST(Worksheet!$A$31,Worksheet!$B$15,$P277,1)</f>
        <v>2.7623816076102616E-11</v>
      </c>
      <c r="O277">
        <f ca="1">BINOMDIST(Worksheet!$A$32,Worksheet!$B$15,$P277,1)</f>
        <v>1.4945348710113109E-10</v>
      </c>
      <c r="P277">
        <v>0.27400000000000002</v>
      </c>
    </row>
    <row r="278" spans="5:16" x14ac:dyDescent="0.2">
      <c r="E278">
        <f ca="1">BINOMDIST(Worksheet!$A$22,Worksheet!$B$15,$P278,1)</f>
        <v>2.3368305303501181E-21</v>
      </c>
      <c r="F278">
        <f ca="1">BINOMDIST(Worksheet!$A$23,Worksheet!$B$15,$P278,1)</f>
        <v>1.3308683807237449E-19</v>
      </c>
      <c r="G278">
        <f ca="1">BINOMDIST(Worksheet!$A$24,Worksheet!$B$15,$P278,1)</f>
        <v>3.7663903488893983E-18</v>
      </c>
      <c r="H278">
        <f ca="1">BINOMDIST(Worksheet!$A$25,Worksheet!$B$15,$P278,1)</f>
        <v>7.062017448121309E-17</v>
      </c>
      <c r="I278">
        <f ca="1">BINOMDIST(Worksheet!$A$26,Worksheet!$B$15,$P278,1)</f>
        <v>9.8694002590698909E-16</v>
      </c>
      <c r="J278">
        <f ca="1">BINOMDIST(Worksheet!$A$27,Worksheet!$B$15,$P278,1)</f>
        <v>1.0965625395560182E-14</v>
      </c>
      <c r="K278">
        <f ca="1">BINOMDIST(Worksheet!$A$28,Worksheet!$B$15,$P278,1)</f>
        <v>1.0089732627859694E-13</v>
      </c>
      <c r="L278">
        <f ca="1">BINOMDIST(Worksheet!$A$29,Worksheet!$B$15,$P278,1)</f>
        <v>7.9078604130568891E-13</v>
      </c>
      <c r="M278">
        <f ca="1">BINOMDIST(Worksheet!$A$30,Worksheet!$B$15,$P278,1)</f>
        <v>5.3891742680492015E-12</v>
      </c>
      <c r="N278">
        <f ca="1">BINOMDIST(Worksheet!$A$31,Worksheet!$B$15,$P278,1)</f>
        <v>3.2441865390170216E-11</v>
      </c>
      <c r="O278">
        <f ca="1">BINOMDIST(Worksheet!$A$32,Worksheet!$B$15,$P278,1)</f>
        <v>1.7466385365529604E-10</v>
      </c>
      <c r="P278">
        <v>0.27300000000000002</v>
      </c>
    </row>
    <row r="279" spans="5:16" x14ac:dyDescent="0.2">
      <c r="E279">
        <f ca="1">BINOMDIST(Worksheet!$A$22,Worksheet!$B$15,$P279,1)</f>
        <v>2.8679760325263467E-21</v>
      </c>
      <c r="F279">
        <f ca="1">BINOMDIST(Worksheet!$A$23,Worksheet!$B$15,$P279,1)</f>
        <v>1.6252914724987206E-19</v>
      </c>
      <c r="G279">
        <f ca="1">BINOMDIST(Worksheet!$A$24,Worksheet!$B$15,$P279,1)</f>
        <v>4.5768973536547276E-18</v>
      </c>
      <c r="H279">
        <f ca="1">BINOMDIST(Worksheet!$A$25,Worksheet!$B$15,$P279,1)</f>
        <v>8.5393792209374374E-17</v>
      </c>
      <c r="I279">
        <f ca="1">BINOMDIST(Worksheet!$A$26,Worksheet!$B$15,$P279,1)</f>
        <v>1.1875230945824386E-15</v>
      </c>
      <c r="J279">
        <f ca="1">BINOMDIST(Worksheet!$A$27,Worksheet!$B$15,$P279,1)</f>
        <v>1.3129275755459807E-14</v>
      </c>
      <c r="K279">
        <f ca="1">BINOMDIST(Worksheet!$A$28,Worksheet!$B$15,$P279,1)</f>
        <v>1.2021136554970072E-13</v>
      </c>
      <c r="L279">
        <f ca="1">BINOMDIST(Worksheet!$A$29,Worksheet!$B$15,$P279,1)</f>
        <v>9.3753180602003044E-13</v>
      </c>
      <c r="M279">
        <f ca="1">BINOMDIST(Worksheet!$A$30,Worksheet!$B$15,$P279,1)</f>
        <v>6.3578931886996311E-12</v>
      </c>
      <c r="N279">
        <f ca="1">BINOMDIST(Worksheet!$A$31,Worksheet!$B$15,$P279,1)</f>
        <v>3.8085869340794846E-11</v>
      </c>
      <c r="O279">
        <f ca="1">BINOMDIST(Worksheet!$A$32,Worksheet!$B$15,$P279,1)</f>
        <v>2.0404759075175438E-10</v>
      </c>
      <c r="P279">
        <v>0.27200000000000002</v>
      </c>
    </row>
    <row r="280" spans="5:16" x14ac:dyDescent="0.2">
      <c r="E280">
        <f ca="1">BINOMDIST(Worksheet!$A$22,Worksheet!$B$15,$P280,1)</f>
        <v>3.5188578193916873E-21</v>
      </c>
      <c r="F280">
        <f ca="1">BINOMDIST(Worksheet!$A$23,Worksheet!$B$15,$P280,1)</f>
        <v>1.9842689607620484E-19</v>
      </c>
      <c r="G280">
        <f ca="1">BINOMDIST(Worksheet!$A$24,Worksheet!$B$15,$P280,1)</f>
        <v>5.5601358113054648E-18</v>
      </c>
      <c r="H280">
        <f ca="1">BINOMDIST(Worksheet!$A$25,Worksheet!$B$15,$P280,1)</f>
        <v>1.0322561274591364E-16</v>
      </c>
      <c r="I280">
        <f ca="1">BINOMDIST(Worksheet!$A$26,Worksheet!$B$15,$P280,1)</f>
        <v>1.4284081437454692E-15</v>
      </c>
      <c r="J280">
        <f ca="1">BINOMDIST(Worksheet!$A$27,Worksheet!$B$15,$P280,1)</f>
        <v>1.5714566595220795E-14</v>
      </c>
      <c r="K280">
        <f ca="1">BINOMDIST(Worksheet!$A$28,Worksheet!$B$15,$P280,1)</f>
        <v>1.4317296792360959E-13</v>
      </c>
      <c r="L280">
        <f ca="1">BINOMDIST(Worksheet!$A$29,Worksheet!$B$15,$P280,1)</f>
        <v>1.1111124989208764E-12</v>
      </c>
      <c r="M280">
        <f ca="1">BINOMDIST(Worksheet!$A$30,Worksheet!$B$15,$P280,1)</f>
        <v>7.4979864755732782E-12</v>
      </c>
      <c r="N280">
        <f ca="1">BINOMDIST(Worksheet!$A$31,Worksheet!$B$15,$P280,1)</f>
        <v>4.4694883522039498E-11</v>
      </c>
      <c r="O280">
        <f ca="1">BINOMDIST(Worksheet!$A$32,Worksheet!$B$15,$P280,1)</f>
        <v>2.3828202672408888E-10</v>
      </c>
      <c r="P280">
        <v>0.27100000000000002</v>
      </c>
    </row>
    <row r="281" spans="5:16" x14ac:dyDescent="0.2">
      <c r="E281">
        <f ca="1">BINOMDIST(Worksheet!$A$22,Worksheet!$B$15,$P281,1)</f>
        <v>4.3162456925467675E-21</v>
      </c>
      <c r="F281">
        <f ca="1">BINOMDIST(Worksheet!$A$23,Worksheet!$B$15,$P281,1)</f>
        <v>2.4218277200919961E-19</v>
      </c>
      <c r="G281">
        <f ca="1">BINOMDIST(Worksheet!$A$24,Worksheet!$B$15,$P281,1)</f>
        <v>6.7525570128403329E-18</v>
      </c>
      <c r="H281">
        <f ca="1">BINOMDIST(Worksheet!$A$25,Worksheet!$B$15,$P281,1)</f>
        <v>1.2474194222680655E-16</v>
      </c>
      <c r="I281">
        <f ca="1">BINOMDIST(Worksheet!$A$26,Worksheet!$B$15,$P281,1)</f>
        <v>1.7175986426153516E-15</v>
      </c>
      <c r="J281">
        <f ca="1">BINOMDIST(Worksheet!$A$27,Worksheet!$B$15,$P281,1)</f>
        <v>1.8802623250892503E-14</v>
      </c>
      <c r="K281">
        <f ca="1">BINOMDIST(Worksheet!$A$28,Worksheet!$B$15,$P281,1)</f>
        <v>1.7046147182847597E-13</v>
      </c>
      <c r="L281">
        <f ca="1">BINOMDIST(Worksheet!$A$29,Worksheet!$B$15,$P281,1)</f>
        <v>1.3163613042317066E-12</v>
      </c>
      <c r="M281">
        <f ca="1">BINOMDIST(Worksheet!$A$30,Worksheet!$B$15,$P281,1)</f>
        <v>8.8392721902488155E-12</v>
      </c>
      <c r="N281">
        <f ca="1">BINOMDIST(Worksheet!$A$31,Worksheet!$B$15,$P281,1)</f>
        <v>5.2430933899635601E-11</v>
      </c>
      <c r="O281">
        <f ca="1">BINOMDIST(Worksheet!$A$32,Worksheet!$B$15,$P281,1)</f>
        <v>2.781521411071453E-10</v>
      </c>
      <c r="P281">
        <v>0.27</v>
      </c>
    </row>
    <row r="282" spans="5:16" x14ac:dyDescent="0.2">
      <c r="E282">
        <f ca="1">BINOMDIST(Worksheet!$A$22,Worksheet!$B$15,$P282,1)</f>
        <v>5.2928448876138747E-21</v>
      </c>
      <c r="F282">
        <f ca="1">BINOMDIST(Worksheet!$A$23,Worksheet!$B$15,$P282,1)</f>
        <v>2.9550148502503127E-19</v>
      </c>
      <c r="G282">
        <f ca="1">BINOMDIST(Worksheet!$A$24,Worksheet!$B$15,$P282,1)</f>
        <v>8.1982281479189573E-18</v>
      </c>
      <c r="H282">
        <f ca="1">BINOMDIST(Worksheet!$A$25,Worksheet!$B$15,$P282,1)</f>
        <v>1.5069595748253529E-16</v>
      </c>
      <c r="I282">
        <f ca="1">BINOMDIST(Worksheet!$A$26,Worksheet!$B$15,$P282,1)</f>
        <v>2.0646685367874957E-15</v>
      </c>
      <c r="J282">
        <f ca="1">BINOMDIST(Worksheet!$A$27,Worksheet!$B$15,$P282,1)</f>
        <v>2.2489976459028374E-14</v>
      </c>
      <c r="K282">
        <f ca="1">BINOMDIST(Worksheet!$A$28,Worksheet!$B$15,$P282,1)</f>
        <v>2.0288093124149986E-13</v>
      </c>
      <c r="L282">
        <f ca="1">BINOMDIST(Worksheet!$A$29,Worksheet!$B$15,$P282,1)</f>
        <v>1.5589682592886589E-12</v>
      </c>
      <c r="M282">
        <f ca="1">BINOMDIST(Worksheet!$A$30,Worksheet!$B$15,$P282,1)</f>
        <v>1.0416667260100172E-11</v>
      </c>
      <c r="N282">
        <f ca="1">BINOMDIST(Worksheet!$A$31,Worksheet!$B$15,$P282,1)</f>
        <v>6.1482735872621572E-11</v>
      </c>
      <c r="O282">
        <f ca="1">BINOMDIST(Worksheet!$A$32,Worksheet!$B$15,$P282,1)</f>
        <v>3.2456729728815496E-10</v>
      </c>
      <c r="P282">
        <v>0.26900000000000002</v>
      </c>
    </row>
    <row r="283" spans="5:16" x14ac:dyDescent="0.2">
      <c r="E283">
        <f ca="1">BINOMDIST(Worksheet!$A$22,Worksheet!$B$15,$P283,1)</f>
        <v>6.4886011278032111E-21</v>
      </c>
      <c r="F283">
        <f ca="1">BINOMDIST(Worksheet!$A$23,Worksheet!$B$15,$P283,1)</f>
        <v>3.604542025423351E-19</v>
      </c>
      <c r="G283">
        <f ca="1">BINOMDIST(Worksheet!$A$24,Worksheet!$B$15,$P283,1)</f>
        <v>9.9504074911393533E-18</v>
      </c>
      <c r="H283">
        <f ca="1">BINOMDIST(Worksheet!$A$25,Worksheet!$B$15,$P283,1)</f>
        <v>1.8199312140624377E-16</v>
      </c>
      <c r="I283">
        <f ca="1">BINOMDIST(Worksheet!$A$26,Worksheet!$B$15,$P283,1)</f>
        <v>2.4810666562662749E-15</v>
      </c>
      <c r="J283">
        <f ca="1">BINOMDIST(Worksheet!$A$27,Worksheet!$B$15,$P283,1)</f>
        <v>2.6891448504534345E-14</v>
      </c>
      <c r="K283">
        <f ca="1">BINOMDIST(Worksheet!$A$28,Worksheet!$B$15,$P283,1)</f>
        <v>2.4138267261390509E-13</v>
      </c>
      <c r="L283">
        <f ca="1">BINOMDIST(Worksheet!$A$29,Worksheet!$B$15,$P283,1)</f>
        <v>1.8456296813507433E-12</v>
      </c>
      <c r="M283">
        <f ca="1">BINOMDIST(Worksheet!$A$30,Worksheet!$B$15,$P283,1)</f>
        <v>1.2271043643865998E-11</v>
      </c>
      <c r="N283">
        <f ca="1">BINOMDIST(Worksheet!$A$31,Worksheet!$B$15,$P283,1)</f>
        <v>7.2070002784048705E-11</v>
      </c>
      <c r="O283">
        <f ca="1">BINOMDIST(Worksheet!$A$32,Worksheet!$B$15,$P283,1)</f>
        <v>3.7858051466105191E-10</v>
      </c>
      <c r="P283">
        <v>0.26800000000000002</v>
      </c>
    </row>
    <row r="284" spans="5:16" x14ac:dyDescent="0.2">
      <c r="E284">
        <f ca="1">BINOMDIST(Worksheet!$A$22,Worksheet!$B$15,$P284,1)</f>
        <v>7.9522902238206269E-21</v>
      </c>
      <c r="F284">
        <f ca="1">BINOMDIST(Worksheet!$A$23,Worksheet!$B$15,$P284,1)</f>
        <v>4.3955660396768795E-19</v>
      </c>
      <c r="G284">
        <f ca="1">BINOMDIST(Worksheet!$A$24,Worksheet!$B$15,$P284,1)</f>
        <v>1.2073442048648883E-17</v>
      </c>
      <c r="H284">
        <f ca="1">BINOMDIST(Worksheet!$A$25,Worksheet!$B$15,$P284,1)</f>
        <v>2.1972163205242108E-16</v>
      </c>
      <c r="I284">
        <f ca="1">BINOMDIST(Worksheet!$A$26,Worksheet!$B$15,$P284,1)</f>
        <v>2.9804793887806017E-15</v>
      </c>
      <c r="J284">
        <f ca="1">BINOMDIST(Worksheet!$A$27,Worksheet!$B$15,$P284,1)</f>
        <v>3.2143572581613176E-14</v>
      </c>
      <c r="K284">
        <f ca="1">BINOMDIST(Worksheet!$A$28,Worksheet!$B$15,$P284,1)</f>
        <v>2.8709186887038639E-13</v>
      </c>
      <c r="L284">
        <f ca="1">BINOMDIST(Worksheet!$A$29,Worksheet!$B$15,$P284,1)</f>
        <v>2.1842232079079448E-12</v>
      </c>
      <c r="M284">
        <f ca="1">BINOMDIST(Worksheet!$A$30,Worksheet!$B$15,$P284,1)</f>
        <v>1.4450225525143594E-11</v>
      </c>
      <c r="N284">
        <f ca="1">BINOMDIST(Worksheet!$A$31,Worksheet!$B$15,$P284,1)</f>
        <v>8.4448435201810147E-11</v>
      </c>
      <c r="O284">
        <f ca="1">BINOMDIST(Worksheet!$A$32,Worksheet!$B$15,$P284,1)</f>
        <v>4.4141065589946229E-10</v>
      </c>
      <c r="P284">
        <v>0.26700000000000002</v>
      </c>
    </row>
    <row r="285" spans="5:16" x14ac:dyDescent="0.2">
      <c r="E285">
        <f ca="1">BINOMDIST(Worksheet!$A$22,Worksheet!$B$15,$P285,1)</f>
        <v>9.7434537387250142E-21</v>
      </c>
      <c r="F285">
        <f ca="1">BINOMDIST(Worksheet!$A$23,Worksheet!$B$15,$P285,1)</f>
        <v>5.3586340670960669E-19</v>
      </c>
      <c r="G285">
        <f ca="1">BINOMDIST(Worksheet!$A$24,Worksheet!$B$15,$P285,1)</f>
        <v>1.4645052990195765E-17</v>
      </c>
      <c r="H285">
        <f ca="1">BINOMDIST(Worksheet!$A$25,Worksheet!$B$15,$P285,1)</f>
        <v>2.6518889090730569E-16</v>
      </c>
      <c r="I285">
        <f ca="1">BINOMDIST(Worksheet!$A$26,Worksheet!$B$15,$P285,1)</f>
        <v>3.5792626270615563E-15</v>
      </c>
      <c r="J285">
        <f ca="1">BINOMDIST(Worksheet!$A$27,Worksheet!$B$15,$P285,1)</f>
        <v>3.8408642464519187E-14</v>
      </c>
      <c r="K285">
        <f ca="1">BINOMDIST(Worksheet!$A$28,Worksheet!$B$15,$P285,1)</f>
        <v>3.4133883440229789E-13</v>
      </c>
      <c r="L285">
        <f ca="1">BINOMDIST(Worksheet!$A$29,Worksheet!$B$15,$P285,1)</f>
        <v>2.5840127621814389E-12</v>
      </c>
      <c r="M285">
        <f ca="1">BINOMDIST(Worksheet!$A$30,Worksheet!$B$15,$P285,1)</f>
        <v>1.7010150296253942E-11</v>
      </c>
      <c r="N285">
        <f ca="1">BINOMDIST(Worksheet!$A$31,Worksheet!$B$15,$P285,1)</f>
        <v>9.8915496095969873E-11</v>
      </c>
      <c r="O285">
        <f ca="1">BINOMDIST(Worksheet!$A$32,Worksheet!$B$15,$P285,1)</f>
        <v>5.1446795898172225E-10</v>
      </c>
      <c r="P285">
        <v>0.26600000000000001</v>
      </c>
    </row>
    <row r="286" spans="5:16" x14ac:dyDescent="0.2">
      <c r="E286">
        <f ca="1">BINOMDIST(Worksheet!$A$22,Worksheet!$B$15,$P286,1)</f>
        <v>1.1934755424022121E-20</v>
      </c>
      <c r="F286">
        <f ca="1">BINOMDIST(Worksheet!$A$23,Worksheet!$B$15,$P286,1)</f>
        <v>6.5308280701247422E-19</v>
      </c>
      <c r="G286">
        <f ca="1">BINOMDIST(Worksheet!$A$24,Worksheet!$B$15,$P286,1)</f>
        <v>1.7759087285447154E-17</v>
      </c>
      <c r="H286">
        <f ca="1">BINOMDIST(Worksheet!$A$25,Worksheet!$B$15,$P286,1)</f>
        <v>3.1996516640446082E-16</v>
      </c>
      <c r="I286">
        <f ca="1">BINOMDIST(Worksheet!$A$26,Worksheet!$B$15,$P286,1)</f>
        <v>4.2969560511373404E-15</v>
      </c>
      <c r="J286">
        <f ca="1">BINOMDIST(Worksheet!$A$27,Worksheet!$B$15,$P286,1)</f>
        <v>4.587950700239181E-14</v>
      </c>
      <c r="K286">
        <f ca="1">BINOMDIST(Worksheet!$A$28,Worksheet!$B$15,$P286,1)</f>
        <v>4.0569586625406431E-13</v>
      </c>
      <c r="L286">
        <f ca="1">BINOMDIST(Worksheet!$A$29,Worksheet!$B$15,$P286,1)</f>
        <v>3.0558884675839322E-12</v>
      </c>
      <c r="M286">
        <f ca="1">BINOMDIST(Worksheet!$A$30,Worksheet!$B$15,$P286,1)</f>
        <v>2.001621969004012E-11</v>
      </c>
      <c r="N286">
        <f ca="1">BINOMDIST(Worksheet!$A$31,Worksheet!$B$15,$P286,1)</f>
        <v>1.1581709287629522E-10</v>
      </c>
      <c r="O286">
        <f ca="1">BINOMDIST(Worksheet!$A$32,Worksheet!$B$15,$P286,1)</f>
        <v>5.9938340514977462E-10</v>
      </c>
      <c r="P286">
        <v>0.26500000000000001</v>
      </c>
    </row>
    <row r="287" spans="5:16" x14ac:dyDescent="0.2">
      <c r="E287">
        <f ca="1">BINOMDIST(Worksheet!$A$22,Worksheet!$B$15,$P287,1)</f>
        <v>1.4614849123935405E-20</v>
      </c>
      <c r="F287">
        <f ca="1">BINOMDIST(Worksheet!$A$23,Worksheet!$B$15,$P287,1)</f>
        <v>7.957149919760007E-19</v>
      </c>
      <c r="G287">
        <f ca="1">BINOMDIST(Worksheet!$A$24,Worksheet!$B$15,$P287,1)</f>
        <v>2.1528829653332015E-17</v>
      </c>
      <c r="H287">
        <f ca="1">BINOMDIST(Worksheet!$A$25,Worksheet!$B$15,$P287,1)</f>
        <v>3.8593585582086013E-16</v>
      </c>
      <c r="I287">
        <f ca="1">BINOMDIST(Worksheet!$A$26,Worksheet!$B$15,$P287,1)</f>
        <v>5.156895236459843E-15</v>
      </c>
      <c r="J287">
        <f ca="1">BINOMDIST(Worksheet!$A$27,Worksheet!$B$15,$P287,1)</f>
        <v>5.4785244445933033E-14</v>
      </c>
      <c r="K287">
        <f ca="1">BINOMDIST(Worksheet!$A$28,Worksheet!$B$15,$P287,1)</f>
        <v>4.8202059851009196E-13</v>
      </c>
      <c r="L287">
        <f ca="1">BINOMDIST(Worksheet!$A$29,Worksheet!$B$15,$P287,1)</f>
        <v>3.6126473622193762E-12</v>
      </c>
      <c r="M287">
        <f ca="1">BINOMDIST(Worksheet!$A$30,Worksheet!$B$15,$P287,1)</f>
        <v>2.35448715670314E-11</v>
      </c>
      <c r="N287">
        <f ca="1">BINOMDIST(Worksheet!$A$31,Worksheet!$B$15,$P287,1)</f>
        <v>1.3555530541363776E-10</v>
      </c>
      <c r="O287">
        <f ca="1">BINOMDIST(Worksheet!$A$32,Worksheet!$B$15,$P287,1)</f>
        <v>6.9804248407812128E-10</v>
      </c>
      <c r="P287">
        <v>0.26400000000000001</v>
      </c>
    </row>
    <row r="288" spans="5:16" x14ac:dyDescent="0.2">
      <c r="E288">
        <f ca="1">BINOMDIST(Worksheet!$A$22,Worksheet!$B$15,$P288,1)</f>
        <v>1.7891868229073707E-20</v>
      </c>
      <c r="F288">
        <f ca="1">BINOMDIST(Worksheet!$A$23,Worksheet!$B$15,$P288,1)</f>
        <v>9.6921973836843546E-19</v>
      </c>
      <c r="G288">
        <f ca="1">BINOMDIST(Worksheet!$A$24,Worksheet!$B$15,$P288,1)</f>
        <v>2.6090987728398713E-17</v>
      </c>
      <c r="H288">
        <f ca="1">BINOMDIST(Worksheet!$A$25,Worksheet!$B$15,$P288,1)</f>
        <v>4.6536401905474693E-16</v>
      </c>
      <c r="I288">
        <f ca="1">BINOMDIST(Worksheet!$A$26,Worksheet!$B$15,$P288,1)</f>
        <v>6.186939954220683E-15</v>
      </c>
      <c r="J288">
        <f ca="1">BINOMDIST(Worksheet!$A$27,Worksheet!$B$15,$P288,1)</f>
        <v>6.5397875717464502E-14</v>
      </c>
      <c r="K288">
        <f ca="1">BINOMDIST(Worksheet!$A$28,Worksheet!$B$15,$P288,1)</f>
        <v>5.7250700263414397E-13</v>
      </c>
      <c r="L288">
        <f ca="1">BINOMDIST(Worksheet!$A$29,Worksheet!$B$15,$P288,1)</f>
        <v>4.2693217252954162E-12</v>
      </c>
      <c r="M288">
        <f ca="1">BINOMDIST(Worksheet!$A$30,Worksheet!$B$15,$P288,1)</f>
        <v>2.7685407653468243E-11</v>
      </c>
      <c r="N288">
        <f ca="1">BINOMDIST(Worksheet!$A$31,Worksheet!$B$15,$P288,1)</f>
        <v>1.5859731998189212E-10</v>
      </c>
      <c r="O288">
        <f ca="1">BINOMDIST(Worksheet!$A$32,Worksheet!$B$15,$P288,1)</f>
        <v>8.1262399731331382E-10</v>
      </c>
      <c r="P288">
        <v>0.26300000000000001</v>
      </c>
    </row>
    <row r="289" spans="5:16" x14ac:dyDescent="0.2">
      <c r="E289">
        <f ca="1">BINOMDIST(Worksheet!$A$22,Worksheet!$B$15,$P289,1)</f>
        <v>2.1897670252669645E-20</v>
      </c>
      <c r="F289">
        <f ca="1">BINOMDIST(Worksheet!$A$23,Worksheet!$B$15,$P289,1)</f>
        <v>1.1802191490110896E-18</v>
      </c>
      <c r="G289">
        <f ca="1">BINOMDIST(Worksheet!$A$24,Worksheet!$B$15,$P289,1)</f>
        <v>3.1610485856556193E-17</v>
      </c>
      <c r="H289">
        <f ca="1">BINOMDIST(Worksheet!$A$25,Worksheet!$B$15,$P289,1)</f>
        <v>5.6096517961192836E-16</v>
      </c>
      <c r="I289">
        <f ca="1">BINOMDIST(Worksheet!$A$26,Worksheet!$B$15,$P289,1)</f>
        <v>7.4203404321629195E-15</v>
      </c>
      <c r="J289">
        <f ca="1">BINOMDIST(Worksheet!$A$27,Worksheet!$B$15,$P289,1)</f>
        <v>7.8040304075634605E-14</v>
      </c>
      <c r="K289">
        <f ca="1">BINOMDIST(Worksheet!$A$28,Worksheet!$B$15,$P289,1)</f>
        <v>6.7974536015985006E-13</v>
      </c>
      <c r="L289">
        <f ca="1">BINOMDIST(Worksheet!$A$29,Worksheet!$B$15,$P289,1)</f>
        <v>5.0435629426707408E-12</v>
      </c>
      <c r="M289">
        <f ca="1">BINOMDIST(Worksheet!$A$30,Worksheet!$B$15,$P289,1)</f>
        <v>3.2542118047639464E-11</v>
      </c>
      <c r="N289">
        <f ca="1">BINOMDIST(Worksheet!$A$31,Worksheet!$B$15,$P289,1)</f>
        <v>1.8548575289975447E-10</v>
      </c>
      <c r="O289">
        <f ca="1">BINOMDIST(Worksheet!$A$32,Worksheet!$B$15,$P289,1)</f>
        <v>9.4564463181243648E-10</v>
      </c>
      <c r="P289">
        <v>0.26200000000000001</v>
      </c>
    </row>
    <row r="290" spans="5:16" x14ac:dyDescent="0.2">
      <c r="E290">
        <f ca="1">BINOMDIST(Worksheet!$A$22,Worksheet!$B$15,$P290,1)</f>
        <v>2.6792998565201139E-20</v>
      </c>
      <c r="F290">
        <f ca="1">BINOMDIST(Worksheet!$A$23,Worksheet!$B$15,$P290,1)</f>
        <v>1.4367428242784664E-18</v>
      </c>
      <c r="G290">
        <f ca="1">BINOMDIST(Worksheet!$A$24,Worksheet!$B$15,$P290,1)</f>
        <v>3.8286229879523618E-17</v>
      </c>
      <c r="H290">
        <f ca="1">BINOMDIST(Worksheet!$A$25,Worksheet!$B$15,$P290,1)</f>
        <v>6.7599677108321718E-16</v>
      </c>
      <c r="I290">
        <f ca="1">BINOMDIST(Worksheet!$A$26,Worksheet!$B$15,$P290,1)</f>
        <v>8.8967673675337937E-15</v>
      </c>
      <c r="J290">
        <f ca="1">BINOMDIST(Worksheet!$A$27,Worksheet!$B$15,$P290,1)</f>
        <v>9.3095701933886041E-14</v>
      </c>
      <c r="K290">
        <f ca="1">BINOMDIST(Worksheet!$A$28,Worksheet!$B$15,$P290,1)</f>
        <v>8.0679276028792297E-13</v>
      </c>
      <c r="L290">
        <f ca="1">BINOMDIST(Worksheet!$A$29,Worksheet!$B$15,$P290,1)</f>
        <v>5.9560901329822408E-12</v>
      </c>
      <c r="M290">
        <f ca="1">BINOMDIST(Worksheet!$A$30,Worksheet!$B$15,$P290,1)</f>
        <v>3.8236749677433592E-11</v>
      </c>
      <c r="N290">
        <f ca="1">BINOMDIST(Worksheet!$A$31,Worksheet!$B$15,$P290,1)</f>
        <v>2.1685057495112943E-10</v>
      </c>
      <c r="O290">
        <f ca="1">BINOMDIST(Worksheet!$A$32,Worksheet!$B$15,$P290,1)</f>
        <v>1.1000101386183677E-9</v>
      </c>
      <c r="P290">
        <v>0.26100000000000001</v>
      </c>
    </row>
    <row r="291" spans="5:16" x14ac:dyDescent="0.2">
      <c r="E291">
        <f ca="1">BINOMDIST(Worksheet!$A$22,Worksheet!$B$15,$P291,1)</f>
        <v>3.277375779928494E-20</v>
      </c>
      <c r="F291">
        <f ca="1">BINOMDIST(Worksheet!$A$23,Worksheet!$B$15,$P291,1)</f>
        <v>1.7485242674537514E-18</v>
      </c>
      <c r="G291">
        <f ca="1">BINOMDIST(Worksheet!$A$24,Worksheet!$B$15,$P291,1)</f>
        <v>4.635803751846984E-17</v>
      </c>
      <c r="H291">
        <f ca="1">BINOMDIST(Worksheet!$A$25,Worksheet!$B$15,$P291,1)</f>
        <v>8.1436506294812472E-16</v>
      </c>
      <c r="I291">
        <f ca="1">BINOMDIST(Worksheet!$A$26,Worksheet!$B$15,$P291,1)</f>
        <v>1.0663536240417605E-14</v>
      </c>
      <c r="J291">
        <f ca="1">BINOMDIST(Worksheet!$A$27,Worksheet!$B$15,$P291,1)</f>
        <v>1.1101860472436337E-13</v>
      </c>
      <c r="K291">
        <f ca="1">BINOMDIST(Worksheet!$A$28,Worksheet!$B$15,$P291,1)</f>
        <v>9.5725593896736447E-13</v>
      </c>
      <c r="L291">
        <f ca="1">BINOMDIST(Worksheet!$A$29,Worksheet!$B$15,$P291,1)</f>
        <v>7.0312142569509113E-12</v>
      </c>
      <c r="M291">
        <f ca="1">BINOMDIST(Worksheet!$A$30,Worksheet!$B$15,$P291,1)</f>
        <v>4.491137322653748E-11</v>
      </c>
      <c r="N291">
        <f ca="1">BINOMDIST(Worksheet!$A$31,Worksheet!$B$15,$P291,1)</f>
        <v>2.5342287890597485E-10</v>
      </c>
      <c r="O291">
        <f ca="1">BINOMDIST(Worksheet!$A$32,Worksheet!$B$15,$P291,1)</f>
        <v>1.2790740690048256E-9</v>
      </c>
      <c r="P291">
        <v>0.26</v>
      </c>
    </row>
    <row r="292" spans="5:16" x14ac:dyDescent="0.2">
      <c r="E292">
        <f ca="1">BINOMDIST(Worksheet!$A$22,Worksheet!$B$15,$P292,1)</f>
        <v>4.0078641185859465E-20</v>
      </c>
      <c r="F292">
        <f ca="1">BINOMDIST(Worksheet!$A$23,Worksheet!$B$15,$P292,1)</f>
        <v>2.1273591297196042E-18</v>
      </c>
      <c r="G292">
        <f ca="1">BINOMDIST(Worksheet!$A$24,Worksheet!$B$15,$P292,1)</f>
        <v>5.6114967555141729E-17</v>
      </c>
      <c r="H292">
        <f ca="1">BINOMDIST(Worksheet!$A$25,Worksheet!$B$15,$P292,1)</f>
        <v>9.8075294127582738E-16</v>
      </c>
      <c r="I292">
        <f ca="1">BINOMDIST(Worksheet!$A$26,Worksheet!$B$15,$P292,1)</f>
        <v>1.2777062097238735E-14</v>
      </c>
      <c r="J292">
        <f ca="1">BINOMDIST(Worksheet!$A$27,Worksheet!$B$15,$P292,1)</f>
        <v>1.3234801765788312E-13</v>
      </c>
      <c r="K292">
        <f ca="1">BINOMDIST(Worksheet!$A$28,Worksheet!$B$15,$P292,1)</f>
        <v>1.1353885841423177E-12</v>
      </c>
      <c r="L292">
        <f ca="1">BINOMDIST(Worksheet!$A$29,Worksheet!$B$15,$P292,1)</f>
        <v>8.2974501728996112E-12</v>
      </c>
      <c r="M292">
        <f ca="1">BINOMDIST(Worksheet!$A$30,Worksheet!$B$15,$P292,1)</f>
        <v>5.2731711493971796E-11</v>
      </c>
      <c r="N292">
        <f ca="1">BINOMDIST(Worksheet!$A$31,Worksheet!$B$15,$P292,1)</f>
        <v>2.9605076820175949E-10</v>
      </c>
      <c r="O292">
        <f ca="1">BINOMDIST(Worksheet!$A$32,Worksheet!$B$15,$P292,1)</f>
        <v>1.4867051536571318E-9</v>
      </c>
      <c r="P292">
        <v>0.25900000000000001</v>
      </c>
    </row>
    <row r="293" spans="5:16" x14ac:dyDescent="0.2">
      <c r="E293">
        <f ca="1">BINOMDIST(Worksheet!$A$22,Worksheet!$B$15,$P293,1)</f>
        <v>4.8998398626082156E-20</v>
      </c>
      <c r="F293">
        <f ca="1">BINOMDIST(Worksheet!$A$23,Worksheet!$B$15,$P293,1)</f>
        <v>2.5875380751541847E-18</v>
      </c>
      <c r="G293">
        <f ca="1">BINOMDIST(Worksheet!$A$24,Worksheet!$B$15,$P293,1)</f>
        <v>6.7905327164473021E-17</v>
      </c>
      <c r="H293">
        <f ca="1">BINOMDIST(Worksheet!$A$25,Worksheet!$B$15,$P293,1)</f>
        <v>1.1807725639126797E-15</v>
      </c>
      <c r="I293">
        <f ca="1">BINOMDIST(Worksheet!$A$26,Worksheet!$B$15,$P293,1)</f>
        <v>1.5304587615742684E-14</v>
      </c>
      <c r="J293">
        <f ca="1">BINOMDIST(Worksheet!$A$27,Worksheet!$B$15,$P293,1)</f>
        <v>1.5772289518689129E-13</v>
      </c>
      <c r="K293">
        <f ca="1">BINOMDIST(Worksheet!$A$28,Worksheet!$B$15,$P293,1)</f>
        <v>1.3462055912523163E-12</v>
      </c>
      <c r="L293">
        <f ca="1">BINOMDIST(Worksheet!$A$29,Worksheet!$B$15,$P293,1)</f>
        <v>9.7882311185218317E-12</v>
      </c>
      <c r="M293">
        <f ca="1">BINOMDIST(Worksheet!$A$30,Worksheet!$B$15,$P293,1)</f>
        <v>6.1891001876110512E-11</v>
      </c>
      <c r="N293">
        <f ca="1">BINOMDIST(Worksheet!$A$31,Worksheet!$B$15,$P293,1)</f>
        <v>3.4571768570653285E-10</v>
      </c>
      <c r="O293">
        <f ca="1">BINOMDIST(Worksheet!$A$32,Worksheet!$B$15,$P293,1)</f>
        <v>1.7273645617112305E-9</v>
      </c>
      <c r="P293">
        <v>0.25800000000000001</v>
      </c>
    </row>
    <row r="294" spans="5:16" x14ac:dyDescent="0.2">
      <c r="E294">
        <f ca="1">BINOMDIST(Worksheet!$A$22,Worksheet!$B$15,$P294,1)</f>
        <v>5.9887095477677685E-20</v>
      </c>
      <c r="F294">
        <f ca="1">BINOMDIST(Worksheet!$A$23,Worksheet!$B$15,$P294,1)</f>
        <v>3.1463696622700182E-18</v>
      </c>
      <c r="G294">
        <f ca="1">BINOMDIST(Worksheet!$A$24,Worksheet!$B$15,$P294,1)</f>
        <v>8.2148691943907323E-17</v>
      </c>
      <c r="H294">
        <f ca="1">BINOMDIST(Worksheet!$A$25,Worksheet!$B$15,$P294,1)</f>
        <v>1.4211476751103441E-15</v>
      </c>
      <c r="I294">
        <f ca="1">BINOMDIST(Worksheet!$A$26,Worksheet!$B$15,$P294,1)</f>
        <v>1.8326235106594478E-14</v>
      </c>
      <c r="J294">
        <f ca="1">BINOMDIST(Worksheet!$A$27,Worksheet!$B$15,$P294,1)</f>
        <v>1.8790041630020379E-13</v>
      </c>
      <c r="K294">
        <f ca="1">BINOMDIST(Worksheet!$A$28,Worksheet!$B$15,$P294,1)</f>
        <v>1.5956171721577767E-12</v>
      </c>
      <c r="L294">
        <f ca="1">BINOMDIST(Worksheet!$A$29,Worksheet!$B$15,$P294,1)</f>
        <v>1.154274243547675E-11</v>
      </c>
      <c r="M294">
        <f ca="1">BINOMDIST(Worksheet!$A$30,Worksheet!$B$15,$P294,1)</f>
        <v>7.2614476849939008E-11</v>
      </c>
      <c r="N294">
        <f ca="1">BINOMDIST(Worksheet!$A$31,Worksheet!$B$15,$P294,1)</f>
        <v>4.035635481789139E-10</v>
      </c>
      <c r="O294">
        <f ca="1">BINOMDIST(Worksheet!$A$32,Worksheet!$B$15,$P294,1)</f>
        <v>2.0061944481003907E-9</v>
      </c>
      <c r="P294">
        <v>0.25700000000000001</v>
      </c>
    </row>
    <row r="295" spans="5:16" x14ac:dyDescent="0.2">
      <c r="E295">
        <f ca="1">BINOMDIST(Worksheet!$A$22,Worksheet!$B$15,$P295,1)</f>
        <v>7.3175786056604969E-20</v>
      </c>
      <c r="F295">
        <f ca="1">BINOMDIST(Worksheet!$A$23,Worksheet!$B$15,$P295,1)</f>
        <v>3.8248117851737346E-18</v>
      </c>
      <c r="G295">
        <f ca="1">BINOMDIST(Worksheet!$A$24,Worksheet!$B$15,$P295,1)</f>
        <v>9.9350339160542594E-17</v>
      </c>
      <c r="H295">
        <f ca="1">BINOMDIST(Worksheet!$A$25,Worksheet!$B$15,$P295,1)</f>
        <v>1.709931273833431E-15</v>
      </c>
      <c r="I295">
        <f ca="1">BINOMDIST(Worksheet!$A$26,Worksheet!$B$15,$P295,1)</f>
        <v>2.1937442367359614E-14</v>
      </c>
      <c r="J295">
        <f ca="1">BINOMDIST(Worksheet!$A$27,Worksheet!$B$15,$P295,1)</f>
        <v>2.2377755306405128E-13</v>
      </c>
      <c r="K295">
        <f ca="1">BINOMDIST(Worksheet!$A$28,Worksheet!$B$15,$P295,1)</f>
        <v>1.8905862091399574E-12</v>
      </c>
      <c r="L295">
        <f ca="1">BINOMDIST(Worksheet!$A$29,Worksheet!$B$15,$P295,1)</f>
        <v>1.3606894058914702E-11</v>
      </c>
      <c r="M295">
        <f ca="1">BINOMDIST(Worksheet!$A$30,Worksheet!$B$15,$P295,1)</f>
        <v>8.5164559205926053E-11</v>
      </c>
      <c r="N295">
        <f ca="1">BINOMDIST(Worksheet!$A$31,Worksheet!$B$15,$P295,1)</f>
        <v>4.7090910537475875E-10</v>
      </c>
      <c r="O295">
        <f ca="1">BINOMDIST(Worksheet!$A$32,Worksheet!$B$15,$P295,1)</f>
        <v>2.3291193922955923E-9</v>
      </c>
      <c r="P295">
        <v>0.25600000000000001</v>
      </c>
    </row>
    <row r="296" spans="5:16" x14ac:dyDescent="0.2">
      <c r="E296">
        <f ca="1">BINOMDIST(Worksheet!$A$22,Worksheet!$B$15,$P296,1)</f>
        <v>8.938911540014583E-20</v>
      </c>
      <c r="F296">
        <f ca="1">BINOMDIST(Worksheet!$A$23,Worksheet!$B$15,$P296,1)</f>
        <v>4.6482340008075933E-18</v>
      </c>
      <c r="G296">
        <f ca="1">BINOMDIST(Worksheet!$A$24,Worksheet!$B$15,$P296,1)</f>
        <v>1.2011857358153065E-16</v>
      </c>
      <c r="H296">
        <f ca="1">BINOMDIST(Worksheet!$A$25,Worksheet!$B$15,$P296,1)</f>
        <v>2.0567654099051905E-15</v>
      </c>
      <c r="I296">
        <f ca="1">BINOMDIST(Worksheet!$A$26,Worksheet!$B$15,$P296,1)</f>
        <v>2.6251853234176997E-14</v>
      </c>
      <c r="J296">
        <f ca="1">BINOMDIST(Worksheet!$A$27,Worksheet!$B$15,$P296,1)</f>
        <v>2.6641651693953307E-13</v>
      </c>
      <c r="K296">
        <f ca="1">BINOMDIST(Worksheet!$A$28,Worksheet!$B$15,$P296,1)</f>
        <v>2.2393128147607146E-12</v>
      </c>
      <c r="L296">
        <f ca="1">BINOMDIST(Worksheet!$A$29,Worksheet!$B$15,$P296,1)</f>
        <v>1.6034454425508477E-11</v>
      </c>
      <c r="M296">
        <f ca="1">BINOMDIST(Worksheet!$A$30,Worksheet!$B$15,$P296,1)</f>
        <v>9.9846883574027402E-11</v>
      </c>
      <c r="N296">
        <f ca="1">BINOMDIST(Worksheet!$A$31,Worksheet!$B$15,$P296,1)</f>
        <v>5.4928400363890495E-10</v>
      </c>
      <c r="O296">
        <f ca="1">BINOMDIST(Worksheet!$A$32,Worksheet!$B$15,$P296,1)</f>
        <v>2.7029625521377171E-9</v>
      </c>
      <c r="P296">
        <v>0.255</v>
      </c>
    </row>
    <row r="297" spans="5:16" x14ac:dyDescent="0.2">
      <c r="E297">
        <f ca="1">BINOMDIST(Worksheet!$A$22,Worksheet!$B$15,$P297,1)</f>
        <v>1.0916547113333927E-19</v>
      </c>
      <c r="F297">
        <f ca="1">BINOMDIST(Worksheet!$A$23,Worksheet!$B$15,$P297,1)</f>
        <v>5.647337616592283E-18</v>
      </c>
      <c r="G297">
        <f ca="1">BINOMDIST(Worksheet!$A$24,Worksheet!$B$15,$P297,1)</f>
        <v>1.4518551944775338E-16</v>
      </c>
      <c r="H297">
        <f ca="1">BINOMDIST(Worksheet!$A$25,Worksheet!$B$15,$P297,1)</f>
        <v>2.4731911643145474E-15</v>
      </c>
      <c r="I297">
        <f ca="1">BINOMDIST(Worksheet!$A$26,Worksheet!$B$15,$P297,1)</f>
        <v>3.1404746571231449E-14</v>
      </c>
      <c r="J297">
        <f ca="1">BINOMDIST(Worksheet!$A$27,Worksheet!$B$15,$P297,1)</f>
        <v>3.1707476953014734E-13</v>
      </c>
      <c r="K297">
        <f ca="1">BINOMDIST(Worksheet!$A$28,Worksheet!$B$15,$P297,1)</f>
        <v>2.6514507212158672E-12</v>
      </c>
      <c r="L297">
        <f ca="1">BINOMDIST(Worksheet!$A$29,Worksheet!$B$15,$P297,1)</f>
        <v>1.8888372076468372E-11</v>
      </c>
      <c r="M297">
        <f ca="1">BINOMDIST(Worksheet!$A$30,Worksheet!$B$15,$P297,1)</f>
        <v>1.1701727278713298E-10</v>
      </c>
      <c r="N297">
        <f ca="1">BINOMDIST(Worksheet!$A$31,Worksheet!$B$15,$P297,1)</f>
        <v>6.4045910329826916E-10</v>
      </c>
      <c r="O297">
        <f ca="1">BINOMDIST(Worksheet!$A$32,Worksheet!$B$15,$P297,1)</f>
        <v>3.1355786063781531E-9</v>
      </c>
      <c r="P297">
        <v>0.254</v>
      </c>
    </row>
    <row r="298" spans="5:16" x14ac:dyDescent="0.2">
      <c r="E298">
        <f ca="1">BINOMDIST(Worksheet!$A$22,Worksheet!$B$15,$P298,1)</f>
        <v>1.3328143821994863E-19</v>
      </c>
      <c r="F298">
        <f ca="1">BINOMDIST(Worksheet!$A$23,Worksheet!$B$15,$P298,1)</f>
        <v>6.8592658780826331E-18</v>
      </c>
      <c r="G298">
        <f ca="1">BINOMDIST(Worksheet!$A$24,Worksheet!$B$15,$P298,1)</f>
        <v>1.7543206465065161E-16</v>
      </c>
      <c r="H298">
        <f ca="1">BINOMDIST(Worksheet!$A$25,Worksheet!$B$15,$P298,1)</f>
        <v>2.973018391803978E-15</v>
      </c>
      <c r="I298">
        <f ca="1">BINOMDIST(Worksheet!$A$26,Worksheet!$B$15,$P298,1)</f>
        <v>3.7557102646285035E-14</v>
      </c>
      <c r="J298">
        <f ca="1">BINOMDIST(Worksheet!$A$27,Worksheet!$B$15,$P298,1)</f>
        <v>3.7724040408554516E-13</v>
      </c>
      <c r="K298">
        <f ca="1">BINOMDIST(Worksheet!$A$28,Worksheet!$B$15,$P298,1)</f>
        <v>3.1383608944994695E-12</v>
      </c>
      <c r="L298">
        <f ca="1">BINOMDIST(Worksheet!$A$29,Worksheet!$B$15,$P298,1)</f>
        <v>2.2242315421691113E-11</v>
      </c>
      <c r="M298">
        <f ca="1">BINOMDIST(Worksheet!$A$30,Worksheet!$B$15,$P298,1)</f>
        <v>1.3708981715259578E-10</v>
      </c>
      <c r="N298">
        <f ca="1">BINOMDIST(Worksheet!$A$31,Worksheet!$B$15,$P298,1)</f>
        <v>7.4648367841193776E-10</v>
      </c>
      <c r="O298">
        <f ca="1">BINOMDIST(Worksheet!$A$32,Worksheet!$B$15,$P298,1)</f>
        <v>3.6360058425091091E-9</v>
      </c>
      <c r="P298">
        <v>0.253</v>
      </c>
    </row>
    <row r="299" spans="5:16" x14ac:dyDescent="0.2">
      <c r="E299">
        <f ca="1">BINOMDIST(Worksheet!$A$22,Worksheet!$B$15,$P299,1)</f>
        <v>1.626814676559026E-19</v>
      </c>
      <c r="F299">
        <f ca="1">BINOMDIST(Worksheet!$A$23,Worksheet!$B$15,$P299,1)</f>
        <v>8.3289431622331889E-18</v>
      </c>
      <c r="G299">
        <f ca="1">BINOMDIST(Worksheet!$A$24,Worksheet!$B$15,$P299,1)</f>
        <v>2.119177774944217E-16</v>
      </c>
      <c r="H299">
        <f ca="1">BINOMDIST(Worksheet!$A$25,Worksheet!$B$15,$P299,1)</f>
        <v>3.5727666094915615E-15</v>
      </c>
      <c r="I299">
        <f ca="1">BINOMDIST(Worksheet!$A$26,Worksheet!$B$15,$P299,1)</f>
        <v>4.4900423770868398E-14</v>
      </c>
      <c r="J299">
        <f ca="1">BINOMDIST(Worksheet!$A$27,Worksheet!$B$15,$P299,1)</f>
        <v>4.4867384427266172E-13</v>
      </c>
      <c r="K299">
        <f ca="1">BINOMDIST(Worksheet!$A$28,Worksheet!$B$15,$P299,1)</f>
        <v>3.7134086667256591E-12</v>
      </c>
      <c r="L299">
        <f ca="1">BINOMDIST(Worksheet!$A$29,Worksheet!$B$15,$P299,1)</f>
        <v>2.6182465974196255E-11</v>
      </c>
      <c r="M299">
        <f ca="1">BINOMDIST(Worksheet!$A$30,Worksheet!$B$15,$P299,1)</f>
        <v>1.6054622711900366E-10</v>
      </c>
      <c r="N299">
        <f ca="1">BINOMDIST(Worksheet!$A$31,Worksheet!$B$15,$P299,1)</f>
        <v>8.6972821776031728E-10</v>
      </c>
      <c r="O299">
        <f ca="1">BINOMDIST(Worksheet!$A$32,Worksheet!$B$15,$P299,1)</f>
        <v>4.2146400666674646E-9</v>
      </c>
      <c r="P299">
        <v>0.252</v>
      </c>
    </row>
    <row r="300" spans="5:16" x14ac:dyDescent="0.2">
      <c r="E300">
        <f ca="1">BINOMDIST(Worksheet!$A$22,Worksheet!$B$15,$P300,1)</f>
        <v>1.9851386143624277E-19</v>
      </c>
      <c r="F300">
        <f ca="1">BINOMDIST(Worksheet!$A$23,Worksheet!$B$15,$P300,1)</f>
        <v>1.0110689968050395E-17</v>
      </c>
      <c r="G300">
        <f ca="1">BINOMDIST(Worksheet!$A$24,Worksheet!$B$15,$P300,1)</f>
        <v>2.559167767561031E-16</v>
      </c>
      <c r="H300">
        <f ca="1">BINOMDIST(Worksheet!$A$25,Worksheet!$B$15,$P300,1)</f>
        <v>4.2921905570047866E-15</v>
      </c>
      <c r="I300">
        <f ca="1">BINOMDIST(Worksheet!$A$26,Worksheet!$B$15,$P300,1)</f>
        <v>5.3662447216214862E-14</v>
      </c>
      <c r="J300">
        <f ca="1">BINOMDIST(Worksheet!$A$27,Worksheet!$B$15,$P300,1)</f>
        <v>5.3345697087761738E-13</v>
      </c>
      <c r="K300">
        <f ca="1">BINOMDIST(Worksheet!$A$28,Worksheet!$B$15,$P300,1)</f>
        <v>4.3923117245976304E-12</v>
      </c>
      <c r="L300">
        <f ca="1">BINOMDIST(Worksheet!$A$29,Worksheet!$B$15,$P300,1)</f>
        <v>3.0809605959820361E-11</v>
      </c>
      <c r="M300">
        <f ca="1">BINOMDIST(Worksheet!$A$30,Worksheet!$B$15,$P300,1)</f>
        <v>1.8794665554790593E-10</v>
      </c>
      <c r="N300">
        <f ca="1">BINOMDIST(Worksheet!$A$31,Worksheet!$B$15,$P300,1)</f>
        <v>1.0129336488681688E-9</v>
      </c>
      <c r="O300">
        <f ca="1">BINOMDIST(Worksheet!$A$32,Worksheet!$B$15,$P300,1)</f>
        <v>4.8834333745389421E-9</v>
      </c>
      <c r="P300">
        <v>0.251</v>
      </c>
    </row>
    <row r="301" spans="5:16" x14ac:dyDescent="0.2">
      <c r="E301">
        <f ca="1">BINOMDIST(Worksheet!$A$22,Worksheet!$B$15,$P301,1)</f>
        <v>2.4217440721618053E-19</v>
      </c>
      <c r="F301">
        <f ca="1">BINOMDIST(Worksheet!$A$23,Worksheet!$B$15,$P301,1)</f>
        <v>1.2270169965619781E-17</v>
      </c>
      <c r="G301">
        <f ca="1">BINOMDIST(Worksheet!$A$24,Worksheet!$B$15,$P301,1)</f>
        <v>3.0896072707290835E-16</v>
      </c>
      <c r="H301">
        <f ca="1">BINOMDIST(Worksheet!$A$25,Worksheet!$B$15,$P301,1)</f>
        <v>5.1549064931586541E-15</v>
      </c>
      <c r="I301">
        <f ca="1">BINOMDIST(Worksheet!$A$26,Worksheet!$B$15,$P301,1)</f>
        <v>6.4113913313868506E-14</v>
      </c>
      <c r="J301">
        <f ca="1">BINOMDIST(Worksheet!$A$27,Worksheet!$B$15,$P301,1)</f>
        <v>6.3405097924739641E-13</v>
      </c>
      <c r="K301">
        <f ca="1">BINOMDIST(Worksheet!$A$28,Worksheet!$B$15,$P301,1)</f>
        <v>5.1935475067156124E-12</v>
      </c>
      <c r="L301">
        <f ca="1">BINOMDIST(Worksheet!$A$29,Worksheet!$B$15,$P301,1)</f>
        <v>3.624154766995156E-11</v>
      </c>
      <c r="M301">
        <f ca="1">BINOMDIST(Worksheet!$A$30,Worksheet!$B$15,$P301,1)</f>
        <v>2.1994221530243066E-10</v>
      </c>
      <c r="N301">
        <f ca="1">BINOMDIST(Worksheet!$A$31,Worksheet!$B$15,$P301,1)</f>
        <v>1.1792679240498201E-9</v>
      </c>
      <c r="O301">
        <f ca="1">BINOMDIST(Worksheet!$A$32,Worksheet!$B$15,$P301,1)</f>
        <v>5.6561212315376704E-9</v>
      </c>
      <c r="P301">
        <v>0.25</v>
      </c>
    </row>
    <row r="302" spans="5:16" x14ac:dyDescent="0.2">
      <c r="E302">
        <f ca="1">BINOMDIST(Worksheet!$A$22,Worksheet!$B$15,$P302,1)</f>
        <v>2.9535927521052504E-19</v>
      </c>
      <c r="F302">
        <f ca="1">BINOMDIST(Worksheet!$A$23,Worksheet!$B$15,$P302,1)</f>
        <v>1.4886736731383184E-17</v>
      </c>
      <c r="G302">
        <f ca="1">BINOMDIST(Worksheet!$A$24,Worksheet!$B$15,$P302,1)</f>
        <v>3.7289035991039409E-16</v>
      </c>
      <c r="H302">
        <f ca="1">BINOMDIST(Worksheet!$A$25,Worksheet!$B$15,$P302,1)</f>
        <v>6.1891383045270516E-15</v>
      </c>
      <c r="I302">
        <f ca="1">BINOMDIST(Worksheet!$A$26,Worksheet!$B$15,$P302,1)</f>
        <v>7.6576580973832566E-14</v>
      </c>
      <c r="J302">
        <f ca="1">BINOMDIST(Worksheet!$A$27,Worksheet!$B$15,$P302,1)</f>
        <v>7.5336449510839283E-13</v>
      </c>
      <c r="K302">
        <f ca="1">BINOMDIST(Worksheet!$A$28,Worksheet!$B$15,$P302,1)</f>
        <v>6.1388299742936491E-12</v>
      </c>
      <c r="L302">
        <f ca="1">BINOMDIST(Worksheet!$A$29,Worksheet!$B$15,$P302,1)</f>
        <v>4.2615959386001737E-11</v>
      </c>
      <c r="M302">
        <f ca="1">BINOMDIST(Worksheet!$A$30,Worksheet!$B$15,$P302,1)</f>
        <v>2.5728945168613223E-10</v>
      </c>
      <c r="N302">
        <f ca="1">BINOMDIST(Worksheet!$A$31,Worksheet!$B$15,$P302,1)</f>
        <v>1.3723910408509887E-9</v>
      </c>
      <c r="O302">
        <f ca="1">BINOMDIST(Worksheet!$A$32,Worksheet!$B$15,$P302,1)</f>
        <v>6.5484817729797307E-9</v>
      </c>
      <c r="P302">
        <v>0.249</v>
      </c>
    </row>
    <row r="303" spans="5:16" x14ac:dyDescent="0.2">
      <c r="E303">
        <f ca="1">BINOMDIST(Worksheet!$A$22,Worksheet!$B$15,$P303,1)</f>
        <v>3.6012912693297711E-19</v>
      </c>
      <c r="F303">
        <f ca="1">BINOMDIST(Worksheet!$A$23,Worksheet!$B$15,$P303,1)</f>
        <v>1.8056261438671446E-17</v>
      </c>
      <c r="G303">
        <f ca="1">BINOMDIST(Worksheet!$A$24,Worksheet!$B$15,$P303,1)</f>
        <v>4.4991719253577941E-16</v>
      </c>
      <c r="H303">
        <f ca="1">BINOMDIST(Worksheet!$A$25,Worksheet!$B$15,$P303,1)</f>
        <v>7.4286060684560317E-15</v>
      </c>
      <c r="I303">
        <f ca="1">BINOMDIST(Worksheet!$A$26,Worksheet!$B$15,$P303,1)</f>
        <v>9.1432717378070807E-14</v>
      </c>
      <c r="J303">
        <f ca="1">BINOMDIST(Worksheet!$A$27,Worksheet!$B$15,$P303,1)</f>
        <v>8.9483373937109059E-13</v>
      </c>
      <c r="K303">
        <f ca="1">BINOMDIST(Worksheet!$A$28,Worksheet!$B$15,$P303,1)</f>
        <v>7.2536673602519705E-12</v>
      </c>
      <c r="L303">
        <f ca="1">BINOMDIST(Worksheet!$A$29,Worksheet!$B$15,$P303,1)</f>
        <v>5.0093651313694353E-11</v>
      </c>
      <c r="M303">
        <f ca="1">BINOMDIST(Worksheet!$A$30,Worksheet!$B$15,$P303,1)</f>
        <v>3.0086706801988279E-10</v>
      </c>
      <c r="N303">
        <f ca="1">BINOMDIST(Worksheet!$A$31,Worksheet!$B$15,$P303,1)</f>
        <v>1.5965297210018471E-9</v>
      </c>
      <c r="O303">
        <f ca="1">BINOMDIST(Worksheet!$A$32,Worksheet!$B$15,$P303,1)</f>
        <v>7.578631757110086E-9</v>
      </c>
      <c r="P303">
        <v>0.248</v>
      </c>
    </row>
    <row r="304" spans="5:16" x14ac:dyDescent="0.2">
      <c r="E304">
        <f ca="1">BINOMDIST(Worksheet!$A$22,Worksheet!$B$15,$P304,1)</f>
        <v>4.3898679228906874E-19</v>
      </c>
      <c r="F304">
        <f ca="1">BINOMDIST(Worksheet!$A$23,Worksheet!$B$15,$P304,1)</f>
        <v>2.1894539138390806E-17</v>
      </c>
      <c r="G304">
        <f ca="1">BINOMDIST(Worksheet!$A$24,Worksheet!$B$15,$P304,1)</f>
        <v>5.4269744190339297E-16</v>
      </c>
      <c r="H304">
        <f ca="1">BINOMDIST(Worksheet!$A$25,Worksheet!$B$15,$P304,1)</f>
        <v>8.9135839388022047E-15</v>
      </c>
      <c r="I304">
        <f ca="1">BINOMDIST(Worksheet!$A$26,Worksheet!$B$15,$P304,1)</f>
        <v>1.0913632924131433E-13</v>
      </c>
      <c r="J304">
        <f ca="1">BINOMDIST(Worksheet!$A$27,Worksheet!$B$15,$P304,1)</f>
        <v>1.0625168400007984E-12</v>
      </c>
      <c r="K304">
        <f ca="1">BINOMDIST(Worksheet!$A$28,Worksheet!$B$15,$P304,1)</f>
        <v>8.5680144067766918E-12</v>
      </c>
      <c r="L304">
        <f ca="1">BINOMDIST(Worksheet!$A$29,Worksheet!$B$15,$P304,1)</f>
        <v>5.8862394895505734E-11</v>
      </c>
      <c r="M304">
        <f ca="1">BINOMDIST(Worksheet!$A$30,Worksheet!$B$15,$P304,1)</f>
        <v>3.5169524703057817E-10</v>
      </c>
      <c r="N304">
        <f ca="1">BINOMDIST(Worksheet!$A$31,Worksheet!$B$15,$P304,1)</f>
        <v>1.8565631445233069E-9</v>
      </c>
      <c r="O304">
        <f ca="1">BINOMDIST(Worksheet!$A$32,Worksheet!$B$15,$P304,1)</f>
        <v>8.7673641930356954E-9</v>
      </c>
      <c r="P304">
        <v>0.247</v>
      </c>
    </row>
    <row r="305" spans="5:16" x14ac:dyDescent="0.2">
      <c r="E305">
        <f ca="1">BINOMDIST(Worksheet!$A$22,Worksheet!$B$15,$P305,1)</f>
        <v>5.3497136265837471E-19</v>
      </c>
      <c r="F305">
        <f ca="1">BINOMDIST(Worksheet!$A$23,Worksheet!$B$15,$P305,1)</f>
        <v>2.6541390894329613E-17</v>
      </c>
      <c r="G305">
        <f ca="1">BINOMDIST(Worksheet!$A$24,Worksheet!$B$15,$P305,1)</f>
        <v>6.5442051709398749E-16</v>
      </c>
      <c r="H305">
        <f ca="1">BINOMDIST(Worksheet!$A$25,Worksheet!$B$15,$P305,1)</f>
        <v>1.0692159226922522E-14</v>
      </c>
      <c r="I305">
        <f ca="1">BINOMDIST(Worksheet!$A$26,Worksheet!$B$15,$P305,1)</f>
        <v>1.3022645083905804E-13</v>
      </c>
      <c r="J305">
        <f ca="1">BINOMDIST(Worksheet!$A$27,Worksheet!$B$15,$P305,1)</f>
        <v>1.26120474840003E-12</v>
      </c>
      <c r="K305">
        <f ca="1">BINOMDIST(Worksheet!$A$28,Worksheet!$B$15,$P305,1)</f>
        <v>1.0117034813121536E-11</v>
      </c>
      <c r="L305">
        <f ca="1">BINOMDIST(Worksheet!$A$29,Worksheet!$B$15,$P305,1)</f>
        <v>6.914136031838341E-11</v>
      </c>
      <c r="M305">
        <f ca="1">BINOMDIST(Worksheet!$A$30,Worksheet!$B$15,$P305,1)</f>
        <v>4.109579615368518E-10</v>
      </c>
      <c r="N305">
        <f ca="1">BINOMDIST(Worksheet!$A$31,Worksheet!$B$15,$P305,1)</f>
        <v>2.1581213316906802E-9</v>
      </c>
      <c r="O305">
        <f ca="1">BINOMDIST(Worksheet!$A$32,Worksheet!$B$15,$P305,1)</f>
        <v>1.0138533330112116E-8</v>
      </c>
      <c r="P305">
        <v>0.246</v>
      </c>
    </row>
    <row r="306" spans="5:16" x14ac:dyDescent="0.2">
      <c r="E306">
        <f ca="1">BINOMDIST(Worksheet!$A$22,Worksheet!$B$15,$P306,1)</f>
        <v>6.5177214021119028E-19</v>
      </c>
      <c r="F306">
        <f ca="1">BINOMDIST(Worksheet!$A$23,Worksheet!$B$15,$P306,1)</f>
        <v>3.2165602575190626E-17</v>
      </c>
      <c r="G306">
        <f ca="1">BINOMDIST(Worksheet!$A$24,Worksheet!$B$15,$P306,1)</f>
        <v>7.889149347423126E-16</v>
      </c>
      <c r="H306">
        <f ca="1">BINOMDIST(Worksheet!$A$25,Worksheet!$B$15,$P306,1)</f>
        <v>1.2821730474697675E-14</v>
      </c>
      <c r="I306">
        <f ca="1">BINOMDIST(Worksheet!$A$26,Worksheet!$B$15,$P306,1)</f>
        <v>1.5534286023105639E-13</v>
      </c>
      <c r="J306">
        <f ca="1">BINOMDIST(Worksheet!$A$27,Worksheet!$B$15,$P306,1)</f>
        <v>1.4965516376071199E-12</v>
      </c>
      <c r="K306">
        <f ca="1">BINOMDIST(Worksheet!$A$28,Worksheet!$B$15,$P306,1)</f>
        <v>1.19419921819399E-11</v>
      </c>
      <c r="L306">
        <f ca="1">BINOMDIST(Worksheet!$A$29,Worksheet!$B$15,$P306,1)</f>
        <v>8.1186270227483727E-11</v>
      </c>
      <c r="M306">
        <f ca="1">BINOMDIST(Worksheet!$A$30,Worksheet!$B$15,$P306,1)</f>
        <v>4.8002872605603807E-10</v>
      </c>
      <c r="N306">
        <f ca="1">BINOMDIST(Worksheet!$A$31,Worksheet!$B$15,$P306,1)</f>
        <v>2.5076979882484437E-9</v>
      </c>
      <c r="O306">
        <f ca="1">BINOMDIST(Worksheet!$A$32,Worksheet!$B$15,$P306,1)</f>
        <v>1.1719493444301437E-8</v>
      </c>
      <c r="P306">
        <v>0.245</v>
      </c>
    </row>
    <row r="307" spans="5:16" x14ac:dyDescent="0.2">
      <c r="E307">
        <f ca="1">BINOMDIST(Worksheet!$A$22,Worksheet!$B$15,$P307,1)</f>
        <v>7.9386659859537777E-19</v>
      </c>
      <c r="F307">
        <f ca="1">BINOMDIST(Worksheet!$A$23,Worksheet!$B$15,$P307,1)</f>
        <v>3.8970869321523433E-17</v>
      </c>
      <c r="G307">
        <f ca="1">BINOMDIST(Worksheet!$A$24,Worksheet!$B$15,$P307,1)</f>
        <v>9.5077505075695951E-16</v>
      </c>
      <c r="H307">
        <f ca="1">BINOMDIST(Worksheet!$A$25,Worksheet!$B$15,$P307,1)</f>
        <v>1.5370789327532213E-14</v>
      </c>
      <c r="I307">
        <f ca="1">BINOMDIST(Worksheet!$A$26,Worksheet!$B$15,$P307,1)</f>
        <v>1.8524466121769175E-13</v>
      </c>
      <c r="J307">
        <f ca="1">BINOMDIST(Worksheet!$A$27,Worksheet!$B$15,$P307,1)</f>
        <v>1.7752281499673753E-12</v>
      </c>
      <c r="K307">
        <f ca="1">BINOMDIST(Worksheet!$A$28,Worksheet!$B$15,$P307,1)</f>
        <v>1.409129072948875E-11</v>
      </c>
      <c r="L307">
        <f ca="1">BINOMDIST(Worksheet!$A$29,Worksheet!$B$15,$P307,1)</f>
        <v>9.5295382854330237E-11</v>
      </c>
      <c r="M307">
        <f ca="1">BINOMDIST(Worksheet!$A$30,Worksheet!$B$15,$P307,1)</f>
        <v>5.605003074478336E-10</v>
      </c>
      <c r="N307">
        <f ca="1">BINOMDIST(Worksheet!$A$31,Worksheet!$B$15,$P307,1)</f>
        <v>2.9127798820678955E-9</v>
      </c>
      <c r="O307">
        <f ca="1">BINOMDIST(Worksheet!$A$32,Worksheet!$B$15,$P307,1)</f>
        <v>1.3541598700721516E-8</v>
      </c>
      <c r="P307">
        <v>0.24399999999999999</v>
      </c>
    </row>
    <row r="308" spans="5:16" x14ac:dyDescent="0.2">
      <c r="E308">
        <f ca="1">BINOMDIST(Worksheet!$A$22,Worksheet!$B$15,$P308,1)</f>
        <v>9.6668737231804628E-19</v>
      </c>
      <c r="F308">
        <f ca="1">BINOMDIST(Worksheet!$A$23,Worksheet!$B$15,$P308,1)</f>
        <v>4.7202948520956554E-17</v>
      </c>
      <c r="G308">
        <f ca="1">BINOMDIST(Worksheet!$A$24,Worksheet!$B$15,$P308,1)</f>
        <v>1.1455126552248136E-15</v>
      </c>
      <c r="H308">
        <f ca="1">BINOMDIST(Worksheet!$A$25,Worksheet!$B$15,$P308,1)</f>
        <v>1.8421039310076667E-14</v>
      </c>
      <c r="I308">
        <f ca="1">BINOMDIST(Worksheet!$A$26,Worksheet!$B$15,$P308,1)</f>
        <v>2.2083224626543682E-13</v>
      </c>
      <c r="J308">
        <f ca="1">BINOMDIST(Worksheet!$A$27,Worksheet!$B$15,$P308,1)</f>
        <v>2.1051014343954583E-12</v>
      </c>
      <c r="K308">
        <f ca="1">BINOMDIST(Worksheet!$A$28,Worksheet!$B$15,$P308,1)</f>
        <v>1.6621690476897841E-11</v>
      </c>
      <c r="L308">
        <f ca="1">BINOMDIST(Worksheet!$A$29,Worksheet!$B$15,$P308,1)</f>
        <v>1.118164352660868E-10</v>
      </c>
      <c r="M308">
        <f ca="1">BINOMDIST(Worksheet!$A$30,Worksheet!$B$15,$P308,1)</f>
        <v>6.5421898871651067E-10</v>
      </c>
      <c r="N308">
        <f ca="1">BINOMDIST(Worksheet!$A$31,Worksheet!$B$15,$P308,1)</f>
        <v>3.3819951062670584E-9</v>
      </c>
      <c r="O308">
        <f ca="1">BINOMDIST(Worksheet!$A$32,Worksheet!$B$15,$P308,1)</f>
        <v>1.5640772321467818E-8</v>
      </c>
      <c r="P308">
        <v>0.24299999999999999</v>
      </c>
    </row>
    <row r="309" spans="5:16" x14ac:dyDescent="0.2">
      <c r="E309">
        <f ca="1">BINOMDIST(Worksheet!$A$22,Worksheet!$B$15,$P309,1)</f>
        <v>1.1768243317244324E-18</v>
      </c>
      <c r="F309">
        <f ca="1">BINOMDIST(Worksheet!$A$23,Worksheet!$B$15,$P309,1)</f>
        <v>5.7158264639533959E-17</v>
      </c>
      <c r="G309">
        <f ca="1">BINOMDIST(Worksheet!$A$24,Worksheet!$B$15,$P309,1)</f>
        <v>1.3797382554472565E-15</v>
      </c>
      <c r="H309">
        <f ca="1">BINOMDIST(Worksheet!$A$25,Worksheet!$B$15,$P309,1)</f>
        <v>2.2069914417713572E-14</v>
      </c>
      <c r="I309">
        <f ca="1">BINOMDIST(Worksheet!$A$26,Worksheet!$B$15,$P309,1)</f>
        <v>2.63173246926023E-13</v>
      </c>
      <c r="J309">
        <f ca="1">BINOMDIST(Worksheet!$A$27,Worksheet!$B$15,$P309,1)</f>
        <v>2.4954465814158865E-12</v>
      </c>
      <c r="K309">
        <f ca="1">BINOMDIST(Worksheet!$A$28,Worksheet!$B$15,$P309,1)</f>
        <v>1.9599725640409455E-11</v>
      </c>
      <c r="L309">
        <f ca="1">BINOMDIST(Worksheet!$A$29,Worksheet!$B$15,$P309,1)</f>
        <v>1.3115469758076614E-10</v>
      </c>
      <c r="M309">
        <f ca="1">BINOMDIST(Worksheet!$A$30,Worksheet!$B$15,$P309,1)</f>
        <v>7.6332406693406668E-10</v>
      </c>
      <c r="N309">
        <f ca="1">BINOMDIST(Worksheet!$A$31,Worksheet!$B$15,$P309,1)</f>
        <v>3.9252829090732254E-9</v>
      </c>
      <c r="O309">
        <f ca="1">BINOMDIST(Worksheet!$A$32,Worksheet!$B$15,$P309,1)</f>
        <v>1.8058154356523729E-8</v>
      </c>
      <c r="P309">
        <v>0.24199999999999999</v>
      </c>
    </row>
    <row r="310" spans="5:16" x14ac:dyDescent="0.2">
      <c r="E310">
        <f ca="1">BINOMDIST(Worksheet!$A$22,Worksheet!$B$15,$P310,1)</f>
        <v>1.4322690536302273E-18</v>
      </c>
      <c r="F310">
        <f ca="1">BINOMDIST(Worksheet!$A$23,Worksheet!$B$15,$P310,1)</f>
        <v>6.9194257784602347E-17</v>
      </c>
      <c r="G310">
        <f ca="1">BINOMDIST(Worksheet!$A$24,Worksheet!$B$15,$P310,1)</f>
        <v>1.6613777980061531E-15</v>
      </c>
      <c r="H310">
        <f ca="1">BINOMDIST(Worksheet!$A$25,Worksheet!$B$15,$P310,1)</f>
        <v>2.6433572035787844E-14</v>
      </c>
      <c r="I310">
        <f ca="1">BINOMDIST(Worksheet!$A$26,Worksheet!$B$15,$P310,1)</f>
        <v>3.1353318549118305E-13</v>
      </c>
      <c r="J310">
        <f ca="1">BINOMDIST(Worksheet!$A$27,Worksheet!$B$15,$P310,1)</f>
        <v>2.9571948435145815E-12</v>
      </c>
      <c r="K310">
        <f ca="1">BINOMDIST(Worksheet!$A$28,Worksheet!$B$15,$P310,1)</f>
        <v>2.3103359573432016E-11</v>
      </c>
      <c r="L310">
        <f ca="1">BINOMDIST(Worksheet!$A$29,Worksheet!$B$15,$P310,1)</f>
        <v>1.5378231215900425E-10</v>
      </c>
      <c r="M310">
        <f ca="1">BINOMDIST(Worksheet!$A$30,Worksheet!$B$15,$P310,1)</f>
        <v>8.9029336541714856E-10</v>
      </c>
      <c r="N310">
        <f ca="1">BINOMDIST(Worksheet!$A$31,Worksheet!$B$15,$P310,1)</f>
        <v>4.5540881393543474E-9</v>
      </c>
      <c r="O310">
        <f ca="1">BINOMDIST(Worksheet!$A$32,Worksheet!$B$15,$P310,1)</f>
        <v>2.0840838557357131E-8</v>
      </c>
      <c r="P310">
        <v>0.24099999999999999</v>
      </c>
    </row>
    <row r="311" spans="5:16" x14ac:dyDescent="0.2">
      <c r="E311">
        <f ca="1">BINOMDIST(Worksheet!$A$22,Worksheet!$B$15,$P311,1)</f>
        <v>1.7427105078959144E-18</v>
      </c>
      <c r="F311">
        <f ca="1">BINOMDIST(Worksheet!$A$23,Worksheet!$B$15,$P311,1)</f>
        <v>8.3741825984682631E-17</v>
      </c>
      <c r="G311">
        <f ca="1">BINOMDIST(Worksheet!$A$24,Worksheet!$B$15,$P311,1)</f>
        <v>1.9999316823895873E-15</v>
      </c>
      <c r="H311">
        <f ca="1">BINOMDIST(Worksheet!$A$25,Worksheet!$B$15,$P311,1)</f>
        <v>3.1650448407812983E-14</v>
      </c>
      <c r="I311">
        <f ca="1">BINOMDIST(Worksheet!$A$26,Worksheet!$B$15,$P311,1)</f>
        <v>3.7341166750611294E-13</v>
      </c>
      <c r="J311">
        <f ca="1">BINOMDIST(Worksheet!$A$27,Worksheet!$B$15,$P311,1)</f>
        <v>3.5032249371431916E-12</v>
      </c>
      <c r="K311">
        <f ca="1">BINOMDIST(Worksheet!$A$28,Worksheet!$B$15,$P311,1)</f>
        <v>2.7223914980708325E-11</v>
      </c>
      <c r="L311">
        <f ca="1">BINOMDIST(Worksheet!$A$29,Worksheet!$B$15,$P311,1)</f>
        <v>1.8024911841964673E-10</v>
      </c>
      <c r="M311">
        <f ca="1">BINOMDIST(Worksheet!$A$30,Worksheet!$B$15,$P311,1)</f>
        <v>1.0379956534852806E-9</v>
      </c>
      <c r="N311">
        <f ca="1">BINOMDIST(Worksheet!$A$31,Worksheet!$B$15,$P311,1)</f>
        <v>5.2815837743362867E-9</v>
      </c>
      <c r="O311">
        <f ca="1">BINOMDIST(Worksheet!$A$32,Worksheet!$B$15,$P311,1)</f>
        <v>2.4042710203361886E-8</v>
      </c>
      <c r="P311">
        <v>0.24</v>
      </c>
    </row>
    <row r="312" spans="5:16" x14ac:dyDescent="0.2">
      <c r="E312">
        <f ca="1">BINOMDIST(Worksheet!$A$22,Worksheet!$B$15,$P312,1)</f>
        <v>2.1198925998353033E-18</v>
      </c>
      <c r="F312">
        <f ca="1">BINOMDIST(Worksheet!$A$23,Worksheet!$B$15,$P312,1)</f>
        <v>1.0132028073746362E-16</v>
      </c>
      <c r="G312">
        <f ca="1">BINOMDIST(Worksheet!$A$24,Worksheet!$B$15,$P312,1)</f>
        <v>2.4067842289662286E-15</v>
      </c>
      <c r="H312">
        <f ca="1">BINOMDIST(Worksheet!$A$25,Worksheet!$B$15,$P312,1)</f>
        <v>3.7885481072208304E-14</v>
      </c>
      <c r="I312">
        <f ca="1">BINOMDIST(Worksheet!$A$26,Worksheet!$B$15,$P312,1)</f>
        <v>4.4458510250719042E-13</v>
      </c>
      <c r="J312">
        <f ca="1">BINOMDIST(Worksheet!$A$27,Worksheet!$B$15,$P312,1)</f>
        <v>4.1487047820943834E-12</v>
      </c>
      <c r="K312">
        <f ca="1">BINOMDIST(Worksheet!$A$28,Worksheet!$B$15,$P312,1)</f>
        <v>3.2068324338089461E-11</v>
      </c>
      <c r="L312">
        <f ca="1">BINOMDIST(Worksheet!$A$29,Worksheet!$B$15,$P312,1)</f>
        <v>2.1119519453993693E-10</v>
      </c>
      <c r="M312">
        <f ca="1">BINOMDIST(Worksheet!$A$30,Worksheet!$B$15,$P312,1)</f>
        <v>1.2097509962663292E-9</v>
      </c>
      <c r="N312">
        <f ca="1">BINOMDIST(Worksheet!$A$31,Worksheet!$B$15,$P312,1)</f>
        <v>6.1229254687992443E-9</v>
      </c>
      <c r="O312">
        <f ca="1">BINOMDIST(Worksheet!$A$32,Worksheet!$B$15,$P312,1)</f>
        <v>2.7725398248162022E-8</v>
      </c>
      <c r="P312">
        <v>0.23899999999999999</v>
      </c>
    </row>
    <row r="313" spans="5:16" x14ac:dyDescent="0.2">
      <c r="E313">
        <f ca="1">BINOMDIST(Worksheet!$A$22,Worksheet!$B$15,$P313,1)</f>
        <v>2.5780464001579321E-18</v>
      </c>
      <c r="F313">
        <f ca="1">BINOMDIST(Worksheet!$A$23,Worksheet!$B$15,$P313,1)</f>
        <v>1.2255531863427987E-16</v>
      </c>
      <c r="G313">
        <f ca="1">BINOMDIST(Worksheet!$A$24,Worksheet!$B$15,$P313,1)</f>
        <v>2.8955733220297454E-15</v>
      </c>
      <c r="H313">
        <f ca="1">BINOMDIST(Worksheet!$A$25,Worksheet!$B$15,$P313,1)</f>
        <v>4.5335121820189854E-14</v>
      </c>
      <c r="I313">
        <f ca="1">BINOMDIST(Worksheet!$A$26,Worksheet!$B$15,$P313,1)</f>
        <v>5.2915711368832339E-13</v>
      </c>
      <c r="J313">
        <f ca="1">BINOMDIST(Worksheet!$A$27,Worksheet!$B$15,$P313,1)</f>
        <v>4.9114922683783984E-12</v>
      </c>
      <c r="K313">
        <f ca="1">BINOMDIST(Worksheet!$A$28,Worksheet!$B$15,$P313,1)</f>
        <v>3.7761752640543448E-11</v>
      </c>
      <c r="L313">
        <f ca="1">BINOMDIST(Worksheet!$A$29,Worksheet!$B$15,$P313,1)</f>
        <v>2.4736538246924026E-10</v>
      </c>
      <c r="M313">
        <f ca="1">BINOMDIST(Worksheet!$A$30,Worksheet!$B$15,$P313,1)</f>
        <v>1.4094002042688878E-9</v>
      </c>
      <c r="N313">
        <f ca="1">BINOMDIST(Worksheet!$A$31,Worksheet!$B$15,$P313,1)</f>
        <v>7.0955426000041285E-9</v>
      </c>
      <c r="O313">
        <f ca="1">BINOMDIST(Worksheet!$A$32,Worksheet!$B$15,$P313,1)</f>
        <v>3.195935685537144E-8</v>
      </c>
      <c r="P313">
        <v>0.23799999999999999</v>
      </c>
    </row>
    <row r="314" spans="5:16" x14ac:dyDescent="0.2">
      <c r="E314">
        <f ca="1">BINOMDIST(Worksheet!$A$22,Worksheet!$B$15,$P314,1)</f>
        <v>3.1344125336454732E-18</v>
      </c>
      <c r="F314">
        <f ca="1">BINOMDIST(Worksheet!$A$23,Worksheet!$B$15,$P314,1)</f>
        <v>1.4820061148596862E-16</v>
      </c>
      <c r="G314">
        <f ca="1">BINOMDIST(Worksheet!$A$24,Worksheet!$B$15,$P314,1)</f>
        <v>3.4826318005106754E-15</v>
      </c>
      <c r="H314">
        <f ca="1">BINOMDIST(Worksheet!$A$25,Worksheet!$B$15,$P314,1)</f>
        <v>5.423328631970303E-14</v>
      </c>
      <c r="I314">
        <f ca="1">BINOMDIST(Worksheet!$A$26,Worksheet!$B$15,$P314,1)</f>
        <v>6.2961800049830761E-13</v>
      </c>
      <c r="J314">
        <f ca="1">BINOMDIST(Worksheet!$A$27,Worksheet!$B$15,$P314,1)</f>
        <v>5.8126050785448746E-12</v>
      </c>
      <c r="K314">
        <f ca="1">BINOMDIST(Worksheet!$A$28,Worksheet!$B$15,$P314,1)</f>
        <v>4.4450652915935419E-11</v>
      </c>
      <c r="L314">
        <f ca="1">BINOMDIST(Worksheet!$A$29,Worksheet!$B$15,$P314,1)</f>
        <v>2.8962610306703031E-10</v>
      </c>
      <c r="M314">
        <f ca="1">BINOMDIST(Worksheet!$A$30,Worksheet!$B$15,$P314,1)</f>
        <v>1.6413847202664038E-9</v>
      </c>
      <c r="N314">
        <f ca="1">BINOMDIST(Worksheet!$A$31,Worksheet!$B$15,$P314,1)</f>
        <v>8.219470887581278E-9</v>
      </c>
      <c r="O314">
        <f ca="1">BINOMDIST(Worksheet!$A$32,Worksheet!$B$15,$P314,1)</f>
        <v>3.6825093303244287E-8</v>
      </c>
      <c r="P314">
        <v>0.23699999999999999</v>
      </c>
    </row>
    <row r="315" spans="5:16" x14ac:dyDescent="0.2">
      <c r="E315">
        <f ca="1">BINOMDIST(Worksheet!$A$22,Worksheet!$B$15,$P315,1)</f>
        <v>3.8098723756237427E-18</v>
      </c>
      <c r="F315">
        <f ca="1">BINOMDIST(Worksheet!$A$23,Worksheet!$B$15,$P315,1)</f>
        <v>1.791637365332594E-16</v>
      </c>
      <c r="G315">
        <f ca="1">BINOMDIST(Worksheet!$A$24,Worksheet!$B$15,$P315,1)</f>
        <v>4.1875143695816111E-15</v>
      </c>
      <c r="H315">
        <f ca="1">BINOMDIST(Worksheet!$A$25,Worksheet!$B$15,$P315,1)</f>
        <v>6.4858413218497055E-14</v>
      </c>
      <c r="I315">
        <f ca="1">BINOMDIST(Worksheet!$A$26,Worksheet!$B$15,$P315,1)</f>
        <v>7.4891485652289E-13</v>
      </c>
      <c r="J315">
        <f ca="1">BINOMDIST(Worksheet!$A$27,Worksheet!$B$15,$P315,1)</f>
        <v>6.8767712674852664E-12</v>
      </c>
      <c r="K315">
        <f ca="1">BINOMDIST(Worksheet!$A$28,Worksheet!$B$15,$P315,1)</f>
        <v>5.230632455503904E-11</v>
      </c>
      <c r="L315">
        <f ca="1">BINOMDIST(Worksheet!$A$29,Worksheet!$B$15,$P315,1)</f>
        <v>3.3898481452294503E-10</v>
      </c>
      <c r="M315">
        <f ca="1">BINOMDIST(Worksheet!$A$30,Worksheet!$B$15,$P315,1)</f>
        <v>1.9108384722134617E-9</v>
      </c>
      <c r="N315">
        <f ca="1">BINOMDIST(Worksheet!$A$31,Worksheet!$B$15,$P315,1)</f>
        <v>9.5177323514033941E-9</v>
      </c>
      <c r="O315">
        <f ca="1">BINOMDIST(Worksheet!$A$32,Worksheet!$B$15,$P315,1)</f>
        <v>4.2414561378685358E-8</v>
      </c>
      <c r="P315">
        <v>0.23599999999999999</v>
      </c>
    </row>
    <row r="316" spans="5:16" x14ac:dyDescent="0.2">
      <c r="E316">
        <f ca="1">BINOMDIST(Worksheet!$A$22,Worksheet!$B$15,$P316,1)</f>
        <v>4.6297105303840359E-18</v>
      </c>
      <c r="F316">
        <f ca="1">BINOMDIST(Worksheet!$A$23,Worksheet!$B$15,$P316,1)</f>
        <v>2.1653731081979138E-16</v>
      </c>
      <c r="G316">
        <f ca="1">BINOMDIST(Worksheet!$A$24,Worksheet!$B$15,$P316,1)</f>
        <v>5.0336264206665752E-15</v>
      </c>
      <c r="H316">
        <f ca="1">BINOMDIST(Worksheet!$A$25,Worksheet!$B$15,$P316,1)</f>
        <v>7.7541837008752425E-14</v>
      </c>
      <c r="I316">
        <f ca="1">BINOMDIST(Worksheet!$A$26,Worksheet!$B$15,$P316,1)</f>
        <v>8.9053422435425594E-13</v>
      </c>
      <c r="J316">
        <f ca="1">BINOMDIST(Worksheet!$A$27,Worksheet!$B$15,$P316,1)</f>
        <v>8.1330742501837967E-12</v>
      </c>
      <c r="K316">
        <f ca="1">BINOMDIST(Worksheet!$A$28,Worksheet!$B$15,$P316,1)</f>
        <v>6.1529055617083856E-11</v>
      </c>
      <c r="L316">
        <f ca="1">BINOMDIST(Worksheet!$A$29,Worksheet!$B$15,$P316,1)</f>
        <v>3.9661252038546383E-10</v>
      </c>
      <c r="M316">
        <f ca="1">BINOMDIST(Worksheet!$A$30,Worksheet!$B$15,$P316,1)</f>
        <v>2.2236934385751419E-9</v>
      </c>
      <c r="N316">
        <f ca="1">BINOMDIST(Worksheet!$A$31,Worksheet!$B$15,$P316,1)</f>
        <v>1.1016769142891031E-8</v>
      </c>
      <c r="O316">
        <f ca="1">BINOMDIST(Worksheet!$A$32,Worksheet!$B$15,$P316,1)</f>
        <v>4.8832741779753138E-8</v>
      </c>
      <c r="P316">
        <v>0.23499999999999999</v>
      </c>
    </row>
    <row r="317" spans="5:16" x14ac:dyDescent="0.2">
      <c r="E317">
        <f ca="1">BINOMDIST(Worksheet!$A$22,Worksheet!$B$15,$P317,1)</f>
        <v>5.6245356687334326E-18</v>
      </c>
      <c r="F317">
        <f ca="1">BINOMDIST(Worksheet!$A$23,Worksheet!$B$15,$P317,1)</f>
        <v>2.6163636416228367E-16</v>
      </c>
      <c r="G317">
        <f ca="1">BINOMDIST(Worksheet!$A$24,Worksheet!$B$15,$P317,1)</f>
        <v>6.0489742521444365E-15</v>
      </c>
      <c r="H317">
        <f ca="1">BINOMDIST(Worksheet!$A$25,Worksheet!$B$15,$P317,1)</f>
        <v>9.2677716058414743E-14</v>
      </c>
      <c r="I317">
        <f ca="1">BINOMDIST(Worksheet!$A$26,Worksheet!$B$15,$P317,1)</f>
        <v>1.0585994964335539E-12</v>
      </c>
      <c r="J317">
        <f ca="1">BINOMDIST(Worksheet!$A$27,Worksheet!$B$15,$P317,1)</f>
        <v>9.6157081147438907E-12</v>
      </c>
      <c r="K317">
        <f ca="1">BINOMDIST(Worksheet!$A$28,Worksheet!$B$15,$P317,1)</f>
        <v>7.2352943102251195E-11</v>
      </c>
      <c r="L317">
        <f ca="1">BINOMDIST(Worksheet!$A$29,Worksheet!$B$15,$P317,1)</f>
        <v>4.6386979449202667E-10</v>
      </c>
      <c r="M317">
        <f ca="1">BINOMDIST(Worksheet!$A$30,Worksheet!$B$15,$P317,1)</f>
        <v>2.5868009201414042E-9</v>
      </c>
      <c r="N317">
        <f ca="1">BINOMDIST(Worksheet!$A$31,Worksheet!$B$15,$P317,1)</f>
        <v>1.2746938657257141E-8</v>
      </c>
      <c r="O317">
        <f ca="1">BINOMDIST(Worksheet!$A$32,Worksheet!$B$15,$P317,1)</f>
        <v>5.6199433731397156E-8</v>
      </c>
      <c r="P317">
        <v>0.23400000000000001</v>
      </c>
    </row>
    <row r="318" spans="5:16" x14ac:dyDescent="0.2">
      <c r="E318">
        <f ca="1">BINOMDIST(Worksheet!$A$22,Worksheet!$B$15,$P318,1)</f>
        <v>6.8313923396816983E-18</v>
      </c>
      <c r="F318">
        <f ca="1">BINOMDIST(Worksheet!$A$23,Worksheet!$B$15,$P318,1)</f>
        <v>3.1604318876305833E-16</v>
      </c>
      <c r="G318">
        <f ca="1">BINOMDIST(Worksheet!$A$24,Worksheet!$B$15,$P318,1)</f>
        <v>7.2670598692478884E-15</v>
      </c>
      <c r="H318">
        <f ca="1">BINOMDIST(Worksheet!$A$25,Worksheet!$B$15,$P318,1)</f>
        <v>1.1073480099192765E-13</v>
      </c>
      <c r="I318">
        <f ca="1">BINOMDIST(Worksheet!$A$26,Worksheet!$B$15,$P318,1)</f>
        <v>1.2579856541572879E-12</v>
      </c>
      <c r="J318">
        <f ca="1">BINOMDIST(Worksheet!$A$27,Worksheet!$B$15,$P318,1)</f>
        <v>1.1364861814311582E-11</v>
      </c>
      <c r="K318">
        <f ca="1">BINOMDIST(Worksheet!$A$28,Worksheet!$B$15,$P318,1)</f>
        <v>8.5051499998904612E-11</v>
      </c>
      <c r="L318">
        <f ca="1">BINOMDIST(Worksheet!$A$29,Worksheet!$B$15,$P318,1)</f>
        <v>5.4233685996769558E-10</v>
      </c>
      <c r="M318">
        <f ca="1">BINOMDIST(Worksheet!$A$30,Worksheet!$B$15,$P318,1)</f>
        <v>3.0080707941149302E-9</v>
      </c>
      <c r="N318">
        <f ca="1">BINOMDIST(Worksheet!$A$31,Worksheet!$B$15,$P318,1)</f>
        <v>1.4743078318168127E-8</v>
      </c>
      <c r="O318">
        <f ca="1">BINOMDIST(Worksheet!$A$32,Worksheet!$B$15,$P318,1)</f>
        <v>6.4651285024115428E-8</v>
      </c>
      <c r="P318">
        <v>0.23300000000000001</v>
      </c>
    </row>
    <row r="319" spans="5:16" x14ac:dyDescent="0.2">
      <c r="E319">
        <f ca="1">BINOMDIST(Worksheet!$A$22,Worksheet!$B$15,$P319,1)</f>
        <v>8.2951030321309795E-18</v>
      </c>
      <c r="F319">
        <f ca="1">BINOMDIST(Worksheet!$A$23,Worksheet!$B$15,$P319,1)</f>
        <v>3.8166114680127741E-16</v>
      </c>
      <c r="G319">
        <f ca="1">BINOMDIST(Worksheet!$A$24,Worksheet!$B$15,$P319,1)</f>
        <v>8.7279479168907502E-15</v>
      </c>
      <c r="H319">
        <f ca="1">BINOMDIST(Worksheet!$A$25,Worksheet!$B$15,$P319,1)</f>
        <v>1.3227038021165187E-13</v>
      </c>
      <c r="I319">
        <f ca="1">BINOMDIST(Worksheet!$A$26,Worksheet!$B$15,$P319,1)</f>
        <v>1.4944543862950358E-12</v>
      </c>
      <c r="J319">
        <f ca="1">BINOMDIST(Worksheet!$A$27,Worksheet!$B$15,$P319,1)</f>
        <v>1.3427753856254707E-11</v>
      </c>
      <c r="K319">
        <f ca="1">BINOMDIST(Worksheet!$A$28,Worksheet!$B$15,$P319,1)</f>
        <v>9.9944175013462409E-11</v>
      </c>
      <c r="L319">
        <f ca="1">BINOMDIST(Worksheet!$A$29,Worksheet!$B$15,$P319,1)</f>
        <v>6.33848339505934E-10</v>
      </c>
      <c r="M319">
        <f ca="1">BINOMDIST(Worksheet!$A$30,Worksheet!$B$15,$P319,1)</f>
        <v>3.4966313465111215E-9</v>
      </c>
      <c r="N319">
        <f ca="1">BINOMDIST(Worksheet!$A$31,Worksheet!$B$15,$P319,1)</f>
        <v>1.7045149535914165E-8</v>
      </c>
      <c r="O319">
        <f ca="1">BINOMDIST(Worksheet!$A$32,Worksheet!$B$15,$P319,1)</f>
        <v>7.4344091045264613E-8</v>
      </c>
      <c r="P319">
        <v>0.23200000000000001</v>
      </c>
    </row>
    <row r="320" spans="5:16" x14ac:dyDescent="0.2">
      <c r="E320">
        <f ca="1">BINOMDIST(Worksheet!$A$22,Worksheet!$B$15,$P320,1)</f>
        <v>1.0069887772135677E-17</v>
      </c>
      <c r="F320">
        <f ca="1">BINOMDIST(Worksheet!$A$23,Worksheet!$B$15,$P320,1)</f>
        <v>4.6077920796607501E-16</v>
      </c>
      <c r="G320">
        <f ca="1">BINOMDIST(Worksheet!$A$24,Worksheet!$B$15,$P320,1)</f>
        <v>1.0479537490664624E-14</v>
      </c>
      <c r="H320">
        <f ca="1">BINOMDIST(Worksheet!$A$25,Worksheet!$B$15,$P320,1)</f>
        <v>1.5794680017189316E-13</v>
      </c>
      <c r="I320">
        <f ca="1">BINOMDIST(Worksheet!$A$26,Worksheet!$B$15,$P320,1)</f>
        <v>1.7748131529635405E-12</v>
      </c>
      <c r="J320">
        <f ca="1">BINOMDIST(Worksheet!$A$27,Worksheet!$B$15,$P320,1)</f>
        <v>1.5859842668374873E-11</v>
      </c>
      <c r="K320">
        <f ca="1">BINOMDIST(Worksheet!$A$28,Worksheet!$B$15,$P320,1)</f>
        <v>1.1740393061823211E-10</v>
      </c>
      <c r="L320">
        <f ca="1">BINOMDIST(Worksheet!$A$29,Worksheet!$B$15,$P320,1)</f>
        <v>7.4053338580077578E-10</v>
      </c>
      <c r="M320">
        <f ca="1">BINOMDIST(Worksheet!$A$30,Worksheet!$B$15,$P320,1)</f>
        <v>4.0630126427737556E-9</v>
      </c>
      <c r="N320">
        <f ca="1">BINOMDIST(Worksheet!$A$31,Worksheet!$B$15,$P320,1)</f>
        <v>1.9698971590739022E-8</v>
      </c>
      <c r="O320">
        <f ca="1">BINOMDIST(Worksheet!$A$32,Worksheet!$B$15,$P320,1)</f>
        <v>8.5455397127435396E-8</v>
      </c>
      <c r="P320">
        <v>0.23100000000000001</v>
      </c>
    </row>
    <row r="321" spans="5:16" x14ac:dyDescent="0.2">
      <c r="E321">
        <f ca="1">BINOMDIST(Worksheet!$A$22,Worksheet!$B$15,$P321,1)</f>
        <v>1.2221318170669191E-17</v>
      </c>
      <c r="F321">
        <f ca="1">BINOMDIST(Worksheet!$A$23,Worksheet!$B$15,$P321,1)</f>
        <v>5.561493359743505E-16</v>
      </c>
      <c r="G321">
        <f ca="1">BINOMDIST(Worksheet!$A$24,Worksheet!$B$15,$P321,1)</f>
        <v>1.2579077729505055E-14</v>
      </c>
      <c r="H321">
        <f ca="1">BINOMDIST(Worksheet!$A$25,Worksheet!$B$15,$P321,1)</f>
        <v>1.8855102967118146E-13</v>
      </c>
      <c r="I321">
        <f ca="1">BINOMDIST(Worksheet!$A$26,Worksheet!$B$15,$P321,1)</f>
        <v>2.107102375840495E-12</v>
      </c>
      <c r="J321">
        <f ca="1">BINOMDIST(Worksheet!$A$27,Worksheet!$B$15,$P321,1)</f>
        <v>1.8726241958891665E-11</v>
      </c>
      <c r="K321">
        <f ca="1">BINOMDIST(Worksheet!$A$28,Worksheet!$B$15,$P321,1)</f>
        <v>1.3786604780102434E-10</v>
      </c>
      <c r="L321">
        <f ca="1">BINOMDIST(Worksheet!$A$29,Worksheet!$B$15,$P321,1)</f>
        <v>8.6486200589893593E-10</v>
      </c>
      <c r="M321">
        <f ca="1">BINOMDIST(Worksheet!$A$30,Worksheet!$B$15,$P321,1)</f>
        <v>4.719356809710257E-9</v>
      </c>
      <c r="N321">
        <f ca="1">BINOMDIST(Worksheet!$A$31,Worksheet!$B$15,$P321,1)</f>
        <v>2.2757057601572012E-8</v>
      </c>
      <c r="O321">
        <f ca="1">BINOMDIST(Worksheet!$A$32,Worksheet!$B$15,$P321,1)</f>
        <v>9.818744273117543E-8</v>
      </c>
      <c r="P321">
        <v>0.23</v>
      </c>
    </row>
    <row r="322" spans="5:16" x14ac:dyDescent="0.2">
      <c r="E322">
        <f ca="1">BINOMDIST(Worksheet!$A$22,Worksheet!$B$15,$P322,1)</f>
        <v>1.4828674410599789E-17</v>
      </c>
      <c r="F322">
        <f ca="1">BINOMDIST(Worksheet!$A$23,Worksheet!$B$15,$P322,1)</f>
        <v>6.7107925750278457E-16</v>
      </c>
      <c r="G322">
        <f ca="1">BINOMDIST(Worksheet!$A$24,Worksheet!$B$15,$P322,1)</f>
        <v>1.50949733963876E-14</v>
      </c>
      <c r="H322">
        <f ca="1">BINOMDIST(Worksheet!$A$25,Worksheet!$B$15,$P322,1)</f>
        <v>2.25017821817175E-13</v>
      </c>
      <c r="I322">
        <f ca="1">BINOMDIST(Worksheet!$A$26,Worksheet!$B$15,$P322,1)</f>
        <v>2.5008156538861032E-12</v>
      </c>
      <c r="J322">
        <f ca="1">BINOMDIST(Worksheet!$A$27,Worksheet!$B$15,$P322,1)</f>
        <v>2.2103375190552508E-11</v>
      </c>
      <c r="K322">
        <f ca="1">BINOMDIST(Worksheet!$A$28,Worksheet!$B$15,$P322,1)</f>
        <v>1.6183835212118531E-10</v>
      </c>
      <c r="L322">
        <f ca="1">BINOMDIST(Worksheet!$A$29,Worksheet!$B$15,$P322,1)</f>
        <v>1.0096985132380021E-9</v>
      </c>
      <c r="M322">
        <f ca="1">BINOMDIST(Worksheet!$A$30,Worksheet!$B$15,$P322,1)</f>
        <v>5.479659070825017E-9</v>
      </c>
      <c r="N322">
        <f ca="1">BINOMDIST(Worksheet!$A$31,Worksheet!$B$15,$P322,1)</f>
        <v>2.6279566326038458E-8</v>
      </c>
      <c r="O322">
        <f ca="1">BINOMDIST(Worksheet!$A$32,Worksheet!$B$15,$P322,1)</f>
        <v>1.1277049065835312E-7</v>
      </c>
      <c r="P322">
        <v>0.22900000000000001</v>
      </c>
    </row>
    <row r="323" spans="5:16" x14ac:dyDescent="0.2">
      <c r="E323">
        <f ca="1">BINOMDIST(Worksheet!$A$22,Worksheet!$B$15,$P323,1)</f>
        <v>1.7987787569046935E-17</v>
      </c>
      <c r="F323">
        <f ca="1">BINOMDIST(Worksheet!$A$23,Worksheet!$B$15,$P323,1)</f>
        <v>8.095436415789743E-16</v>
      </c>
      <c r="G323">
        <f ca="1">BINOMDIST(Worksheet!$A$24,Worksheet!$B$15,$P323,1)</f>
        <v>1.8108935311080871E-14</v>
      </c>
      <c r="H323">
        <f ca="1">BINOMDIST(Worksheet!$A$25,Worksheet!$B$15,$P323,1)</f>
        <v>2.6845712667335584E-13</v>
      </c>
      <c r="I323">
        <f ca="1">BINOMDIST(Worksheet!$A$26,Worksheet!$B$15,$P323,1)</f>
        <v>2.9671587439231578E-12</v>
      </c>
      <c r="J323">
        <f ca="1">BINOMDIST(Worksheet!$A$27,Worksheet!$B$15,$P323,1)</f>
        <v>2.6080908864720624E-11</v>
      </c>
      <c r="K323">
        <f ca="1">BINOMDIST(Worksheet!$A$28,Worksheet!$B$15,$P323,1)</f>
        <v>1.8991308588674706E-10</v>
      </c>
      <c r="L323">
        <f ca="1">BINOMDIST(Worksheet!$A$29,Worksheet!$B$15,$P323,1)</f>
        <v>1.1783631783416215E-9</v>
      </c>
      <c r="M323">
        <f ca="1">BINOMDIST(Worksheet!$A$30,Worksheet!$B$15,$P323,1)</f>
        <v>6.3600439091251259E-9</v>
      </c>
      <c r="N323">
        <f ca="1">BINOMDIST(Worksheet!$A$31,Worksheet!$B$15,$P323,1)</f>
        <v>3.0335385321506986E-8</v>
      </c>
      <c r="O323">
        <f ca="1">BINOMDIST(Worksheet!$A$32,Worksheet!$B$15,$P323,1)</f>
        <v>1.2946658971052577E-7</v>
      </c>
      <c r="P323">
        <v>0.22800000000000001</v>
      </c>
    </row>
    <row r="324" spans="5:16" x14ac:dyDescent="0.2">
      <c r="E324">
        <f ca="1">BINOMDIST(Worksheet!$A$22,Worksheet!$B$15,$P324,1)</f>
        <v>2.1814466379006612E-17</v>
      </c>
      <c r="F324">
        <f ca="1">BINOMDIST(Worksheet!$A$23,Worksheet!$B$15,$P324,1)</f>
        <v>9.7631730769484208E-16</v>
      </c>
      <c r="G324">
        <f ca="1">BINOMDIST(Worksheet!$A$24,Worksheet!$B$15,$P324,1)</f>
        <v>2.17185407597303E-14</v>
      </c>
      <c r="H324">
        <f ca="1">BINOMDIST(Worksheet!$A$25,Worksheet!$B$15,$P324,1)</f>
        <v>3.2018652453332739E-13</v>
      </c>
      <c r="I324">
        <f ca="1">BINOMDIST(Worksheet!$A$26,Worksheet!$B$15,$P324,1)</f>
        <v>3.5193540271932507E-12</v>
      </c>
      <c r="J324">
        <f ca="1">BINOMDIST(Worksheet!$A$27,Worksheet!$B$15,$P324,1)</f>
        <v>3.0764010780117299E-11</v>
      </c>
      <c r="K324">
        <f ca="1">BINOMDIST(Worksheet!$A$28,Worksheet!$B$15,$P324,1)</f>
        <v>2.2278068605816406E-10</v>
      </c>
      <c r="L324">
        <f ca="1">BINOMDIST(Worksheet!$A$29,Worksheet!$B$15,$P324,1)</f>
        <v>1.3747033059437101E-9</v>
      </c>
      <c r="M324">
        <f ca="1">BINOMDIST(Worksheet!$A$30,Worksheet!$B$15,$P324,1)</f>
        <v>7.3790813346291377E-9</v>
      </c>
      <c r="N324">
        <f ca="1">BINOMDIST(Worksheet!$A$31,Worksheet!$B$15,$P324,1)</f>
        <v>3.5003363002608781E-8</v>
      </c>
      <c r="O324">
        <f ca="1">BINOMDIST(Worksheet!$A$32,Worksheet!$B$15,$P324,1)</f>
        <v>1.4857382502180577E-7</v>
      </c>
      <c r="P324">
        <v>0.22700000000000001</v>
      </c>
    </row>
    <row r="325" spans="5:16" x14ac:dyDescent="0.2">
      <c r="E325">
        <f ca="1">BINOMDIST(Worksheet!$A$22,Worksheet!$B$15,$P325,1)</f>
        <v>2.6448627601164623E-17</v>
      </c>
      <c r="F325">
        <f ca="1">BINOMDIST(Worksheet!$A$23,Worksheet!$B$15,$P325,1)</f>
        <v>1.177134785019274E-15</v>
      </c>
      <c r="G325">
        <f ca="1">BINOMDIST(Worksheet!$A$24,Worksheet!$B$15,$P325,1)</f>
        <v>2.6040281163133648E-14</v>
      </c>
      <c r="H325">
        <f ca="1">BINOMDIST(Worksheet!$A$25,Worksheet!$B$15,$P325,1)</f>
        <v>3.8176958735336281E-13</v>
      </c>
      <c r="I325">
        <f ca="1">BINOMDIST(Worksheet!$A$26,Worksheet!$B$15,$P325,1)</f>
        <v>4.1729983299414889E-12</v>
      </c>
      <c r="J325">
        <f ca="1">BINOMDIST(Worksheet!$A$27,Worksheet!$B$15,$P325,1)</f>
        <v>3.6275986933200506E-11</v>
      </c>
      <c r="K325">
        <f ca="1">BINOMDIST(Worksheet!$A$28,Worksheet!$B$15,$P325,1)</f>
        <v>2.6124576753278398E-10</v>
      </c>
      <c r="L325">
        <f ca="1">BINOMDIST(Worksheet!$A$29,Worksheet!$B$15,$P325,1)</f>
        <v>1.6031751454245077E-9</v>
      </c>
      <c r="M325">
        <f ca="1">BINOMDIST(Worksheet!$A$30,Worksheet!$B$15,$P325,1)</f>
        <v>8.5581489172754412E-9</v>
      </c>
      <c r="N325">
        <f ca="1">BINOMDIST(Worksheet!$A$31,Worksheet!$B$15,$P325,1)</f>
        <v>4.0373709384373193E-8</v>
      </c>
      <c r="O325">
        <f ca="1">BINOMDIST(Worksheet!$A$32,Worksheet!$B$15,$P325,1)</f>
        <v>1.7043111677183664E-7</v>
      </c>
      <c r="P325">
        <v>0.22600000000000001</v>
      </c>
    </row>
    <row r="326" spans="5:16" x14ac:dyDescent="0.2">
      <c r="E326">
        <f ca="1">BINOMDIST(Worksheet!$A$22,Worksheet!$B$15,$P326,1)</f>
        <v>3.2059273272852482E-17</v>
      </c>
      <c r="F326">
        <f ca="1">BINOMDIST(Worksheet!$A$23,Worksheet!$B$15,$P326,1)</f>
        <v>1.4188813848501119E-15</v>
      </c>
      <c r="G326">
        <f ca="1">BINOMDIST(Worksheet!$A$24,Worksheet!$B$15,$P326,1)</f>
        <v>3.1213188685187323E-14</v>
      </c>
      <c r="H326">
        <f ca="1">BINOMDIST(Worksheet!$A$25,Worksheet!$B$15,$P326,1)</f>
        <v>4.5506123769966455E-13</v>
      </c>
      <c r="I326">
        <f ca="1">BINOMDIST(Worksheet!$A$26,Worksheet!$B$15,$P326,1)</f>
        <v>4.9464833054820987E-12</v>
      </c>
      <c r="J326">
        <f ca="1">BINOMDIST(Worksheet!$A$27,Worksheet!$B$15,$P326,1)</f>
        <v>4.2761359424553511E-11</v>
      </c>
      <c r="K326">
        <f ca="1">BINOMDIST(Worksheet!$A$28,Worksheet!$B$15,$P326,1)</f>
        <v>3.0624565754453462E-10</v>
      </c>
      <c r="L326">
        <f ca="1">BINOMDIST(Worksheet!$A$29,Worksheet!$B$15,$P326,1)</f>
        <v>1.8689382459335439E-9</v>
      </c>
      <c r="M326">
        <f ca="1">BINOMDIST(Worksheet!$A$30,Worksheet!$B$15,$P326,1)</f>
        <v>9.9218460199705223E-9</v>
      </c>
      <c r="N326">
        <f ca="1">BINOMDIST(Worksheet!$A$31,Worksheet!$B$15,$P326,1)</f>
        <v>4.6549587830912759E-8</v>
      </c>
      <c r="O326">
        <f ca="1">BINOMDIST(Worksheet!$A$32,Worksheet!$B$15,$P326,1)</f>
        <v>1.9542363519151631E-7</v>
      </c>
      <c r="P326">
        <v>0.22500000000000001</v>
      </c>
    </row>
    <row r="327" spans="5:16" x14ac:dyDescent="0.2">
      <c r="E327">
        <f ca="1">BINOMDIST(Worksheet!$A$22,Worksheet!$B$15,$P327,1)</f>
        <v>3.8850487028219909E-17</v>
      </c>
      <c r="F327">
        <f ca="1">BINOMDIST(Worksheet!$A$23,Worksheet!$B$15,$P327,1)</f>
        <v>1.7098219497264953E-15</v>
      </c>
      <c r="G327">
        <f ca="1">BINOMDIST(Worksheet!$A$24,Worksheet!$B$15,$P327,1)</f>
        <v>3.7403150513755672E-14</v>
      </c>
      <c r="H327">
        <f ca="1">BINOMDIST(Worksheet!$A$25,Worksheet!$B$15,$P327,1)</f>
        <v>5.4226136484208661E-13</v>
      </c>
      <c r="I327">
        <f ca="1">BINOMDIST(Worksheet!$A$26,Worksheet!$B$15,$P327,1)</f>
        <v>5.8614891487962622E-12</v>
      </c>
      <c r="J327">
        <f ca="1">BINOMDIST(Worksheet!$A$27,Worksheet!$B$15,$P327,1)</f>
        <v>5.0389457814474566E-11</v>
      </c>
      <c r="K327">
        <f ca="1">BINOMDIST(Worksheet!$A$28,Worksheet!$B$15,$P327,1)</f>
        <v>3.5887187991072051E-10</v>
      </c>
      <c r="L327">
        <f ca="1">BINOMDIST(Worksheet!$A$29,Worksheet!$B$15,$P327,1)</f>
        <v>2.1779641009318697E-9</v>
      </c>
      <c r="M327">
        <f ca="1">BINOMDIST(Worksheet!$A$30,Worksheet!$B$15,$P327,1)</f>
        <v>1.1498467542658804E-8</v>
      </c>
      <c r="N327">
        <f ca="1">BINOMDIST(Worksheet!$A$31,Worksheet!$B$15,$P327,1)</f>
        <v>5.3648922969850099E-8</v>
      </c>
      <c r="O327">
        <f ca="1">BINOMDIST(Worksheet!$A$32,Worksheet!$B$15,$P327,1)</f>
        <v>2.2398890778901523E-7</v>
      </c>
      <c r="P327">
        <v>0.224</v>
      </c>
    </row>
    <row r="328" spans="5:16" x14ac:dyDescent="0.2">
      <c r="E328">
        <f ca="1">BINOMDIST(Worksheet!$A$22,Worksheet!$B$15,$P328,1)</f>
        <v>4.7068656402299589E-17</v>
      </c>
      <c r="F328">
        <f ca="1">BINOMDIST(Worksheet!$A$23,Worksheet!$B$15,$P328,1)</f>
        <v>2.0598746361696165E-15</v>
      </c>
      <c r="G328">
        <f ca="1">BINOMDIST(Worksheet!$A$24,Worksheet!$B$15,$P328,1)</f>
        <v>4.4808039730275437E-14</v>
      </c>
      <c r="H328">
        <f ca="1">BINOMDIST(Worksheet!$A$25,Worksheet!$B$15,$P328,1)</f>
        <v>6.4597818127891618E-13</v>
      </c>
      <c r="I328">
        <f ca="1">BINOMDIST(Worksheet!$A$26,Worksheet!$B$15,$P328,1)</f>
        <v>6.9435642393679689E-12</v>
      </c>
      <c r="J328">
        <f ca="1">BINOMDIST(Worksheet!$A$27,Worksheet!$B$15,$P328,1)</f>
        <v>5.9358608045882571E-11</v>
      </c>
      <c r="K328">
        <f ca="1">BINOMDIST(Worksheet!$A$28,Worksheet!$B$15,$P328,1)</f>
        <v>4.2039504878264686E-10</v>
      </c>
      <c r="L328">
        <f ca="1">BINOMDIST(Worksheet!$A$29,Worksheet!$B$15,$P328,1)</f>
        <v>2.537161193047156E-9</v>
      </c>
      <c r="M328">
        <f ca="1">BINOMDIST(Worksheet!$A$30,Worksheet!$B$15,$P328,1)</f>
        <v>1.3320545479449968E-8</v>
      </c>
      <c r="N328">
        <f ca="1">BINOMDIST(Worksheet!$A$31,Worksheet!$B$15,$P328,1)</f>
        <v>6.1806453118140536E-8</v>
      </c>
      <c r="O328">
        <f ca="1">BINOMDIST(Worksheet!$A$32,Worksheet!$B$15,$P328,1)</f>
        <v>2.5662370363035839E-7</v>
      </c>
      <c r="P328">
        <v>0.223</v>
      </c>
    </row>
    <row r="329" spans="5:16" x14ac:dyDescent="0.2">
      <c r="E329">
        <f ca="1">BINOMDIST(Worksheet!$A$22,Worksheet!$B$15,$P329,1)</f>
        <v>5.7011169691371742E-17</v>
      </c>
      <c r="F329">
        <f ca="1">BINOMDIST(Worksheet!$A$23,Worksheet!$B$15,$P329,1)</f>
        <v>2.4809385103741369E-15</v>
      </c>
      <c r="G329">
        <f ca="1">BINOMDIST(Worksheet!$A$24,Worksheet!$B$15,$P329,1)</f>
        <v>5.3663815570446862E-14</v>
      </c>
      <c r="H329">
        <f ca="1">BINOMDIST(Worksheet!$A$25,Worksheet!$B$15,$P329,1)</f>
        <v>7.6930306577542481E-13</v>
      </c>
      <c r="I329">
        <f ca="1">BINOMDIST(Worksheet!$A$26,Worksheet!$B$15,$P329,1)</f>
        <v>8.2228054364835303E-12</v>
      </c>
      <c r="J329">
        <f ca="1">BINOMDIST(Worksheet!$A$27,Worksheet!$B$15,$P329,1)</f>
        <v>6.9901016570955205E-11</v>
      </c>
      <c r="K329">
        <f ca="1">BINOMDIST(Worksheet!$A$28,Worksheet!$B$15,$P329,1)</f>
        <v>4.9229370156383862E-10</v>
      </c>
      <c r="L329">
        <f ca="1">BINOMDIST(Worksheet!$A$29,Worksheet!$B$15,$P329,1)</f>
        <v>2.9545188535623955E-9</v>
      </c>
      <c r="M329">
        <f ca="1">BINOMDIST(Worksheet!$A$30,Worksheet!$B$15,$P329,1)</f>
        <v>1.5425467711467704E-8</v>
      </c>
      <c r="N329">
        <f ca="1">BINOMDIST(Worksheet!$A$31,Worksheet!$B$15,$P329,1)</f>
        <v>7.1176059135367992E-8</v>
      </c>
      <c r="O329">
        <f ca="1">BINOMDIST(Worksheet!$A$32,Worksheet!$B$15,$P329,1)</f>
        <v>2.9389178939948501E-7</v>
      </c>
      <c r="P329">
        <v>0.222</v>
      </c>
    </row>
    <row r="330" spans="5:16" x14ac:dyDescent="0.2">
      <c r="E330">
        <f ca="1">BINOMDIST(Worksheet!$A$22,Worksheet!$B$15,$P330,1)</f>
        <v>6.9036885918903075E-17</v>
      </c>
      <c r="F330">
        <f ca="1">BINOMDIST(Worksheet!$A$23,Worksheet!$B$15,$P330,1)</f>
        <v>2.9872854307501776E-15</v>
      </c>
      <c r="G330">
        <f ca="1">BINOMDIST(Worksheet!$A$24,Worksheet!$B$15,$P330,1)</f>
        <v>6.42517741370029E-14</v>
      </c>
      <c r="H330">
        <f ca="1">BINOMDIST(Worksheet!$A$25,Worksheet!$B$15,$P330,1)</f>
        <v>9.158989476928549E-13</v>
      </c>
      <c r="I330">
        <f ca="1">BINOMDIST(Worksheet!$A$26,Worksheet!$B$15,$P330,1)</f>
        <v>9.7346562333004459E-12</v>
      </c>
      <c r="J330">
        <f ca="1">BINOMDIST(Worksheet!$A$27,Worksheet!$B$15,$P330,1)</f>
        <v>8.2288462964313082E-11</v>
      </c>
      <c r="K330">
        <f ca="1">BINOMDIST(Worksheet!$A$28,Worksheet!$B$15,$P330,1)</f>
        <v>5.7628768106609714E-10</v>
      </c>
      <c r="L330">
        <f ca="1">BINOMDIST(Worksheet!$A$29,Worksheet!$B$15,$P330,1)</f>
        <v>3.4392726965934749E-9</v>
      </c>
      <c r="M330">
        <f ca="1">BINOMDIST(Worksheet!$A$30,Worksheet!$B$15,$P330,1)</f>
        <v>1.78561847243983E-8</v>
      </c>
      <c r="N330">
        <f ca="1">BINOMDIST(Worksheet!$A$31,Worksheet!$B$15,$P330,1)</f>
        <v>8.193340561990949E-8</v>
      </c>
      <c r="O330">
        <f ca="1">BINOMDIST(Worksheet!$A$32,Worksheet!$B$15,$P330,1)</f>
        <v>3.364326629378951E-7</v>
      </c>
      <c r="P330">
        <v>0.221</v>
      </c>
    </row>
    <row r="331" spans="5:16" x14ac:dyDescent="0.2">
      <c r="E331">
        <f ca="1">BINOMDIST(Worksheet!$A$22,Worksheet!$B$15,$P331,1)</f>
        <v>8.3578736396680575E-17</v>
      </c>
      <c r="F331">
        <f ca="1">BINOMDIST(Worksheet!$A$23,Worksheet!$B$15,$P331,1)</f>
        <v>3.5960287095802523E-15</v>
      </c>
      <c r="G331">
        <f ca="1">BINOMDIST(Worksheet!$A$24,Worksheet!$B$15,$P331,1)</f>
        <v>7.6907164047308863E-14</v>
      </c>
      <c r="H331">
        <f ca="1">BINOMDIST(Worksheet!$A$25,Worksheet!$B$15,$P331,1)</f>
        <v>1.0901046498687414E-12</v>
      </c>
      <c r="I331">
        <f ca="1">BINOMDIST(Worksheet!$A$26,Worksheet!$B$15,$P331,1)</f>
        <v>1.1520842869286859E-11</v>
      </c>
      <c r="J331">
        <f ca="1">BINOMDIST(Worksheet!$A$27,Worksheet!$B$15,$P331,1)</f>
        <v>9.6838932407603835E-11</v>
      </c>
      <c r="K331">
        <f ca="1">BINOMDIST(Worksheet!$A$28,Worksheet!$B$15,$P331,1)</f>
        <v>6.7437676928236714E-10</v>
      </c>
      <c r="L331">
        <f ca="1">BINOMDIST(Worksheet!$A$29,Worksheet!$B$15,$P331,1)</f>
        <v>4.0020947817512265E-9</v>
      </c>
      <c r="M331">
        <f ca="1">BINOMDIST(Worksheet!$A$30,Worksheet!$B$15,$P331,1)</f>
        <v>2.0662016369816555E-8</v>
      </c>
      <c r="N331">
        <f ca="1">BINOMDIST(Worksheet!$A$31,Worksheet!$B$15,$P331,1)</f>
        <v>9.4278934840156038E-8</v>
      </c>
      <c r="O331">
        <f ca="1">BINOMDIST(Worksheet!$A$32,Worksheet!$B$15,$P331,1)</f>
        <v>3.8497138213329294E-7</v>
      </c>
      <c r="P331">
        <v>0.22</v>
      </c>
    </row>
    <row r="332" spans="5:16" x14ac:dyDescent="0.2">
      <c r="E332">
        <f ca="1">BINOMDIST(Worksheet!$A$22,Worksheet!$B$15,$P332,1)</f>
        <v>1.0115888824413814E-16</v>
      </c>
      <c r="F332">
        <f ca="1">BINOMDIST(Worksheet!$A$23,Worksheet!$B$15,$P332,1)</f>
        <v>4.3276834494406332E-15</v>
      </c>
      <c r="G332">
        <f ca="1">BINOMDIST(Worksheet!$A$24,Worksheet!$B$15,$P332,1)</f>
        <v>9.2029421015062015E-14</v>
      </c>
      <c r="H332">
        <f ca="1">BINOMDIST(Worksheet!$A$25,Worksheet!$B$15,$P332,1)</f>
        <v>1.2970580328161912E-12</v>
      </c>
      <c r="I332">
        <f ca="1">BINOMDIST(Worksheet!$A$26,Worksheet!$B$15,$P332,1)</f>
        <v>1.3630471872038205E-11</v>
      </c>
      <c r="J332">
        <f ca="1">BINOMDIST(Worksheet!$A$27,Worksheet!$B$15,$P332,1)</f>
        <v>1.1392434036486641E-10</v>
      </c>
      <c r="K332">
        <f ca="1">BINOMDIST(Worksheet!$A$28,Worksheet!$B$15,$P332,1)</f>
        <v>7.8888538107972418E-10</v>
      </c>
      <c r="L332">
        <f ca="1">BINOMDIST(Worksheet!$A$29,Worksheet!$B$15,$P332,1)</f>
        <v>4.6553121072672511E-9</v>
      </c>
      <c r="M332">
        <f ca="1">BINOMDIST(Worksheet!$A$30,Worksheet!$B$15,$P332,1)</f>
        <v>2.3899572403518758E-8</v>
      </c>
      <c r="N332">
        <f ca="1">BINOMDIST(Worksheet!$A$31,Worksheet!$B$15,$P332,1)</f>
        <v>1.0844125880100761E-7</v>
      </c>
      <c r="O332">
        <f ca="1">BINOMDIST(Worksheet!$A$32,Worksheet!$B$15,$P332,1)</f>
        <v>4.4032962050997405E-7</v>
      </c>
      <c r="P332">
        <v>0.219</v>
      </c>
    </row>
    <row r="333" spans="5:16" x14ac:dyDescent="0.2">
      <c r="E333">
        <f ca="1">BINOMDIST(Worksheet!$A$22,Worksheet!$B$15,$P333,1)</f>
        <v>1.2240698639082789E-16</v>
      </c>
      <c r="F333">
        <f ca="1">BINOMDIST(Worksheet!$A$23,Worksheet!$B$15,$P333,1)</f>
        <v>5.2068363111310584E-15</v>
      </c>
      <c r="G333">
        <f ca="1">BINOMDIST(Worksheet!$A$24,Worksheet!$B$15,$P333,1)</f>
        <v>1.1009432207418682E-13</v>
      </c>
      <c r="H333">
        <f ca="1">BINOMDIST(Worksheet!$A$25,Worksheet!$B$15,$P333,1)</f>
        <v>1.5428412823311637E-12</v>
      </c>
      <c r="I333">
        <f ca="1">BINOMDIST(Worksheet!$A$26,Worksheet!$B$15,$P333,1)</f>
        <v>1.6121316426531672E-11</v>
      </c>
      <c r="J333">
        <f ca="1">BINOMDIST(Worksheet!$A$27,Worksheet!$B$15,$P333,1)</f>
        <v>1.3397952596826551E-10</v>
      </c>
      <c r="K333">
        <f ca="1">BINOMDIST(Worksheet!$A$28,Worksheet!$B$15,$P333,1)</f>
        <v>9.2251424760809607E-10</v>
      </c>
      <c r="L333">
        <f ca="1">BINOMDIST(Worksheet!$A$29,Worksheet!$B$15,$P333,1)</f>
        <v>5.4131575454524852E-9</v>
      </c>
      <c r="M333">
        <f ca="1">BINOMDIST(Worksheet!$A$30,Worksheet!$B$15,$P333,1)</f>
        <v>2.7633802354926777E-8</v>
      </c>
      <c r="N333">
        <f ca="1">BINOMDIST(Worksheet!$A$31,Worksheet!$B$15,$P333,1)</f>
        <v>1.2468100044438718E-7</v>
      </c>
      <c r="O333">
        <f ca="1">BINOMDIST(Worksheet!$A$32,Worksheet!$B$15,$P333,1)</f>
        <v>5.0343809580120427E-7</v>
      </c>
      <c r="P333">
        <v>0.218</v>
      </c>
    </row>
    <row r="334" spans="5:16" x14ac:dyDescent="0.2">
      <c r="E334">
        <f ca="1">BINOMDIST(Worksheet!$A$22,Worksheet!$B$15,$P334,1)</f>
        <v>1.4808209385398227E-16</v>
      </c>
      <c r="F334">
        <f ca="1">BINOMDIST(Worksheet!$A$23,Worksheet!$B$15,$P334,1)</f>
        <v>6.2629458749278008E-15</v>
      </c>
      <c r="G334">
        <f ca="1">BINOMDIST(Worksheet!$A$24,Worksheet!$B$15,$P334,1)</f>
        <v>1.3166841534680938E-13</v>
      </c>
      <c r="H334">
        <f ca="1">BINOMDIST(Worksheet!$A$25,Worksheet!$B$15,$P334,1)</f>
        <v>1.8346522683410827E-12</v>
      </c>
      <c r="I334">
        <f ca="1">BINOMDIST(Worksheet!$A$26,Worksheet!$B$15,$P334,1)</f>
        <v>1.9061323542467826E-11</v>
      </c>
      <c r="J334">
        <f ca="1">BINOMDIST(Worksheet!$A$27,Worksheet!$B$15,$P334,1)</f>
        <v>1.5751271859748619E-10</v>
      </c>
      <c r="K334">
        <f ca="1">BINOMDIST(Worksheet!$A$28,Worksheet!$B$15,$P334,1)</f>
        <v>1.0784001585036605E-9</v>
      </c>
      <c r="L334">
        <f ca="1">BINOMDIST(Worksheet!$A$29,Worksheet!$B$15,$P334,1)</f>
        <v>6.2920579121487119E-9</v>
      </c>
      <c r="M334">
        <f ca="1">BINOMDIST(Worksheet!$A$30,Worksheet!$B$15,$P334,1)</f>
        <v>3.193919233437386E-8</v>
      </c>
      <c r="N334">
        <f ca="1">BINOMDIST(Worksheet!$A$31,Worksheet!$B$15,$P334,1)</f>
        <v>1.4329514123700214E-7</v>
      </c>
      <c r="O334">
        <f ca="1">BINOMDIST(Worksheet!$A$32,Worksheet!$B$15,$P334,1)</f>
        <v>5.7535053429726309E-7</v>
      </c>
      <c r="P334">
        <v>0.217</v>
      </c>
    </row>
    <row r="335" spans="5:16" x14ac:dyDescent="0.2">
      <c r="E335">
        <f ca="1">BINOMDIST(Worksheet!$A$22,Worksheet!$B$15,$P335,1)</f>
        <v>1.7909907382229709E-16</v>
      </c>
      <c r="F335">
        <f ca="1">BINOMDIST(Worksheet!$A$23,Worksheet!$B$15,$P335,1)</f>
        <v>7.5312988083845376E-15</v>
      </c>
      <c r="G335">
        <f ca="1">BINOMDIST(Worksheet!$A$24,Worksheet!$B$15,$P335,1)</f>
        <v>1.574261464579294E-13</v>
      </c>
      <c r="H335">
        <f ca="1">BINOMDIST(Worksheet!$A$25,Worksheet!$B$15,$P335,1)</f>
        <v>2.1810065897267757E-12</v>
      </c>
      <c r="I335">
        <f ca="1">BINOMDIST(Worksheet!$A$26,Worksheet!$B$15,$P335,1)</f>
        <v>2.2530379312598757E-11</v>
      </c>
      <c r="J335">
        <f ca="1">BINOMDIST(Worksheet!$A$27,Worksheet!$B$15,$P335,1)</f>
        <v>1.851177144351376E-10</v>
      </c>
      <c r="K335">
        <f ca="1">BINOMDIST(Worksheet!$A$28,Worksheet!$B$15,$P335,1)</f>
        <v>1.2601849915719182E-9</v>
      </c>
      <c r="L335">
        <f ca="1">BINOMDIST(Worksheet!$A$29,Worksheet!$B$15,$P335,1)</f>
        <v>7.3109645207630717E-9</v>
      </c>
      <c r="M335">
        <f ca="1">BINOMDIST(Worksheet!$A$30,Worksheet!$B$15,$P335,1)</f>
        <v>3.6901128697955296E-8</v>
      </c>
      <c r="N335">
        <f ca="1">BINOMDIST(Worksheet!$A$31,Worksheet!$B$15,$P335,1)</f>
        <v>1.646219393811428E-7</v>
      </c>
      <c r="O335">
        <f ca="1">BINOMDIST(Worksheet!$A$32,Worksheet!$B$15,$P335,1)</f>
        <v>6.5725935201629615E-7</v>
      </c>
      <c r="P335">
        <v>0.216</v>
      </c>
    </row>
    <row r="336" spans="5:16" x14ac:dyDescent="0.2">
      <c r="E336">
        <f ca="1">BINOMDIST(Worksheet!$A$22,Worksheet!$B$15,$P336,1)</f>
        <v>2.1656030531239709E-16</v>
      </c>
      <c r="F336">
        <f ca="1">BINOMDIST(Worksheet!$A$23,Worksheet!$B$15,$P336,1)</f>
        <v>9.0541518730609352E-15</v>
      </c>
      <c r="G336">
        <f ca="1">BINOMDIST(Worksheet!$A$24,Worksheet!$B$15,$P336,1)</f>
        <v>1.8817017969838491E-13</v>
      </c>
      <c r="H336">
        <f ca="1">BINOMDIST(Worksheet!$A$25,Worksheet!$B$15,$P336,1)</f>
        <v>2.5919757250993917E-12</v>
      </c>
      <c r="I336">
        <f ca="1">BINOMDIST(Worksheet!$A$26,Worksheet!$B$15,$P336,1)</f>
        <v>2.6622375747436222E-11</v>
      </c>
      <c r="J336">
        <f ca="1">BINOMDIST(Worksheet!$A$27,Worksheet!$B$15,$P336,1)</f>
        <v>2.1748803707134747E-10</v>
      </c>
      <c r="K336">
        <f ca="1">BINOMDIST(Worksheet!$A$28,Worksheet!$B$15,$P336,1)</f>
        <v>1.472095441442535E-9</v>
      </c>
      <c r="L336">
        <f ca="1">BINOMDIST(Worksheet!$A$29,Worksheet!$B$15,$P336,1)</f>
        <v>8.4917323199488533E-9</v>
      </c>
      <c r="M336">
        <f ca="1">BINOMDIST(Worksheet!$A$30,Worksheet!$B$15,$P336,1)</f>
        <v>4.2617451093961317E-8</v>
      </c>
      <c r="N336">
        <f ca="1">BINOMDIST(Worksheet!$A$31,Worksheet!$B$15,$P336,1)</f>
        <v>1.8904649067417048E-7</v>
      </c>
      <c r="O336">
        <f ca="1">BINOMDIST(Worksheet!$A$32,Worksheet!$B$15,$P336,1)</f>
        <v>7.5051325390529204E-7</v>
      </c>
      <c r="P336">
        <v>0.215</v>
      </c>
    </row>
    <row r="337" spans="5:16" x14ac:dyDescent="0.2">
      <c r="E337">
        <f ca="1">BINOMDIST(Worksheet!$A$22,Worksheet!$B$15,$P337,1)</f>
        <v>2.6179380170452806E-16</v>
      </c>
      <c r="F337">
        <f ca="1">BINOMDIST(Worksheet!$A$23,Worksheet!$B$15,$P337,1)</f>
        <v>1.0882095533448245E-14</v>
      </c>
      <c r="G337">
        <f ca="1">BINOMDIST(Worksheet!$A$24,Worksheet!$B$15,$P337,1)</f>
        <v>2.2485550294298244E-13</v>
      </c>
      <c r="H337">
        <f ca="1">BINOMDIST(Worksheet!$A$25,Worksheet!$B$15,$P337,1)</f>
        <v>3.0794676531928314E-12</v>
      </c>
      <c r="I337">
        <f ca="1">BINOMDIST(Worksheet!$A$26,Worksheet!$B$15,$P337,1)</f>
        <v>3.1447629874059807E-11</v>
      </c>
      <c r="J337">
        <f ca="1">BINOMDIST(Worksheet!$A$27,Worksheet!$B$15,$P337,1)</f>
        <v>2.554333992668093E-10</v>
      </c>
      <c r="K337">
        <f ca="1">BINOMDIST(Worksheet!$A$28,Worksheet!$B$15,$P337,1)</f>
        <v>1.7190350679705796E-9</v>
      </c>
      <c r="L337">
        <f ca="1">BINOMDIST(Worksheet!$A$29,Worksheet!$B$15,$P337,1)</f>
        <v>9.8595545637307611E-9</v>
      </c>
      <c r="M337">
        <f ca="1">BINOMDIST(Worksheet!$A$30,Worksheet!$B$15,$P337,1)</f>
        <v>4.920022034572211E-8</v>
      </c>
      <c r="N337">
        <f ca="1">BINOMDIST(Worksheet!$A$31,Worksheet!$B$15,$P337,1)</f>
        <v>2.1700701272709168E-7</v>
      </c>
      <c r="O337">
        <f ca="1">BINOMDIST(Worksheet!$A$32,Worksheet!$B$15,$P337,1)</f>
        <v>8.5663697452681083E-7</v>
      </c>
      <c r="P337">
        <v>0.214</v>
      </c>
    </row>
    <row r="338" spans="5:16" x14ac:dyDescent="0.2">
      <c r="E338">
        <f ca="1">BINOMDIST(Worksheet!$A$22,Worksheet!$B$15,$P338,1)</f>
        <v>3.1639901405293788E-16</v>
      </c>
      <c r="F338">
        <f ca="1">BINOMDIST(Worksheet!$A$23,Worksheet!$B$15,$P338,1)</f>
        <v>1.3075681744673121E-14</v>
      </c>
      <c r="G338">
        <f ca="1">BINOMDIST(Worksheet!$A$24,Worksheet!$B$15,$P338,1)</f>
        <v>2.6861801262146417E-13</v>
      </c>
      <c r="H338">
        <f ca="1">BINOMDIST(Worksheet!$A$25,Worksheet!$B$15,$P338,1)</f>
        <v>3.6575574120637488E-12</v>
      </c>
      <c r="I338">
        <f ca="1">BINOMDIST(Worksheet!$A$26,Worksheet!$B$15,$P338,1)</f>
        <v>3.7135714160429607E-11</v>
      </c>
      <c r="J338">
        <f ca="1">BINOMDIST(Worksheet!$A$27,Worksheet!$B$15,$P338,1)</f>
        <v>2.9989883262886263E-10</v>
      </c>
      <c r="K338">
        <f ca="1">BINOMDIST(Worksheet!$A$28,Worksheet!$B$15,$P338,1)</f>
        <v>2.0066905246372767E-9</v>
      </c>
      <c r="L338">
        <f ca="1">BINOMDIST(Worksheet!$A$29,Worksheet!$B$15,$P338,1)</f>
        <v>1.1443460927048717E-8</v>
      </c>
      <c r="M338">
        <f ca="1">BINOMDIST(Worksheet!$A$30,Worksheet!$B$15,$P338,1)</f>
        <v>5.6777729921860397E-8</v>
      </c>
      <c r="N338">
        <f ca="1">BINOMDIST(Worksheet!$A$31,Worksheet!$B$15,$P338,1)</f>
        <v>2.4900194292781651E-7</v>
      </c>
      <c r="O338">
        <f ca="1">BINOMDIST(Worksheet!$A$32,Worksheet!$B$15,$P338,1)</f>
        <v>9.7735340821848762E-7</v>
      </c>
      <c r="P338">
        <v>0.21299999999999999</v>
      </c>
    </row>
    <row r="339" spans="5:16" x14ac:dyDescent="0.2">
      <c r="E339">
        <f ca="1">BINOMDIST(Worksheet!$A$22,Worksheet!$B$15,$P339,1)</f>
        <v>3.8230185556484776E-16</v>
      </c>
      <c r="F339">
        <f ca="1">BINOMDIST(Worksheet!$A$23,Worksheet!$B$15,$P339,1)</f>
        <v>1.5707366593613604E-14</v>
      </c>
      <c r="G339">
        <f ca="1">BINOMDIST(Worksheet!$A$24,Worksheet!$B$15,$P339,1)</f>
        <v>3.2080840163232942E-13</v>
      </c>
      <c r="H339">
        <f ca="1">BINOMDIST(Worksheet!$A$25,Worksheet!$B$15,$P339,1)</f>
        <v>4.3428763610005967E-12</v>
      </c>
      <c r="I339">
        <f ca="1">BINOMDIST(Worksheet!$A$26,Worksheet!$B$15,$P339,1)</f>
        <v>4.3838767058451781E-11</v>
      </c>
      <c r="J339">
        <f ca="1">BINOMDIST(Worksheet!$A$27,Worksheet!$B$15,$P339,1)</f>
        <v>3.5198690920049636E-10</v>
      </c>
      <c r="K339">
        <f ca="1">BINOMDIST(Worksheet!$A$28,Worksheet!$B$15,$P339,1)</f>
        <v>2.3416541011024197E-9</v>
      </c>
      <c r="L339">
        <f ca="1">BINOMDIST(Worksheet!$A$29,Worksheet!$B$15,$P339,1)</f>
        <v>1.3276888073128981E-8</v>
      </c>
      <c r="M339">
        <f ca="1">BINOMDIST(Worksheet!$A$30,Worksheet!$B$15,$P339,1)</f>
        <v>6.5496793449697796E-8</v>
      </c>
      <c r="N339">
        <f ca="1">BINOMDIST(Worksheet!$A$31,Worksheet!$B$15,$P339,1)</f>
        <v>2.8559795130592807E-7</v>
      </c>
      <c r="O339">
        <f ca="1">BINOMDIST(Worksheet!$A$32,Worksheet!$B$15,$P339,1)</f>
        <v>1.1146084037390436E-6</v>
      </c>
      <c r="P339">
        <v>0.21199999999999999</v>
      </c>
    </row>
    <row r="340" spans="5:16" x14ac:dyDescent="0.2">
      <c r="E340">
        <f ca="1">BINOMDIST(Worksheet!$A$22,Worksheet!$B$15,$P340,1)</f>
        <v>4.618207882421517E-16</v>
      </c>
      <c r="F340">
        <f ca="1">BINOMDIST(Worksheet!$A$23,Worksheet!$B$15,$P340,1)</f>
        <v>1.8863828090580666E-14</v>
      </c>
      <c r="G340">
        <f ca="1">BINOMDIST(Worksheet!$A$24,Worksheet!$B$15,$P340,1)</f>
        <v>3.8303232241087497E-13</v>
      </c>
      <c r="H340">
        <f ca="1">BINOMDIST(Worksheet!$A$25,Worksheet!$B$15,$P340,1)</f>
        <v>5.1550704247905157E-12</v>
      </c>
      <c r="I340">
        <f ca="1">BINOMDIST(Worksheet!$A$26,Worksheet!$B$15,$P340,1)</f>
        <v>5.1735363765065073E-11</v>
      </c>
      <c r="J340">
        <f ca="1">BINOMDIST(Worksheet!$A$27,Worksheet!$B$15,$P340,1)</f>
        <v>4.1298354494268349E-10</v>
      </c>
      <c r="K340">
        <f ca="1">BINOMDIST(Worksheet!$A$28,Worksheet!$B$15,$P340,1)</f>
        <v>2.7315650271777448E-9</v>
      </c>
      <c r="L340">
        <f ca="1">BINOMDIST(Worksheet!$A$29,Worksheet!$B$15,$P340,1)</f>
        <v>1.5398332918446666E-8</v>
      </c>
      <c r="M340">
        <f ca="1">BINOMDIST(Worksheet!$A$30,Worksheet!$B$15,$P340,1)</f>
        <v>7.5525344889010775E-8</v>
      </c>
      <c r="N340">
        <f ca="1">BINOMDIST(Worksheet!$A$31,Worksheet!$B$15,$P340,1)</f>
        <v>3.2743898143826319E-7</v>
      </c>
      <c r="O340">
        <f ca="1">BINOMDIST(Worksheet!$A$32,Worksheet!$B$15,$P340,1)</f>
        <v>1.2705985281638584E-6</v>
      </c>
      <c r="P340">
        <v>0.21099999999999999</v>
      </c>
    </row>
    <row r="341" spans="5:16" x14ac:dyDescent="0.2">
      <c r="E341">
        <f ca="1">BINOMDIST(Worksheet!$A$22,Worksheet!$B$15,$P341,1)</f>
        <v>5.5774617716156441E-16</v>
      </c>
      <c r="F341">
        <f ca="1">BINOMDIST(Worksheet!$A$23,Worksheet!$B$15,$P341,1)</f>
        <v>2.2648730839674719E-14</v>
      </c>
      <c r="G341">
        <f ca="1">BINOMDIST(Worksheet!$A$24,Worksheet!$B$15,$P341,1)</f>
        <v>4.5719797344151474E-13</v>
      </c>
      <c r="H341">
        <f ca="1">BINOMDIST(Worksheet!$A$25,Worksheet!$B$15,$P341,1)</f>
        <v>6.1173393739136141E-12</v>
      </c>
      <c r="I341">
        <f ca="1">BINOMDIST(Worksheet!$A$26,Worksheet!$B$15,$P341,1)</f>
        <v>6.1035040430392745E-11</v>
      </c>
      <c r="J341">
        <f ca="1">BINOMDIST(Worksheet!$A$27,Worksheet!$B$15,$P341,1)</f>
        <v>4.8438795110628799E-10</v>
      </c>
      <c r="K341">
        <f ca="1">BINOMDIST(Worksheet!$A$28,Worksheet!$B$15,$P341,1)</f>
        <v>3.1852723432664442E-9</v>
      </c>
      <c r="L341">
        <f ca="1">BINOMDIST(Worksheet!$A$29,Worksheet!$B$15,$P341,1)</f>
        <v>1.7852100244996874E-8</v>
      </c>
      <c r="M341">
        <f ca="1">BINOMDIST(Worksheet!$A$30,Worksheet!$B$15,$P341,1)</f>
        <v>8.7055392654743684E-8</v>
      </c>
      <c r="N341">
        <f ca="1">BINOMDIST(Worksheet!$A$31,Worksheet!$B$15,$P341,1)</f>
        <v>3.7525644585483069E-7</v>
      </c>
      <c r="O341">
        <f ca="1">BINOMDIST(Worksheet!$A$32,Worksheet!$B$15,$P341,1)</f>
        <v>1.4478021375108464E-6</v>
      </c>
      <c r="P341">
        <v>0.21</v>
      </c>
    </row>
    <row r="342" spans="5:16" x14ac:dyDescent="0.2">
      <c r="E342">
        <f ca="1">BINOMDIST(Worksheet!$A$22,Worksheet!$B$15,$P342,1)</f>
        <v>6.7343555390491696E-16</v>
      </c>
      <c r="F342">
        <f ca="1">BINOMDIST(Worksheet!$A$23,Worksheet!$B$15,$P342,1)</f>
        <v>2.7186022891645829E-14</v>
      </c>
      <c r="G342">
        <f ca="1">BINOMDIST(Worksheet!$A$24,Worksheet!$B$15,$P342,1)</f>
        <v>5.4557246507305967E-13</v>
      </c>
      <c r="H342">
        <f ca="1">BINOMDIST(Worksheet!$A$25,Worksheet!$B$15,$P342,1)</f>
        <v>7.2570712695988105E-12</v>
      </c>
      <c r="I342">
        <f ca="1">BINOMDIST(Worksheet!$A$26,Worksheet!$B$15,$P342,1)</f>
        <v>7.1983580283915792E-11</v>
      </c>
      <c r="J342">
        <f ca="1">BINOMDIST(Worksheet!$A$27,Worksheet!$B$15,$P342,1)</f>
        <v>5.6794738702952353E-10</v>
      </c>
      <c r="K342">
        <f ca="1">BINOMDIST(Worksheet!$A$28,Worksheet!$B$15,$P342,1)</f>
        <v>3.7130225509182351E-9</v>
      </c>
      <c r="L342">
        <f ca="1">BINOMDIST(Worksheet!$A$29,Worksheet!$B$15,$P342,1)</f>
        <v>2.0689157899146886E-8</v>
      </c>
      <c r="M342">
        <f ca="1">BINOMDIST(Worksheet!$A$30,Worksheet!$B$15,$P342,1)</f>
        <v>1.0030637421784566E-7</v>
      </c>
      <c r="N342">
        <f ca="1">BINOMDIST(Worksheet!$A$31,Worksheet!$B$15,$P342,1)</f>
        <v>4.2988071720081255E-7</v>
      </c>
      <c r="O342">
        <f ca="1">BINOMDIST(Worksheet!$A$32,Worksheet!$B$15,$P342,1)</f>
        <v>1.6490141275271871E-6</v>
      </c>
      <c r="P342">
        <v>0.20899999999999999</v>
      </c>
    </row>
    <row r="343" spans="5:16" x14ac:dyDescent="0.2">
      <c r="E343">
        <f ca="1">BINOMDIST(Worksheet!$A$22,Worksheet!$B$15,$P343,1)</f>
        <v>8.1292795217008383E-16</v>
      </c>
      <c r="F343">
        <f ca="1">BINOMDIST(Worksheet!$A$23,Worksheet!$B$15,$P343,1)</f>
        <v>3.2623866201734802E-14</v>
      </c>
      <c r="G343">
        <f ca="1">BINOMDIST(Worksheet!$A$24,Worksheet!$B$15,$P343,1)</f>
        <v>6.5084856511246536E-13</v>
      </c>
      <c r="H343">
        <f ca="1">BINOMDIST(Worksheet!$A$25,Worksheet!$B$15,$P343,1)</f>
        <v>8.6065886298829126E-12</v>
      </c>
      <c r="I343">
        <f ca="1">BINOMDIST(Worksheet!$A$26,Worksheet!$B$15,$P343,1)</f>
        <v>8.4869187836621538E-11</v>
      </c>
      <c r="J343">
        <f ca="1">BINOMDIST(Worksheet!$A$27,Worksheet!$B$15,$P343,1)</f>
        <v>6.656974686637046E-10</v>
      </c>
      <c r="K343">
        <f ca="1">BINOMDIST(Worksheet!$A$28,Worksheet!$B$15,$P343,1)</f>
        <v>4.3266757235737885E-9</v>
      </c>
      <c r="L343">
        <f ca="1">BINOMDIST(Worksheet!$A$29,Worksheet!$B$15,$P343,1)</f>
        <v>2.3968114614996249E-8</v>
      </c>
      <c r="M343">
        <f ca="1">BINOMDIST(Worksheet!$A$30,Worksheet!$B$15,$P343,1)</f>
        <v>1.1552896358864699E-7</v>
      </c>
      <c r="N343">
        <f ca="1">BINOMDIST(Worksheet!$A$31,Worksheet!$B$15,$P343,1)</f>
        <v>4.9225407283376765E-7</v>
      </c>
      <c r="O343">
        <f ca="1">BINOMDIST(Worksheet!$A$32,Worksheet!$B$15,$P343,1)</f>
        <v>1.8773847775330081E-6</v>
      </c>
      <c r="P343">
        <v>0.20799999999999999</v>
      </c>
    </row>
    <row r="344" spans="5:16" x14ac:dyDescent="0.2">
      <c r="E344">
        <f ca="1">BINOMDIST(Worksheet!$A$22,Worksheet!$B$15,$P344,1)</f>
        <v>9.8108110221163718E-16</v>
      </c>
      <c r="F344">
        <f ca="1">BINOMDIST(Worksheet!$A$23,Worksheet!$B$15,$P344,1)</f>
        <v>3.9139321247878184E-14</v>
      </c>
      <c r="G344">
        <f ca="1">BINOMDIST(Worksheet!$A$24,Worksheet!$B$15,$P344,1)</f>
        <v>7.7622371286367E-13</v>
      </c>
      <c r="H344">
        <f ca="1">BINOMDIST(Worksheet!$A$25,Worksheet!$B$15,$P344,1)</f>
        <v>1.020402571054205E-11</v>
      </c>
      <c r="I344">
        <f ca="1">BINOMDIST(Worksheet!$A$26,Worksheet!$B$15,$P344,1)</f>
        <v>1.0002969783344091E-10</v>
      </c>
      <c r="J344">
        <f ca="1">BINOMDIST(Worksheet!$A$27,Worksheet!$B$15,$P344,1)</f>
        <v>7.8000890307147996E-10</v>
      </c>
      <c r="K344">
        <f ca="1">BINOMDIST(Worksheet!$A$28,Worksheet!$B$15,$P344,1)</f>
        <v>5.0399542897329725E-9</v>
      </c>
      <c r="L344">
        <f ca="1">BINOMDIST(Worksheet!$A$29,Worksheet!$B$15,$P344,1)</f>
        <v>2.7756337534295504E-8</v>
      </c>
      <c r="M344">
        <f ca="1">BINOMDIST(Worksheet!$A$30,Worksheet!$B$15,$P344,1)</f>
        <v>1.330093906696479E-7</v>
      </c>
      <c r="N344">
        <f ca="1">BINOMDIST(Worksheet!$A$31,Worksheet!$B$15,$P344,1)</f>
        <v>5.6344526875028555E-7</v>
      </c>
      <c r="O344">
        <f ca="1">BINOMDIST(Worksheet!$A$32,Worksheet!$B$15,$P344,1)</f>
        <v>2.1364631435014634E-6</v>
      </c>
      <c r="P344">
        <v>0.20699999999999999</v>
      </c>
    </row>
    <row r="345" spans="5:16" x14ac:dyDescent="0.2">
      <c r="E345">
        <f ca="1">BINOMDIST(Worksheet!$A$22,Worksheet!$B$15,$P345,1)</f>
        <v>1.1837360162986407E-15</v>
      </c>
      <c r="F345">
        <f ca="1">BINOMDIST(Worksheet!$A$23,Worksheet!$B$15,$P345,1)</f>
        <v>4.6943929069535942E-14</v>
      </c>
      <c r="G345">
        <f ca="1">BINOMDIST(Worksheet!$A$24,Worksheet!$B$15,$P345,1)</f>
        <v>9.2549352970372837E-13</v>
      </c>
      <c r="H345">
        <f ca="1">BINOMDIST(Worksheet!$A$25,Worksheet!$B$15,$P345,1)</f>
        <v>1.2094359611317752E-11</v>
      </c>
      <c r="I345">
        <f ca="1">BINOMDIST(Worksheet!$A$26,Worksheet!$B$15,$P345,1)</f>
        <v>1.1786098941944842E-10</v>
      </c>
      <c r="J345">
        <f ca="1">BINOMDIST(Worksheet!$A$27,Worksheet!$B$15,$P345,1)</f>
        <v>9.1364165248465955E-10</v>
      </c>
      <c r="K345">
        <f ca="1">BINOMDIST(Worksheet!$A$28,Worksheet!$B$15,$P345,1)</f>
        <v>5.8687293076413308E-9</v>
      </c>
      <c r="L345">
        <f ca="1">BINOMDIST(Worksheet!$A$29,Worksheet!$B$15,$P345,1)</f>
        <v>3.2131228794076194E-8</v>
      </c>
      <c r="M345">
        <f ca="1">BINOMDIST(Worksheet!$A$30,Worksheet!$B$15,$P345,1)</f>
        <v>1.5307433883456623E-7</v>
      </c>
      <c r="N345">
        <f ca="1">BINOMDIST(Worksheet!$A$31,Worksheet!$B$15,$P345,1)</f>
        <v>6.4466593892357693E-7</v>
      </c>
      <c r="O345">
        <f ca="1">BINOMDIST(Worksheet!$A$32,Worksheet!$B$15,$P345,1)</f>
        <v>2.4302455039824007E-6</v>
      </c>
      <c r="P345">
        <v>0.20599999999999999</v>
      </c>
    </row>
    <row r="346" spans="5:16" x14ac:dyDescent="0.2">
      <c r="E346">
        <f ca="1">BINOMDIST(Worksheet!$A$22,Worksheet!$B$15,$P346,1)</f>
        <v>1.4279143884690657E-15</v>
      </c>
      <c r="F346">
        <f ca="1">BINOMDIST(Worksheet!$A$23,Worksheet!$B$15,$P346,1)</f>
        <v>5.6290360924050634E-14</v>
      </c>
      <c r="G346">
        <f ca="1">BINOMDIST(Worksheet!$A$24,Worksheet!$B$15,$P346,1)</f>
        <v>1.1031624539363469E-12</v>
      </c>
      <c r="H346">
        <f ca="1">BINOMDIST(Worksheet!$A$25,Worksheet!$B$15,$P346,1)</f>
        <v>1.4330621792689154E-11</v>
      </c>
      <c r="I346">
        <f ca="1">BINOMDIST(Worksheet!$A$26,Worksheet!$B$15,$P346,1)</f>
        <v>1.3882680355648583E-10</v>
      </c>
      <c r="J346">
        <f ca="1">BINOMDIST(Worksheet!$A$27,Worksheet!$B$15,$P346,1)</f>
        <v>1.0698076847964457E-9</v>
      </c>
      <c r="K346">
        <f ca="1">BINOMDIST(Worksheet!$A$28,Worksheet!$B$15,$P346,1)</f>
        <v>6.8313497422815073E-9</v>
      </c>
      <c r="L346">
        <f ca="1">BINOMDIST(Worksheet!$A$29,Worksheet!$B$15,$P346,1)</f>
        <v>3.7181683150219324E-8</v>
      </c>
      <c r="M346">
        <f ca="1">BINOMDIST(Worksheet!$A$30,Worksheet!$B$15,$P346,1)</f>
        <v>1.7609649533655048E-7</v>
      </c>
      <c r="N346">
        <f ca="1">BINOMDIST(Worksheet!$A$31,Worksheet!$B$15,$P346,1)</f>
        <v>7.3728903848762359E-7</v>
      </c>
      <c r="O346">
        <f ca="1">BINOMDIST(Worksheet!$A$32,Worksheet!$B$15,$P346,1)</f>
        <v>2.7632294143914875E-6</v>
      </c>
      <c r="P346">
        <v>0.20499999999999999</v>
      </c>
    </row>
    <row r="347" spans="5:16" x14ac:dyDescent="0.2">
      <c r="E347">
        <f ca="1">BINOMDIST(Worksheet!$A$22,Worksheet!$B$15,$P347,1)</f>
        <v>1.7220552966838235E-15</v>
      </c>
      <c r="F347">
        <f ca="1">BINOMDIST(Worksheet!$A$23,Worksheet!$B$15,$P347,1)</f>
        <v>6.7480337706233635E-14</v>
      </c>
      <c r="G347">
        <f ca="1">BINOMDIST(Worksheet!$A$24,Worksheet!$B$15,$P347,1)</f>
        <v>1.3145745980762901E-12</v>
      </c>
      <c r="H347">
        <f ca="1">BINOMDIST(Worksheet!$A$25,Worksheet!$B$15,$P347,1)</f>
        <v>1.6975321113979694E-11</v>
      </c>
      <c r="I347">
        <f ca="1">BINOMDIST(Worksheet!$A$26,Worksheet!$B$15,$P347,1)</f>
        <v>1.6347019367354749E-10</v>
      </c>
      <c r="J347">
        <f ca="1">BINOMDIST(Worksheet!$A$27,Worksheet!$B$15,$P347,1)</f>
        <v>1.2522436435006897E-9</v>
      </c>
      <c r="K347">
        <f ca="1">BINOMDIST(Worksheet!$A$28,Worksheet!$B$15,$P347,1)</f>
        <v>7.9490210434425173E-9</v>
      </c>
      <c r="L347">
        <f ca="1">BINOMDIST(Worksheet!$A$29,Worksheet!$B$15,$P347,1)</f>
        <v>4.3009751537179662E-8</v>
      </c>
      <c r="M347">
        <f ca="1">BINOMDIST(Worksheet!$A$30,Worksheet!$B$15,$P347,1)</f>
        <v>2.0250083836861393E-7</v>
      </c>
      <c r="N347">
        <f ca="1">BINOMDIST(Worksheet!$A$31,Worksheet!$B$15,$P347,1)</f>
        <v>8.4286957393804289E-7</v>
      </c>
      <c r="O347">
        <f ca="1">BINOMDIST(Worksheet!$A$32,Worksheet!$B$15,$P347,1)</f>
        <v>3.1404739819610137E-6</v>
      </c>
      <c r="P347">
        <v>0.20399999999999999</v>
      </c>
    </row>
    <row r="348" spans="5:16" x14ac:dyDescent="0.2">
      <c r="E348">
        <f ca="1">BINOMDIST(Worksheet!$A$22,Worksheet!$B$15,$P348,1)</f>
        <v>2.0762989676234284E-15</v>
      </c>
      <c r="F348">
        <f ca="1">BINOMDIST(Worksheet!$A$23,Worksheet!$B$15,$P348,1)</f>
        <v>8.0874059160478827E-14</v>
      </c>
      <c r="G348">
        <f ca="1">BINOMDIST(Worksheet!$A$24,Worksheet!$B$15,$P348,1)</f>
        <v>1.5660684802609528E-12</v>
      </c>
      <c r="H348">
        <f ca="1">BINOMDIST(Worksheet!$A$25,Worksheet!$B$15,$P348,1)</f>
        <v>2.0102114787270181E-11</v>
      </c>
      <c r="I348">
        <f ca="1">BINOMDIST(Worksheet!$A$26,Worksheet!$B$15,$P348,1)</f>
        <v>1.9242687653355048E-10</v>
      </c>
      <c r="J348">
        <f ca="1">BINOMDIST(Worksheet!$A$27,Worksheet!$B$15,$P348,1)</f>
        <v>1.4652949723934697E-9</v>
      </c>
      <c r="K348">
        <f ca="1">BINOMDIST(Worksheet!$A$28,Worksheet!$B$15,$P348,1)</f>
        <v>9.2462402208620916E-9</v>
      </c>
      <c r="L348">
        <f ca="1">BINOMDIST(Worksheet!$A$29,Worksheet!$B$15,$P348,1)</f>
        <v>4.9732538772178791E-8</v>
      </c>
      <c r="M348">
        <f ca="1">BINOMDIST(Worksheet!$A$30,Worksheet!$B$15,$P348,1)</f>
        <v>2.3277175490145349E-7</v>
      </c>
      <c r="N348">
        <f ca="1">BINOMDIST(Worksheet!$A$31,Worksheet!$B$15,$P348,1)</f>
        <v>9.6316789086524049E-7</v>
      </c>
      <c r="O348">
        <f ca="1">BINOMDIST(Worksheet!$A$32,Worksheet!$B$15,$P348,1)</f>
        <v>3.5676670356696051E-6</v>
      </c>
      <c r="P348">
        <v>0.20300000000000001</v>
      </c>
    </row>
    <row r="349" spans="5:16" x14ac:dyDescent="0.2">
      <c r="E349">
        <f ca="1">BINOMDIST(Worksheet!$A$22,Worksheet!$B$15,$P349,1)</f>
        <v>2.5028268838497022E-15</v>
      </c>
      <c r="F349">
        <f ca="1">BINOMDIST(Worksheet!$A$23,Worksheet!$B$15,$P349,1)</f>
        <v>9.6901427823835159E-14</v>
      </c>
      <c r="G349">
        <f ca="1">BINOMDIST(Worksheet!$A$24,Worksheet!$B$15,$P349,1)</f>
        <v>1.8651599326495208E-12</v>
      </c>
      <c r="H349">
        <f ca="1">BINOMDIST(Worksheet!$A$25,Worksheet!$B$15,$P349,1)</f>
        <v>2.3797769808294537E-11</v>
      </c>
      <c r="I349">
        <f ca="1">BINOMDIST(Worksheet!$A$26,Worksheet!$B$15,$P349,1)</f>
        <v>2.2644079313301895E-10</v>
      </c>
      <c r="J349">
        <f ca="1">BINOMDIST(Worksheet!$A$27,Worksheet!$B$15,$P349,1)</f>
        <v>1.7140132626019932E-9</v>
      </c>
      <c r="K349">
        <f ca="1">BINOMDIST(Worksheet!$A$28,Worksheet!$B$15,$P349,1)</f>
        <v>1.0751295633511204E-8</v>
      </c>
      <c r="L349">
        <f ca="1">BINOMDIST(Worksheet!$A$29,Worksheet!$B$15,$P349,1)</f>
        <v>5.748436734244142E-8</v>
      </c>
      <c r="M349">
        <f ca="1">BINOMDIST(Worksheet!$A$30,Worksheet!$B$15,$P349,1)</f>
        <v>2.6746109492686404E-7</v>
      </c>
      <c r="N349">
        <f ca="1">BINOMDIST(Worksheet!$A$31,Worksheet!$B$15,$P349,1)</f>
        <v>1.1001758199421138E-6</v>
      </c>
      <c r="O349">
        <f ca="1">BINOMDIST(Worksheet!$A$32,Worksheet!$B$15,$P349,1)</f>
        <v>4.0511999331540507E-6</v>
      </c>
      <c r="P349">
        <v>0.20200000000000001</v>
      </c>
    </row>
    <row r="350" spans="5:16" x14ac:dyDescent="0.2">
      <c r="E350">
        <f ca="1">BINOMDIST(Worksheet!$A$22,Worksheet!$B$15,$P350,1)</f>
        <v>3.0162693275587793E-15</v>
      </c>
      <c r="F350">
        <f ca="1">BINOMDIST(Worksheet!$A$23,Worksheet!$B$15,$P350,1)</f>
        <v>1.1607540586204911E-13</v>
      </c>
      <c r="G350">
        <f ca="1">BINOMDIST(Worksheet!$A$24,Worksheet!$B$15,$P350,1)</f>
        <v>2.2207582554415359E-12</v>
      </c>
      <c r="H350">
        <f ca="1">BINOMDIST(Worksheet!$A$25,Worksheet!$B$15,$P350,1)</f>
        <v>2.8164464620283042E-11</v>
      </c>
      <c r="I350">
        <f ca="1">BINOMDIST(Worksheet!$A$26,Worksheet!$B$15,$P350,1)</f>
        <v>2.6638223902035766E-10</v>
      </c>
      <c r="J350">
        <f ca="1">BINOMDIST(Worksheet!$A$27,Worksheet!$B$15,$P350,1)</f>
        <v>2.0042688560141438E-9</v>
      </c>
      <c r="K350">
        <f ca="1">BINOMDIST(Worksheet!$A$28,Worksheet!$B$15,$P350,1)</f>
        <v>1.2496840871505984E-8</v>
      </c>
      <c r="L350">
        <f ca="1">BINOMDIST(Worksheet!$A$29,Worksheet!$B$15,$P350,1)</f>
        <v>6.6419243417774955E-8</v>
      </c>
      <c r="M350">
        <f ca="1">BINOMDIST(Worksheet!$A$30,Worksheet!$B$15,$P350,1)</f>
        <v>3.0719728056977882E-7</v>
      </c>
      <c r="N350">
        <f ca="1">BINOMDIST(Worksheet!$A$31,Worksheet!$B$15,$P350,1)</f>
        <v>1.2561460152276762E-6</v>
      </c>
      <c r="O350">
        <f ca="1">BINOMDIST(Worksheet!$A$32,Worksheet!$B$15,$P350,1)</f>
        <v>4.5982508203933024E-6</v>
      </c>
      <c r="P350">
        <v>0.20100000000000001</v>
      </c>
    </row>
    <row r="351" spans="5:16" x14ac:dyDescent="0.2">
      <c r="E351">
        <f ca="1">BINOMDIST(Worksheet!$A$22,Worksheet!$B$15,$P351,1)</f>
        <v>3.6341936214780241E-15</v>
      </c>
      <c r="F351">
        <f ca="1">BINOMDIST(Worksheet!$A$23,Worksheet!$B$15,$P351,1)</f>
        <v>1.390079060215342E-13</v>
      </c>
      <c r="G351">
        <f ca="1">BINOMDIST(Worksheet!$A$24,Worksheet!$B$15,$P351,1)</f>
        <v>2.6434215854225894E-12</v>
      </c>
      <c r="H351">
        <f ca="1">BINOMDIST(Worksheet!$A$25,Worksheet!$B$15,$P351,1)</f>
        <v>3.3322489158085476E-11</v>
      </c>
      <c r="I351">
        <f ca="1">BINOMDIST(Worksheet!$A$26,Worksheet!$B$15,$P351,1)</f>
        <v>3.1326898075863407E-10</v>
      </c>
      <c r="J351">
        <f ca="1">BINOMDIST(Worksheet!$A$27,Worksheet!$B$15,$P351,1)</f>
        <v>2.3428810448626095E-9</v>
      </c>
      <c r="K351">
        <f ca="1">BINOMDIST(Worksheet!$A$28,Worksheet!$B$15,$P351,1)</f>
        <v>1.4520553429486446E-8</v>
      </c>
      <c r="L351">
        <f ca="1">BINOMDIST(Worksheet!$A$29,Worksheet!$B$15,$P351,1)</f>
        <v>7.6713665965244201E-8</v>
      </c>
      <c r="M351">
        <f ca="1">BINOMDIST(Worksheet!$A$30,Worksheet!$B$15,$P351,1)</f>
        <v>3.5269560284266835E-7</v>
      </c>
      <c r="N351">
        <f ca="1">BINOMDIST(Worksheet!$A$31,Worksheet!$B$15,$P351,1)</f>
        <v>1.4336248556125791E-6</v>
      </c>
      <c r="O351">
        <f ca="1">BINOMDIST(Worksheet!$A$32,Worksheet!$B$15,$P351,1)</f>
        <v>5.2168772403072642E-6</v>
      </c>
      <c r="P351">
        <v>0.2</v>
      </c>
    </row>
    <row r="352" spans="5:16" x14ac:dyDescent="0.2">
      <c r="E352">
        <f ca="1">BINOMDIST(Worksheet!$A$22,Worksheet!$B$15,$P352,1)</f>
        <v>4.3776889132497832E-15</v>
      </c>
      <c r="F352">
        <f ca="1">BINOMDIST(Worksheet!$A$23,Worksheet!$B$15,$P352,1)</f>
        <v>1.6642869261708132E-13</v>
      </c>
      <c r="G352">
        <f ca="1">BINOMDIST(Worksheet!$A$24,Worksheet!$B$15,$P352,1)</f>
        <v>3.1456585060286059E-12</v>
      </c>
      <c r="H352">
        <f ca="1">BINOMDIST(Worksheet!$A$25,Worksheet!$B$15,$P352,1)</f>
        <v>3.9413411203376488E-11</v>
      </c>
      <c r="I352">
        <f ca="1">BINOMDIST(Worksheet!$A$26,Worksheet!$B$15,$P352,1)</f>
        <v>3.6829084156191236E-10</v>
      </c>
      <c r="J352">
        <f ca="1">BINOMDIST(Worksheet!$A$27,Worksheet!$B$15,$P352,1)</f>
        <v>2.737768557665669E-9</v>
      </c>
      <c r="K352">
        <f ca="1">BINOMDIST(Worksheet!$A$28,Worksheet!$B$15,$P352,1)</f>
        <v>1.6865890370538988E-8</v>
      </c>
      <c r="L352">
        <f ca="1">BINOMDIST(Worksheet!$A$29,Worksheet!$B$15,$P352,1)</f>
        <v>8.8569825171490693E-8</v>
      </c>
      <c r="M352">
        <f ca="1">BINOMDIST(Worksheet!$A$30,Worksheet!$B$15,$P352,1)</f>
        <v>4.0476985476033287E-7</v>
      </c>
      <c r="N352">
        <f ca="1">BINOMDIST(Worksheet!$A$31,Worksheet!$B$15,$P352,1)</f>
        <v>1.6354893207380417E-6</v>
      </c>
      <c r="O352">
        <f ca="1">BINOMDIST(Worksheet!$A$32,Worksheet!$B$15,$P352,1)</f>
        <v>5.9161190738140656E-6</v>
      </c>
      <c r="P352">
        <v>0.19900000000000001</v>
      </c>
    </row>
    <row r="353" spans="5:16" x14ac:dyDescent="0.2">
      <c r="E353">
        <f ca="1">BINOMDIST(Worksheet!$A$22,Worksheet!$B$15,$P353,1)</f>
        <v>5.2720664354354697E-15</v>
      </c>
      <c r="F353">
        <f ca="1">BINOMDIST(Worksheet!$A$23,Worksheet!$B$15,$P353,1)</f>
        <v>1.9920785693196618E-13</v>
      </c>
      <c r="G353">
        <f ca="1">BINOMDIST(Worksheet!$A$24,Worksheet!$B$15,$P353,1)</f>
        <v>3.7422841690955219E-12</v>
      </c>
      <c r="H353">
        <f ca="1">BINOMDIST(Worksheet!$A$25,Worksheet!$B$15,$P353,1)</f>
        <v>4.6603788384320865E-11</v>
      </c>
      <c r="I353">
        <f ca="1">BINOMDIST(Worksheet!$A$26,Worksheet!$B$15,$P353,1)</f>
        <v>4.328383157701488E-10</v>
      </c>
      <c r="J353">
        <f ca="1">BINOMDIST(Worksheet!$A$27,Worksheet!$B$15,$P353,1)</f>
        <v>3.198123423313076E-9</v>
      </c>
      <c r="K353">
        <f ca="1">BINOMDIST(Worksheet!$A$28,Worksheet!$B$15,$P353,1)</f>
        <v>1.9582954883467629E-8</v>
      </c>
      <c r="L353">
        <f ca="1">BINOMDIST(Worksheet!$A$29,Worksheet!$B$15,$P353,1)</f>
        <v>1.0221924237239121E-7</v>
      </c>
      <c r="M353">
        <f ca="1">BINOMDIST(Worksheet!$A$30,Worksheet!$B$15,$P353,1)</f>
        <v>4.6434546728488653E-7</v>
      </c>
      <c r="N353">
        <f ca="1">BINOMDIST(Worksheet!$A$31,Worksheet!$B$15,$P353,1)</f>
        <v>1.8649882973080309E-6</v>
      </c>
      <c r="O353">
        <f ca="1">BINOMDIST(Worksheet!$A$32,Worksheet!$B$15,$P353,1)</f>
        <v>6.7061128918518698E-6</v>
      </c>
      <c r="P353">
        <v>0.19800000000000001</v>
      </c>
    </row>
    <row r="354" spans="5:16" x14ac:dyDescent="0.2">
      <c r="E354">
        <f ca="1">BINOMDIST(Worksheet!$A$22,Worksheet!$B$15,$P354,1)</f>
        <v>6.3476978549318351E-15</v>
      </c>
      <c r="F354">
        <f ca="1">BINOMDIST(Worksheet!$A$23,Worksheet!$B$15,$P354,1)</f>
        <v>2.383825361311634E-13</v>
      </c>
      <c r="G354">
        <f ca="1">BINOMDIST(Worksheet!$A$24,Worksheet!$B$15,$P354,1)</f>
        <v>4.4508406586602947E-12</v>
      </c>
      <c r="H354">
        <f ca="1">BINOMDIST(Worksheet!$A$25,Worksheet!$B$15,$P354,1)</f>
        <v>5.508951843795528E-11</v>
      </c>
      <c r="I354">
        <f ca="1">BINOMDIST(Worksheet!$A$26,Worksheet!$B$15,$P354,1)</f>
        <v>5.0853586037073268E-10</v>
      </c>
      <c r="J354">
        <f ca="1">BINOMDIST(Worksheet!$A$27,Worksheet!$B$15,$P354,1)</f>
        <v>3.7346117650556106E-9</v>
      </c>
      <c r="K354">
        <f ca="1">BINOMDIST(Worksheet!$A$28,Worksheet!$B$15,$P354,1)</f>
        <v>2.2729489569974788E-8</v>
      </c>
      <c r="L354">
        <f ca="1">BINOMDIST(Worksheet!$A$29,Worksheet!$B$15,$P354,1)</f>
        <v>1.1792691042789655E-7</v>
      </c>
      <c r="M354">
        <f ca="1">BINOMDIST(Worksheet!$A$30,Worksheet!$B$15,$P354,1)</f>
        <v>5.3247433431947589E-7</v>
      </c>
      <c r="N354">
        <f ca="1">BINOMDIST(Worksheet!$A$31,Worksheet!$B$15,$P354,1)</f>
        <v>2.1257888207504116E-6</v>
      </c>
      <c r="O354">
        <f ca="1">BINOMDIST(Worksheet!$A$32,Worksheet!$B$15,$P354,1)</f>
        <v>7.5982188999241608E-6</v>
      </c>
      <c r="P354">
        <v>0.19700000000000001</v>
      </c>
    </row>
    <row r="355" spans="5:16" x14ac:dyDescent="0.2">
      <c r="E355">
        <f ca="1">BINOMDIST(Worksheet!$A$22,Worksheet!$B$15,$P355,1)</f>
        <v>7.6410187172088546E-15</v>
      </c>
      <c r="F355">
        <f ca="1">BINOMDIST(Worksheet!$A$23,Worksheet!$B$15,$P355,1)</f>
        <v>2.851886687388099E-13</v>
      </c>
      <c r="G355">
        <f ca="1">BINOMDIST(Worksheet!$A$24,Worksheet!$B$15,$P355,1)</f>
        <v>5.2920930417653185E-12</v>
      </c>
      <c r="H355">
        <f ca="1">BINOMDIST(Worksheet!$A$25,Worksheet!$B$15,$P355,1)</f>
        <v>6.5100935826027255E-11</v>
      </c>
      <c r="I355">
        <f ca="1">BINOMDIST(Worksheet!$A$26,Worksheet!$B$15,$P355,1)</f>
        <v>5.9728061403325321E-10</v>
      </c>
      <c r="J355">
        <f ca="1">BINOMDIST(Worksheet!$A$27,Worksheet!$B$15,$P355,1)</f>
        <v>4.3596056027519983E-9</v>
      </c>
      <c r="K355">
        <f ca="1">BINOMDIST(Worksheet!$A$28,Worksheet!$B$15,$P355,1)</f>
        <v>2.6372014491972099E-8</v>
      </c>
      <c r="L355">
        <f ca="1">BINOMDIST(Worksheet!$A$29,Worksheet!$B$15,$P355,1)</f>
        <v>1.3599600104973047E-7</v>
      </c>
      <c r="M355">
        <f ca="1">BINOMDIST(Worksheet!$A$30,Worksheet!$B$15,$P355,1)</f>
        <v>6.1035153492341262E-7</v>
      </c>
      <c r="N355">
        <f ca="1">BINOMDIST(Worksheet!$A$31,Worksheet!$B$15,$P355,1)</f>
        <v>2.4220278110612075E-6</v>
      </c>
      <c r="O355">
        <f ca="1">BINOMDIST(Worksheet!$A$32,Worksheet!$B$15,$P355,1)</f>
        <v>8.6051617684270109E-6</v>
      </c>
      <c r="P355">
        <v>0.19600000000000001</v>
      </c>
    </row>
    <row r="356" spans="5:16" x14ac:dyDescent="0.2">
      <c r="E356">
        <f ca="1">BINOMDIST(Worksheet!$A$22,Worksheet!$B$15,$P356,1)</f>
        <v>9.1957292281091763E-15</v>
      </c>
      <c r="F356">
        <f ca="1">BINOMDIST(Worksheet!$A$23,Worksheet!$B$15,$P356,1)</f>
        <v>3.4109872639917894E-13</v>
      </c>
      <c r="G356">
        <f ca="1">BINOMDIST(Worksheet!$A$24,Worksheet!$B$15,$P356,1)</f>
        <v>6.2906145638880614E-12</v>
      </c>
      <c r="H356">
        <f ca="1">BINOMDIST(Worksheet!$A$25,Worksheet!$B$15,$P356,1)</f>
        <v>7.6908780808864717E-11</v>
      </c>
      <c r="I356">
        <f ca="1">BINOMDIST(Worksheet!$A$26,Worksheet!$B$15,$P356,1)</f>
        <v>7.01287412173613E-10</v>
      </c>
      <c r="J356">
        <f ca="1">BINOMDIST(Worksheet!$A$27,Worksheet!$B$15,$P356,1)</f>
        <v>5.0874503443073355E-9</v>
      </c>
      <c r="K356">
        <f ca="1">BINOMDIST(Worksheet!$A$28,Worksheet!$B$15,$P356,1)</f>
        <v>3.0587130496339353E-8</v>
      </c>
      <c r="L356">
        <f ca="1">BINOMDIST(Worksheet!$A$29,Worksheet!$B$15,$P356,1)</f>
        <v>1.5677321408807232E-7</v>
      </c>
      <c r="M356">
        <f ca="1">BINOMDIST(Worksheet!$A$30,Worksheet!$B$15,$P356,1)</f>
        <v>6.9933418530780493E-7</v>
      </c>
      <c r="N356">
        <f ca="1">BINOMDIST(Worksheet!$A$31,Worksheet!$B$15,$P356,1)</f>
        <v>2.7583699208062998E-6</v>
      </c>
      <c r="O356">
        <f ca="1">BINOMDIST(Worksheet!$A$32,Worksheet!$B$15,$P356,1)</f>
        <v>9.7411867629316143E-6</v>
      </c>
      <c r="P356">
        <v>0.19500000000000001</v>
      </c>
    </row>
    <row r="357" spans="5:16" x14ac:dyDescent="0.2">
      <c r="E357">
        <f ca="1">BINOMDIST(Worksheet!$A$22,Worksheet!$B$15,$P357,1)</f>
        <v>1.1064230860484827E-14</v>
      </c>
      <c r="F357">
        <f ca="1">BINOMDIST(Worksheet!$A$23,Worksheet!$B$15,$P357,1)</f>
        <v>4.0786653514481962E-13</v>
      </c>
      <c r="G357">
        <f ca="1">BINOMDIST(Worksheet!$A$24,Worksheet!$B$15,$P357,1)</f>
        <v>7.4754768084772096E-12</v>
      </c>
      <c r="H357">
        <f ca="1">BINOMDIST(Worksheet!$A$25,Worksheet!$B$15,$P357,1)</f>
        <v>9.083118804705992E-11</v>
      </c>
      <c r="I357">
        <f ca="1">BINOMDIST(Worksheet!$A$26,Worksheet!$B$15,$P357,1)</f>
        <v>8.2314110278701463E-10</v>
      </c>
      <c r="J357">
        <f ca="1">BINOMDIST(Worksheet!$A$27,Worksheet!$B$15,$P357,1)</f>
        <v>5.9347733364433423E-9</v>
      </c>
      <c r="K357">
        <f ca="1">BINOMDIST(Worksheet!$A$28,Worksheet!$B$15,$P357,1)</f>
        <v>3.5463011152701172E-8</v>
      </c>
      <c r="L357">
        <f ca="1">BINOMDIST(Worksheet!$A$29,Worksheet!$B$15,$P357,1)</f>
        <v>1.8065485331835606E-7</v>
      </c>
      <c r="M357">
        <f ca="1">BINOMDIST(Worksheet!$A$30,Worksheet!$B$15,$P357,1)</f>
        <v>8.0096268023824705E-7</v>
      </c>
      <c r="N357">
        <f ca="1">BINOMDIST(Worksheet!$A$31,Worksheet!$B$15,$P357,1)</f>
        <v>3.1400721781106982E-6</v>
      </c>
      <c r="O357">
        <f ca="1">BINOMDIST(Worksheet!$A$32,Worksheet!$B$15,$P357,1)</f>
        <v>1.1022232719328522E-5</v>
      </c>
      <c r="P357">
        <v>0.19400000000000001</v>
      </c>
    </row>
    <row r="358" spans="5:16" x14ac:dyDescent="0.2">
      <c r="E358">
        <f ca="1">BINOMDIST(Worksheet!$A$22,Worksheet!$B$15,$P358,1)</f>
        <v>1.330934471675021E-14</v>
      </c>
      <c r="F358">
        <f ca="1">BINOMDIST(Worksheet!$A$23,Worksheet!$B$15,$P358,1)</f>
        <v>4.8758050459232209E-13</v>
      </c>
      <c r="G358">
        <f ca="1">BINOMDIST(Worksheet!$A$24,Worksheet!$B$15,$P358,1)</f>
        <v>8.8810634108412739E-12</v>
      </c>
      <c r="H358">
        <f ca="1">BINOMDIST(Worksheet!$A$25,Worksheet!$B$15,$P358,1)</f>
        <v>1.072418661920017E-10</v>
      </c>
      <c r="I358">
        <f ca="1">BINOMDIST(Worksheet!$A$26,Worksheet!$B$15,$P358,1)</f>
        <v>9.6585732491800592E-10</v>
      </c>
      <c r="J358">
        <f ca="1">BINOMDIST(Worksheet!$A$27,Worksheet!$B$15,$P358,1)</f>
        <v>6.9208396328355214E-9</v>
      </c>
      <c r="K358">
        <f ca="1">BINOMDIST(Worksheet!$A$28,Worksheet!$B$15,$P358,1)</f>
        <v>4.1101109831440179E-8</v>
      </c>
      <c r="L358">
        <f ca="1">BINOMDIST(Worksheet!$A$29,Worksheet!$B$15,$P358,1)</f>
        <v>2.0809372395983318E-7</v>
      </c>
      <c r="M358">
        <f ca="1">BINOMDIST(Worksheet!$A$30,Worksheet!$B$15,$P358,1)</f>
        <v>9.1698461348937535E-7</v>
      </c>
      <c r="N358">
        <f ca="1">BINOMDIST(Worksheet!$A$31,Worksheet!$B$15,$P358,1)</f>
        <v>3.5730561785131222E-6</v>
      </c>
      <c r="O358">
        <f ca="1">BINOMDIST(Worksheet!$A$32,Worksheet!$B$15,$P358,1)</f>
        <v>1.2466123549881367E-5</v>
      </c>
      <c r="P358">
        <v>0.193</v>
      </c>
    </row>
    <row r="359" spans="5:16" x14ac:dyDescent="0.2">
      <c r="E359">
        <f ca="1">BINOMDIST(Worksheet!$A$22,Worksheet!$B$15,$P359,1)</f>
        <v>1.6006366449890344E-14</v>
      </c>
      <c r="F359">
        <f ca="1">BINOMDIST(Worksheet!$A$23,Worksheet!$B$15,$P359,1)</f>
        <v>5.8272682610145366E-13</v>
      </c>
      <c r="G359">
        <f ca="1">BINOMDIST(Worksheet!$A$24,Worksheet!$B$15,$P359,1)</f>
        <v>1.0548029166113119E-11</v>
      </c>
      <c r="H359">
        <f ca="1">BINOMDIST(Worksheet!$A$25,Worksheet!$B$15,$P359,1)</f>
        <v>1.2657966829337747E-10</v>
      </c>
      <c r="I359">
        <f ca="1">BINOMDIST(Worksheet!$A$26,Worksheet!$B$15,$P359,1)</f>
        <v>1.1329530928031178E-9</v>
      </c>
      <c r="J359">
        <f ca="1">BINOMDIST(Worksheet!$A$27,Worksheet!$B$15,$P359,1)</f>
        <v>8.0679620379395348E-9</v>
      </c>
      <c r="K359">
        <f ca="1">BINOMDIST(Worksheet!$A$28,Worksheet!$B$15,$P359,1)</f>
        <v>4.7618112061687867E-8</v>
      </c>
      <c r="L359">
        <f ca="1">BINOMDIST(Worksheet!$A$29,Worksheet!$B$15,$P359,1)</f>
        <v>2.3960695913595111E-7</v>
      </c>
      <c r="M359">
        <f ca="1">BINOMDIST(Worksheet!$A$30,Worksheet!$B$15,$P359,1)</f>
        <v>1.0493817002610636E-6</v>
      </c>
      <c r="N359">
        <f ca="1">BINOMDIST(Worksheet!$A$31,Worksheet!$B$15,$P359,1)</f>
        <v>4.0639886573208783E-6</v>
      </c>
      <c r="O359">
        <f ca="1">BINOMDIST(Worksheet!$A$32,Worksheet!$B$15,$P359,1)</f>
        <v>1.4092780118430744E-5</v>
      </c>
      <c r="P359">
        <v>0.192</v>
      </c>
    </row>
    <row r="360" spans="5:16" x14ac:dyDescent="0.2">
      <c r="E360">
        <f ca="1">BINOMDIST(Worksheet!$A$22,Worksheet!$B$15,$P360,1)</f>
        <v>1.9245523116074197E-14</v>
      </c>
      <c r="F360">
        <f ca="1">BINOMDIST(Worksheet!$A$23,Worksheet!$B$15,$P360,1)</f>
        <v>6.9626448771478289E-13</v>
      </c>
      <c r="G360">
        <f ca="1">BINOMDIST(Worksheet!$A$24,Worksheet!$B$15,$P360,1)</f>
        <v>1.2524430180716233E-11</v>
      </c>
      <c r="H360">
        <f ca="1">BINOMDIST(Worksheet!$A$25,Worksheet!$B$15,$P360,1)</f>
        <v>1.4935978583065489E-10</v>
      </c>
      <c r="I360">
        <f ca="1">BINOMDIST(Worksheet!$A$26,Worksheet!$B$15,$P360,1)</f>
        <v>1.32852873751613E-9</v>
      </c>
      <c r="J360">
        <f ca="1">BINOMDIST(Worksheet!$A$27,Worksheet!$B$15,$P360,1)</f>
        <v>9.4019735130239606E-9</v>
      </c>
      <c r="K360">
        <f ca="1">BINOMDIST(Worksheet!$A$28,Worksheet!$B$15,$P360,1)</f>
        <v>5.5148167395505983E-8</v>
      </c>
      <c r="L360">
        <f ca="1">BINOMDIST(Worksheet!$A$29,Worksheet!$B$15,$P360,1)</f>
        <v>2.7578489589846026E-7</v>
      </c>
      <c r="M360">
        <f ca="1">BINOMDIST(Worksheet!$A$30,Worksheet!$B$15,$P360,1)</f>
        <v>1.200400061296659E-6</v>
      </c>
      <c r="N360">
        <f ca="1">BINOMDIST(Worksheet!$A$31,Worksheet!$B$15,$P360,1)</f>
        <v>4.620371359104489E-6</v>
      </c>
      <c r="O360">
        <f ca="1">BINOMDIST(Worksheet!$A$32,Worksheet!$B$15,$P360,1)</f>
        <v>1.5924454486840122E-5</v>
      </c>
      <c r="P360">
        <v>0.191</v>
      </c>
    </row>
    <row r="361" spans="5:16" x14ac:dyDescent="0.2">
      <c r="E361">
        <f ca="1">BINOMDIST(Worksheet!$A$22,Worksheet!$B$15,$P361,1)</f>
        <v>2.3134909924503693E-14</v>
      </c>
      <c r="F361">
        <f ca="1">BINOMDIST(Worksheet!$A$23,Worksheet!$B$15,$P361,1)</f>
        <v>8.3171429259450174E-13</v>
      </c>
      <c r="G361">
        <f ca="1">BINOMDIST(Worksheet!$A$24,Worksheet!$B$15,$P361,1)</f>
        <v>1.4867055181903368E-11</v>
      </c>
      <c r="H361">
        <f ca="1">BINOMDIST(Worksheet!$A$25,Worksheet!$B$15,$P361,1)</f>
        <v>1.7618683750223139E-10</v>
      </c>
      <c r="I361">
        <f ca="1">BINOMDIST(Worksheet!$A$26,Worksheet!$B$15,$P361,1)</f>
        <v>1.5573629984793565E-9</v>
      </c>
      <c r="J361">
        <f ca="1">BINOMDIST(Worksheet!$A$27,Worksheet!$B$15,$P361,1)</f>
        <v>1.095277120463241E-8</v>
      </c>
      <c r="K361">
        <f ca="1">BINOMDIST(Worksheet!$A$28,Worksheet!$B$15,$P361,1)</f>
        <v>6.3845439624457045E-8</v>
      </c>
      <c r="L361">
        <f ca="1">BINOMDIST(Worksheet!$A$29,Worksheet!$B$15,$P361,1)</f>
        <v>3.1730113644396973E-7</v>
      </c>
      <c r="M361">
        <f ca="1">BINOMDIST(Worksheet!$A$30,Worksheet!$B$15,$P361,1)</f>
        <v>1.3725842691894072E-6</v>
      </c>
      <c r="N361">
        <f ca="1">BINOMDIST(Worksheet!$A$31,Worksheet!$B$15,$P361,1)</f>
        <v>5.2506412138053603E-6</v>
      </c>
      <c r="O361">
        <f ca="1">BINOMDIST(Worksheet!$A$32,Worksheet!$B$15,$P361,1)</f>
        <v>1.7985988710939229E-5</v>
      </c>
      <c r="P361">
        <v>0.19</v>
      </c>
    </row>
    <row r="362" spans="5:16" x14ac:dyDescent="0.2">
      <c r="E362">
        <f ca="1">BINOMDIST(Worksheet!$A$22,Worksheet!$B$15,$P362,1)</f>
        <v>2.7803999847927375E-14</v>
      </c>
      <c r="F362">
        <f ca="1">BINOMDIST(Worksheet!$A$23,Worksheet!$B$15,$P362,1)</f>
        <v>9.9326446805690596E-13</v>
      </c>
      <c r="G362">
        <f ca="1">BINOMDIST(Worksheet!$A$24,Worksheet!$B$15,$P362,1)</f>
        <v>1.7642993331646084E-11</v>
      </c>
      <c r="H362">
        <f ca="1">BINOMDIST(Worksheet!$A$25,Worksheet!$B$15,$P362,1)</f>
        <v>2.0777016843115204E-10</v>
      </c>
      <c r="I362">
        <f ca="1">BINOMDIST(Worksheet!$A$26,Worksheet!$B$15,$P362,1)</f>
        <v>1.8250233341820032E-9</v>
      </c>
      <c r="J362">
        <f ca="1">BINOMDIST(Worksheet!$A$27,Worksheet!$B$15,$P362,1)</f>
        <v>1.2754942694823701E-8</v>
      </c>
      <c r="K362">
        <f ca="1">BINOMDIST(Worksheet!$A$28,Worksheet!$B$15,$P362,1)</f>
        <v>7.3887019414762925E-8</v>
      </c>
      <c r="L362">
        <f ca="1">BINOMDIST(Worksheet!$A$29,Worksheet!$B$15,$P362,1)</f>
        <v>3.6492394693102075E-7</v>
      </c>
      <c r="M362">
        <f ca="1">BINOMDIST(Worksheet!$A$30,Worksheet!$B$15,$P362,1)</f>
        <v>1.5688156023997826E-6</v>
      </c>
      <c r="N362">
        <f ca="1">BINOMDIST(Worksheet!$A$31,Worksheet!$B$15,$P362,1)</f>
        <v>5.9642819301963534E-6</v>
      </c>
      <c r="O362">
        <f ca="1">BINOMDIST(Worksheet!$A$32,Worksheet!$B$15,$P362,1)</f>
        <v>2.0305100553315602E-5</v>
      </c>
      <c r="P362">
        <v>0.189</v>
      </c>
    </row>
    <row r="363" spans="5:16" x14ac:dyDescent="0.2">
      <c r="E363">
        <f ca="1">BINOMDIST(Worksheet!$A$22,Worksheet!$B$15,$P363,1)</f>
        <v>3.3407836915975545E-14</v>
      </c>
      <c r="F363">
        <f ca="1">BINOMDIST(Worksheet!$A$23,Worksheet!$B$15,$P363,1)</f>
        <v>1.1858959252045284E-12</v>
      </c>
      <c r="G363">
        <f ca="1">BINOMDIST(Worksheet!$A$24,Worksheet!$B$15,$P363,1)</f>
        <v>2.0931480019133538E-11</v>
      </c>
      <c r="H363">
        <f ca="1">BINOMDIST(Worksheet!$A$25,Worksheet!$B$15,$P363,1)</f>
        <v>2.4494172715370769E-10</v>
      </c>
      <c r="I363">
        <f ca="1">BINOMDIST(Worksheet!$A$26,Worksheet!$B$15,$P363,1)</f>
        <v>2.1379938402540136E-9</v>
      </c>
      <c r="J363">
        <f ca="1">BINOMDIST(Worksheet!$A$27,Worksheet!$B$15,$P363,1)</f>
        <v>1.4848486599641796E-8</v>
      </c>
      <c r="K363">
        <f ca="1">BINOMDIST(Worksheet!$A$28,Worksheet!$B$15,$P363,1)</f>
        <v>8.5476249321757172E-8</v>
      </c>
      <c r="L363">
        <f ca="1">BINOMDIST(Worksheet!$A$29,Worksheet!$B$15,$P363,1)</f>
        <v>4.1952916505387245E-7</v>
      </c>
      <c r="M363">
        <f ca="1">BINOMDIST(Worksheet!$A$30,Worksheet!$B$15,$P363,1)</f>
        <v>1.792355002243616E-6</v>
      </c>
      <c r="N363">
        <f ca="1">BINOMDIST(Worksheet!$A$31,Worksheet!$B$15,$P363,1)</f>
        <v>6.7719482277807925E-6</v>
      </c>
      <c r="O363">
        <f ca="1">BINOMDIST(Worksheet!$A$32,Worksheet!$B$15,$P363,1)</f>
        <v>2.2912698682970264E-5</v>
      </c>
      <c r="P363">
        <v>0.188</v>
      </c>
    </row>
    <row r="364" spans="5:16" x14ac:dyDescent="0.2">
      <c r="E364">
        <f ca="1">BINOMDIST(Worksheet!$A$22,Worksheet!$B$15,$P364,1)</f>
        <v>4.0132045274246016E-14</v>
      </c>
      <c r="F364">
        <f ca="1">BINOMDIST(Worksheet!$A$23,Worksheet!$B$15,$P364,1)</f>
        <v>1.4155307875575383E-12</v>
      </c>
      <c r="G364">
        <f ca="1">BINOMDIST(Worksheet!$A$24,Worksheet!$B$15,$P364,1)</f>
        <v>2.4826069281673415E-11</v>
      </c>
      <c r="H364">
        <f ca="1">BINOMDIST(Worksheet!$A$25,Worksheet!$B$15,$P364,1)</f>
        <v>2.8867694778300659E-10</v>
      </c>
      <c r="I364">
        <f ca="1">BINOMDIST(Worksheet!$A$26,Worksheet!$B$15,$P364,1)</f>
        <v>2.5038235298381728E-9</v>
      </c>
      <c r="J364">
        <f ca="1">BINOMDIST(Worksheet!$A$27,Worksheet!$B$15,$P364,1)</f>
        <v>1.7279641382833463E-8</v>
      </c>
      <c r="K364">
        <f ca="1">BINOMDIST(Worksheet!$A$28,Worksheet!$B$15,$P364,1)</f>
        <v>9.8846517796416263E-8</v>
      </c>
      <c r="L364">
        <f ca="1">BINOMDIST(Worksheet!$A$29,Worksheet!$B$15,$P364,1)</f>
        <v>4.8211480846161077E-7</v>
      </c>
      <c r="M364">
        <f ca="1">BINOMDIST(Worksheet!$A$30,Worksheet!$B$15,$P364,1)</f>
        <v>2.0468912829886045E-6</v>
      </c>
      <c r="N364">
        <f ca="1">BINOMDIST(Worksheet!$A$31,Worksheet!$B$15,$P364,1)</f>
        <v>7.6856040483095321E-6</v>
      </c>
      <c r="O364">
        <f ca="1">BINOMDIST(Worksheet!$A$32,Worksheet!$B$15,$P364,1)</f>
        <v>2.5843230148691066E-5</v>
      </c>
      <c r="P364">
        <v>0.187</v>
      </c>
    </row>
    <row r="365" spans="5:16" x14ac:dyDescent="0.2">
      <c r="E365">
        <f ca="1">BINOMDIST(Worksheet!$A$22,Worksheet!$B$15,$P365,1)</f>
        <v>4.8198811397556839E-14</v>
      </c>
      <c r="F365">
        <f ca="1">BINOMDIST(Worksheet!$A$23,Worksheet!$B$15,$P365,1)</f>
        <v>1.689208466277029E-12</v>
      </c>
      <c r="G365">
        <f ca="1">BINOMDIST(Worksheet!$A$24,Worksheet!$B$15,$P365,1)</f>
        <v>2.9437189903329971E-11</v>
      </c>
      <c r="H365">
        <f ca="1">BINOMDIST(Worksheet!$A$25,Worksheet!$B$15,$P365,1)</f>
        <v>3.4011913439632771E-10</v>
      </c>
      <c r="I365">
        <f ca="1">BINOMDIST(Worksheet!$A$26,Worksheet!$B$15,$P365,1)</f>
        <v>2.9312981530240394E-9</v>
      </c>
      <c r="J365">
        <f ca="1">BINOMDIST(Worksheet!$A$27,Worksheet!$B$15,$P365,1)</f>
        <v>2.0101838234692238E-8</v>
      </c>
      <c r="K365">
        <f ca="1">BINOMDIST(Worksheet!$A$28,Worksheet!$B$15,$P365,1)</f>
        <v>1.1426558629927039E-7</v>
      </c>
      <c r="L365">
        <f ca="1">BINOMDIST(Worksheet!$A$29,Worksheet!$B$15,$P365,1)</f>
        <v>5.5381759946558478E-7</v>
      </c>
      <c r="M365">
        <f ca="1">BINOMDIST(Worksheet!$A$30,Worksheet!$B$15,$P365,1)</f>
        <v>2.3365952056923424E-6</v>
      </c>
      <c r="N365">
        <f ca="1">BINOMDIST(Worksheet!$A$31,Worksheet!$B$15,$P365,1)</f>
        <v>8.71867621864663E-6</v>
      </c>
      <c r="O365">
        <f ca="1">BINOMDIST(Worksheet!$A$32,Worksheet!$B$15,$P365,1)</f>
        <v>2.9135063144608453E-5</v>
      </c>
      <c r="P365">
        <v>0.186</v>
      </c>
    </row>
    <row r="366" spans="5:16" x14ac:dyDescent="0.2">
      <c r="E366">
        <f ca="1">BINOMDIST(Worksheet!$A$22,Worksheet!$B$15,$P366,1)</f>
        <v>5.7874026958953874E-14</v>
      </c>
      <c r="F366">
        <f ca="1">BINOMDIST(Worksheet!$A$23,Worksheet!$B$15,$P366,1)</f>
        <v>2.0152943375400109E-12</v>
      </c>
      <c r="G366">
        <f ca="1">BINOMDIST(Worksheet!$A$24,Worksheet!$B$15,$P366,1)</f>
        <v>3.4895152069877029E-11</v>
      </c>
      <c r="H366">
        <f ca="1">BINOMDIST(Worksheet!$A$25,Worksheet!$B$15,$P366,1)</f>
        <v>4.0060792549765009E-10</v>
      </c>
      <c r="I366">
        <f ca="1">BINOMDIST(Worksheet!$A$26,Worksheet!$B$15,$P366,1)</f>
        <v>3.4306392169958544E-9</v>
      </c>
      <c r="J366">
        <f ca="1">BINOMDIST(Worksheet!$A$27,Worksheet!$B$15,$P366,1)</f>
        <v>2.3376796123606727E-8</v>
      </c>
      <c r="K366">
        <f ca="1">BINOMDIST(Worksheet!$A$28,Worksheet!$B$15,$P366,1)</f>
        <v>1.320405220933645E-7</v>
      </c>
      <c r="L366">
        <f ca="1">BINOMDIST(Worksheet!$A$29,Worksheet!$B$15,$P366,1)</f>
        <v>6.3593164751491434E-7</v>
      </c>
      <c r="M366">
        <f ca="1">BINOMDIST(Worksheet!$A$30,Worksheet!$B$15,$P366,1)</f>
        <v>2.6661800930400821E-6</v>
      </c>
      <c r="N366">
        <f ca="1">BINOMDIST(Worksheet!$A$31,Worksheet!$B$15,$P366,1)</f>
        <v>9.8862251784557579E-6</v>
      </c>
      <c r="O366">
        <f ca="1">BINOMDIST(Worksheet!$A$32,Worksheet!$B$15,$P366,1)</f>
        <v>3.2830908333335037E-5</v>
      </c>
      <c r="P366">
        <v>0.185</v>
      </c>
    </row>
    <row r="367" spans="5:16" x14ac:dyDescent="0.2">
      <c r="E367">
        <f ca="1">BINOMDIST(Worksheet!$A$22,Worksheet!$B$15,$P367,1)</f>
        <v>6.9475815682670572E-14</v>
      </c>
      <c r="F367">
        <f ca="1">BINOMDIST(Worksheet!$A$23,Worksheet!$B$15,$P367,1)</f>
        <v>2.4037269955308318E-12</v>
      </c>
      <c r="G367">
        <f ca="1">BINOMDIST(Worksheet!$A$24,Worksheet!$B$15,$P367,1)</f>
        <v>4.135368295731088E-11</v>
      </c>
      <c r="H367">
        <f ca="1">BINOMDIST(Worksheet!$A$25,Worksheet!$B$15,$P367,1)</f>
        <v>4.7171251010364494E-10</v>
      </c>
      <c r="I367">
        <f ca="1">BINOMDIST(Worksheet!$A$26,Worksheet!$B$15,$P367,1)</f>
        <v>4.0137344256854917E-9</v>
      </c>
      <c r="J367">
        <f ca="1">BINOMDIST(Worksheet!$A$27,Worksheet!$B$15,$P367,1)</f>
        <v>2.7175779697186374E-8</v>
      </c>
      <c r="K367">
        <f ca="1">BINOMDIST(Worksheet!$A$28,Worksheet!$B$15,$P367,1)</f>
        <v>1.5252331881354392E-7</v>
      </c>
      <c r="L367">
        <f ca="1">BINOMDIST(Worksheet!$A$29,Worksheet!$B$15,$P367,1)</f>
        <v>7.2992955992516778E-7</v>
      </c>
      <c r="M367">
        <f ca="1">BINOMDIST(Worksheet!$A$30,Worksheet!$B$15,$P367,1)</f>
        <v>3.0409697357469469E-6</v>
      </c>
      <c r="N367">
        <f ca="1">BINOMDIST(Worksheet!$A$31,Worksheet!$B$15,$P367,1)</f>
        <v>1.1205134539875499E-5</v>
      </c>
      <c r="O367">
        <f ca="1">BINOMDIST(Worksheet!$A$32,Worksheet!$B$15,$P367,1)</f>
        <v>3.6978282254869526E-5</v>
      </c>
      <c r="P367">
        <v>0.184</v>
      </c>
    </row>
    <row r="368" spans="5:16" x14ac:dyDescent="0.2">
      <c r="E368">
        <f ca="1">BINOMDIST(Worksheet!$A$22,Worksheet!$B$15,$P368,1)</f>
        <v>8.338471012415448E-14</v>
      </c>
      <c r="F368">
        <f ca="1">BINOMDIST(Worksheet!$A$23,Worksheet!$B$15,$P368,1)</f>
        <v>2.8663111372420501E-12</v>
      </c>
      <c r="G368">
        <f ca="1">BINOMDIST(Worksheet!$A$24,Worksheet!$B$15,$P368,1)</f>
        <v>4.899408307852785E-11</v>
      </c>
      <c r="H368">
        <f ca="1">BINOMDIST(Worksheet!$A$25,Worksheet!$B$15,$P368,1)</f>
        <v>5.5527037560914098E-10</v>
      </c>
      <c r="I368">
        <f ca="1">BINOMDIST(Worksheet!$A$26,Worksheet!$B$15,$P368,1)</f>
        <v>4.6944043975898319E-9</v>
      </c>
      <c r="J368">
        <f ca="1">BINOMDIST(Worksheet!$A$27,Worksheet!$B$15,$P368,1)</f>
        <v>3.1581043632169382E-8</v>
      </c>
      <c r="K368">
        <f ca="1">BINOMDIST(Worksheet!$A$28,Worksheet!$B$15,$P368,1)</f>
        <v>1.7611729763250434E-7</v>
      </c>
      <c r="L368">
        <f ca="1">BINOMDIST(Worksheet!$A$29,Worksheet!$B$15,$P368,1)</f>
        <v>8.3748628363263772E-7</v>
      </c>
      <c r="M368">
        <f ca="1">BINOMDIST(Worksheet!$A$30,Worksheet!$B$15,$P368,1)</f>
        <v>3.4669744216680564E-6</v>
      </c>
      <c r="N368">
        <f ca="1">BINOMDIST(Worksheet!$A$31,Worksheet!$B$15,$P368,1)</f>
        <v>1.2694321412791104E-5</v>
      </c>
      <c r="O368">
        <f ca="1">BINOMDIST(Worksheet!$A$32,Worksheet!$B$15,$P368,1)</f>
        <v>4.1630016628528225E-5</v>
      </c>
      <c r="P368">
        <v>0.183</v>
      </c>
    </row>
    <row r="369" spans="5:16" x14ac:dyDescent="0.2">
      <c r="E369">
        <f ca="1">BINOMDIST(Worksheet!$A$22,Worksheet!$B$15,$P369,1)</f>
        <v>1.0005579499897081E-13</v>
      </c>
      <c r="F369">
        <f ca="1">BINOMDIST(Worksheet!$A$23,Worksheet!$B$15,$P369,1)</f>
        <v>3.4170644120919917E-12</v>
      </c>
      <c r="G369">
        <f ca="1">BINOMDIST(Worksheet!$A$24,Worksheet!$B$15,$P369,1)</f>
        <v>5.8030110934107644E-11</v>
      </c>
      <c r="H369">
        <f ca="1">BINOMDIST(Worksheet!$A$25,Worksheet!$B$15,$P369,1)</f>
        <v>6.5343249343207319E-10</v>
      </c>
      <c r="I369">
        <f ca="1">BINOMDIST(Worksheet!$A$26,Worksheet!$B$15,$P369,1)</f>
        <v>5.4887112549650624E-9</v>
      </c>
      <c r="J369">
        <f ca="1">BINOMDIST(Worksheet!$A$27,Worksheet!$B$15,$P369,1)</f>
        <v>3.6687490354440765E-8</v>
      </c>
      <c r="K369">
        <f ca="1">BINOMDIST(Worksheet!$A$28,Worksheet!$B$15,$P369,1)</f>
        <v>2.0328439390763128E-7</v>
      </c>
      <c r="L369">
        <f ca="1">BINOMDIST(Worksheet!$A$29,Worksheet!$B$15,$P369,1)</f>
        <v>9.6050601665917519E-7</v>
      </c>
      <c r="M369">
        <f ca="1">BINOMDIST(Worksheet!$A$30,Worksheet!$B$15,$P369,1)</f>
        <v>3.9509760072445815E-6</v>
      </c>
      <c r="N369">
        <f ca="1">BINOMDIST(Worksheet!$A$31,Worksheet!$B$15,$P369,1)</f>
        <v>1.4374969609309595E-5</v>
      </c>
      <c r="O369">
        <f ca="1">BINOMDIST(Worksheet!$A$32,Worksheet!$B$15,$P369,1)</f>
        <v>4.6844817650949627E-5</v>
      </c>
      <c r="P369">
        <v>0.182</v>
      </c>
    </row>
    <row r="370" spans="5:16" x14ac:dyDescent="0.2">
      <c r="E370">
        <f ca="1">BINOMDIST(Worksheet!$A$22,Worksheet!$B$15,$P370,1)</f>
        <v>1.2003319393785065E-13</v>
      </c>
      <c r="F370">
        <f ca="1">BINOMDIST(Worksheet!$A$23,Worksheet!$B$15,$P370,1)</f>
        <v>4.0726280746581041E-12</v>
      </c>
      <c r="G370">
        <f ca="1">BINOMDIST(Worksheet!$A$24,Worksheet!$B$15,$P370,1)</f>
        <v>6.8713721887072105E-11</v>
      </c>
      <c r="H370">
        <f ca="1">BINOMDIST(Worksheet!$A$25,Worksheet!$B$15,$P370,1)</f>
        <v>7.687159941975721E-10</v>
      </c>
      <c r="I370">
        <f ca="1">BINOMDIST(Worksheet!$A$26,Worksheet!$B$15,$P370,1)</f>
        <v>6.4153155204726816E-9</v>
      </c>
      <c r="J370">
        <f ca="1">BINOMDIST(Worksheet!$A$27,Worksheet!$B$15,$P370,1)</f>
        <v>4.2604571825012548E-8</v>
      </c>
      <c r="K370">
        <f ca="1">BINOMDIST(Worksheet!$A$28,Worksheet!$B$15,$P370,1)</f>
        <v>2.3455344775531908E-7</v>
      </c>
      <c r="L370">
        <f ca="1">BINOMDIST(Worksheet!$A$29,Worksheet!$B$15,$P370,1)</f>
        <v>1.1011525678851155E-6</v>
      </c>
      <c r="M370">
        <f ca="1">BINOMDIST(Worksheet!$A$30,Worksheet!$B$15,$P370,1)</f>
        <v>4.5006230479791328E-6</v>
      </c>
      <c r="N370">
        <f ca="1">BINOMDIST(Worksheet!$A$31,Worksheet!$B$15,$P370,1)</f>
        <v>1.6270788035427144E-5</v>
      </c>
      <c r="O370">
        <f ca="1">BINOMDIST(Worksheet!$A$32,Worksheet!$B$15,$P370,1)</f>
        <v>5.2687879705992776E-5</v>
      </c>
      <c r="P370">
        <v>0.18099999999999999</v>
      </c>
    </row>
    <row r="371" spans="5:16" x14ac:dyDescent="0.2">
      <c r="E371">
        <f ca="1">BINOMDIST(Worksheet!$A$22,Worksheet!$B$15,$P371,1)</f>
        <v>1.4396734817196263E-13</v>
      </c>
      <c r="F371">
        <f ca="1">BINOMDIST(Worksheet!$A$23,Worksheet!$B$15,$P371,1)</f>
        <v>4.8527530530159054E-12</v>
      </c>
      <c r="G371">
        <f ca="1">BINOMDIST(Worksheet!$A$24,Worksheet!$B$15,$P371,1)</f>
        <v>8.1341808648773843E-11</v>
      </c>
      <c r="H371">
        <f ca="1">BINOMDIST(Worksheet!$A$25,Worksheet!$B$15,$P371,1)</f>
        <v>9.040655529836327E-10</v>
      </c>
      <c r="I371">
        <f ca="1">BINOMDIST(Worksheet!$A$26,Worksheet!$B$15,$P371,1)</f>
        <v>7.4958887240568249E-9</v>
      </c>
      <c r="J371">
        <f ca="1">BINOMDIST(Worksheet!$A$27,Worksheet!$B$15,$P371,1)</f>
        <v>4.9458470374059341E-8</v>
      </c>
      <c r="K371">
        <f ca="1">BINOMDIST(Worksheet!$A$28,Worksheet!$B$15,$P371,1)</f>
        <v>2.7052963223748683E-7</v>
      </c>
      <c r="L371">
        <f ca="1">BINOMDIST(Worksheet!$A$29,Worksheet!$B$15,$P371,1)</f>
        <v>1.2618835880501436E-6</v>
      </c>
      <c r="M371">
        <f ca="1">BINOMDIST(Worksheet!$A$30,Worksheet!$B$15,$P371,1)</f>
        <v>5.1245371110031123E-6</v>
      </c>
      <c r="N371">
        <f ca="1">BINOMDIST(Worksheet!$A$31,Worksheet!$B$15,$P371,1)</f>
        <v>1.8408296787499891E-5</v>
      </c>
      <c r="O371">
        <f ca="1">BINOMDIST(Worksheet!$A$32,Worksheet!$B$15,$P371,1)</f>
        <v>5.9231558232343613E-5</v>
      </c>
      <c r="P371">
        <v>0.18</v>
      </c>
    </row>
    <row r="372" spans="5:16" x14ac:dyDescent="0.2">
      <c r="E372">
        <f ca="1">BINOMDIST(Worksheet!$A$22,Worksheet!$B$15,$P372,1)</f>
        <v>1.7263562077853697E-13</v>
      </c>
      <c r="F372">
        <f ca="1">BINOMDIST(Worksheet!$A$23,Worksheet!$B$15,$P372,1)</f>
        <v>5.7808751357412128E-12</v>
      </c>
      <c r="G372">
        <f ca="1">BINOMDIST(Worksheet!$A$24,Worksheet!$B$15,$P372,1)</f>
        <v>9.6264115836344911E-11</v>
      </c>
      <c r="H372">
        <f ca="1">BINOMDIST(Worksheet!$A$25,Worksheet!$B$15,$P372,1)</f>
        <v>1.0629249004709313E-9</v>
      </c>
      <c r="I372">
        <f ca="1">BINOMDIST(Worksheet!$A$26,Worksheet!$B$15,$P372,1)</f>
        <v>8.7555902310556681E-9</v>
      </c>
      <c r="J372">
        <f ca="1">BINOMDIST(Worksheet!$A$27,Worksheet!$B$15,$P372,1)</f>
        <v>5.7394598429673691E-8</v>
      </c>
      <c r="K372">
        <f ca="1">BINOMDIST(Worksheet!$A$28,Worksheet!$B$15,$P372,1)</f>
        <v>3.1190516995374538E-7</v>
      </c>
      <c r="L372">
        <f ca="1">BINOMDIST(Worksheet!$A$29,Worksheet!$B$15,$P372,1)</f>
        <v>1.4454891440796664E-6</v>
      </c>
      <c r="M372">
        <f ca="1">BINOMDIST(Worksheet!$A$30,Worksheet!$B$15,$P372,1)</f>
        <v>5.8324315092338481E-6</v>
      </c>
      <c r="N372">
        <f ca="1">BINOMDIST(Worksheet!$A$31,Worksheet!$B$15,$P372,1)</f>
        <v>2.0817143696827079E-5</v>
      </c>
      <c r="O372">
        <f ca="1">BINOMDIST(Worksheet!$A$32,Worksheet!$B$15,$P372,1)</f>
        <v>6.6556106841904604E-5</v>
      </c>
      <c r="P372">
        <v>0.17899999999999999</v>
      </c>
    </row>
    <row r="373" spans="5:16" x14ac:dyDescent="0.2">
      <c r="E373">
        <f ca="1">BINOMDIST(Worksheet!$A$22,Worksheet!$B$15,$P373,1)</f>
        <v>2.069668612651667E-13</v>
      </c>
      <c r="F373">
        <f ca="1">BINOMDIST(Worksheet!$A$23,Worksheet!$B$15,$P373,1)</f>
        <v>6.8847954433512286E-12</v>
      </c>
      <c r="G373">
        <f ca="1">BINOMDIST(Worksheet!$A$24,Worksheet!$B$15,$P373,1)</f>
        <v>1.1389253033780092E-10</v>
      </c>
      <c r="H373">
        <f ca="1">BINOMDIST(Worksheet!$A$25,Worksheet!$B$15,$P373,1)</f>
        <v>1.2493201018090802E-9</v>
      </c>
      <c r="I373">
        <f ca="1">BINOMDIST(Worksheet!$A$26,Worksheet!$B$15,$P373,1)</f>
        <v>1.0223618072428148E-8</v>
      </c>
      <c r="J373">
        <f ca="1">BINOMDIST(Worksheet!$A$27,Worksheet!$B$15,$P373,1)</f>
        <v>6.6580462505926612E-8</v>
      </c>
      <c r="K373">
        <f ca="1">BINOMDIST(Worksheet!$A$28,Worksheet!$B$15,$P373,1)</f>
        <v>3.5947150802892585E-7</v>
      </c>
      <c r="L373">
        <f ca="1">BINOMDIST(Worksheet!$A$29,Worksheet!$B$15,$P373,1)</f>
        <v>1.6551351633543402E-6</v>
      </c>
      <c r="M373">
        <f ca="1">BINOMDIST(Worksheet!$A$30,Worksheet!$B$15,$P373,1)</f>
        <v>6.6352438239390511E-6</v>
      </c>
      <c r="N373">
        <f ca="1">BINOMDIST(Worksheet!$A$31,Worksheet!$B$15,$P373,1)</f>
        <v>2.3530454308307164E-5</v>
      </c>
      <c r="O373">
        <f ca="1">BINOMDIST(Worksheet!$A$32,Worksheet!$B$15,$P373,1)</f>
        <v>7.4750484146561885E-5</v>
      </c>
      <c r="P373">
        <v>0.17799999999999999</v>
      </c>
    </row>
    <row r="374" spans="5:16" x14ac:dyDescent="0.2">
      <c r="E374">
        <f ca="1">BINOMDIST(Worksheet!$A$22,Worksheet!$B$15,$P374,1)</f>
        <v>2.4807068543162439E-13</v>
      </c>
      <c r="F374">
        <f ca="1">BINOMDIST(Worksheet!$A$23,Worksheet!$B$15,$P374,1)</f>
        <v>8.1974852503018827E-12</v>
      </c>
      <c r="G374">
        <f ca="1">BINOMDIST(Worksheet!$A$24,Worksheet!$B$15,$P374,1)</f>
        <v>1.3471198339206454E-10</v>
      </c>
      <c r="H374">
        <f ca="1">BINOMDIST(Worksheet!$A$25,Worksheet!$B$15,$P374,1)</f>
        <v>1.4679565063367876E-9</v>
      </c>
      <c r="I374">
        <f ca="1">BINOMDIST(Worksheet!$A$26,Worksheet!$B$15,$P374,1)</f>
        <v>1.1933845012393144E-8</v>
      </c>
      <c r="J374">
        <f ca="1">BINOMDIST(Worksheet!$A$27,Worksheet!$B$15,$P374,1)</f>
        <v>7.7208943070214854E-8</v>
      </c>
      <c r="K374">
        <f ca="1">BINOMDIST(Worksheet!$A$28,Worksheet!$B$15,$P374,1)</f>
        <v>4.1413314300900791E-7</v>
      </c>
      <c r="L374">
        <f ca="1">BINOMDIST(Worksheet!$A$29,Worksheet!$B$15,$P374,1)</f>
        <v>1.8944123349289498E-6</v>
      </c>
      <c r="M374">
        <f ca="1">BINOMDIST(Worksheet!$A$30,Worksheet!$B$15,$P374,1)</f>
        <v>7.5452837215808005E-6</v>
      </c>
      <c r="N374">
        <f ca="1">BINOMDIST(Worksheet!$A$31,Worksheet!$B$15,$P374,1)</f>
        <v>2.6585218539546269E-5</v>
      </c>
      <c r="O374">
        <f ca="1">BINOMDIST(Worksheet!$A$32,Worksheet!$B$15,$P374,1)</f>
        <v>8.3913236132399815E-5</v>
      </c>
      <c r="P374">
        <v>0.17699999999999999</v>
      </c>
    </row>
    <row r="375" spans="5:16" x14ac:dyDescent="0.2">
      <c r="E375">
        <f ca="1">BINOMDIST(Worksheet!$A$22,Worksheet!$B$15,$P375,1)</f>
        <v>2.9727236816470121E-13</v>
      </c>
      <c r="F375">
        <f ca="1">BINOMDIST(Worksheet!$A$23,Worksheet!$B$15,$P375,1)</f>
        <v>9.7580376384937256E-12</v>
      </c>
      <c r="G375">
        <f ca="1">BINOMDIST(Worksheet!$A$24,Worksheet!$B$15,$P375,1)</f>
        <v>1.592932401636944E-10</v>
      </c>
      <c r="H375">
        <f ca="1">BINOMDIST(Worksheet!$A$25,Worksheet!$B$15,$P375,1)</f>
        <v>1.7243315733886121E-9</v>
      </c>
      <c r="I375">
        <f ca="1">BINOMDIST(Worksheet!$A$26,Worksheet!$B$15,$P375,1)</f>
        <v>1.3925552753773134E-8</v>
      </c>
      <c r="J375">
        <f ca="1">BINOMDIST(Worksheet!$A$27,Worksheet!$B$15,$P375,1)</f>
        <v>8.9502048997320089E-8</v>
      </c>
      <c r="K375">
        <f ca="1">BINOMDIST(Worksheet!$A$28,Worksheet!$B$15,$P375,1)</f>
        <v>4.7692331129433792E-7</v>
      </c>
      <c r="L375">
        <f ca="1">BINOMDIST(Worksheet!$A$29,Worksheet!$B$15,$P375,1)</f>
        <v>2.1673911215390192E-6</v>
      </c>
      <c r="M375">
        <f ca="1">BINOMDIST(Worksheet!$A$30,Worksheet!$B$15,$P375,1)</f>
        <v>8.5763977225152177E-6</v>
      </c>
      <c r="N375">
        <f ca="1">BINOMDIST(Worksheet!$A$31,Worksheet!$B$15,$P375,1)</f>
        <v>3.0022717545846615E-5</v>
      </c>
      <c r="O375">
        <f ca="1">BINOMDIST(Worksheet!$A$32,Worksheet!$B$15,$P375,1)</f>
        <v>9.4153460318526682E-5</v>
      </c>
      <c r="P375">
        <v>0.17599999999999999</v>
      </c>
    </row>
    <row r="376" spans="5:16" x14ac:dyDescent="0.2">
      <c r="E376">
        <f ca="1">BINOMDIST(Worksheet!$A$22,Worksheet!$B$15,$P376,1)</f>
        <v>3.5615441629285497E-13</v>
      </c>
      <c r="F376">
        <f ca="1">BINOMDIST(Worksheet!$A$23,Worksheet!$B$15,$P376,1)</f>
        <v>1.1612792482760956E-11</v>
      </c>
      <c r="G376">
        <f ca="1">BINOMDIST(Worksheet!$A$24,Worksheet!$B$15,$P376,1)</f>
        <v>1.8830789910186667E-10</v>
      </c>
      <c r="H376">
        <f ca="1">BINOMDIST(Worksheet!$A$25,Worksheet!$B$15,$P376,1)</f>
        <v>2.0248661285065078E-9</v>
      </c>
      <c r="I376">
        <f ca="1">BINOMDIST(Worksheet!$A$26,Worksheet!$B$15,$P376,1)</f>
        <v>1.6244279086472772E-8</v>
      </c>
      <c r="J376">
        <f ca="1">BINOMDIST(Worksheet!$A$27,Worksheet!$B$15,$P376,1)</f>
        <v>1.0371521334305293E-7</v>
      </c>
      <c r="K376">
        <f ca="1">BINOMDIST(Worksheet!$A$28,Worksheet!$B$15,$P376,1)</f>
        <v>5.4902178774018916E-7</v>
      </c>
      <c r="L376">
        <f ca="1">BINOMDIST(Worksheet!$A$29,Worksheet!$B$15,$P376,1)</f>
        <v>2.4786836101277768E-6</v>
      </c>
      <c r="M376">
        <f ca="1">BINOMDIST(Worksheet!$A$30,Worksheet!$B$15,$P376,1)</f>
        <v>9.7441527444204463E-6</v>
      </c>
      <c r="N376">
        <f ca="1">BINOMDIST(Worksheet!$A$31,Worksheet!$B$15,$P376,1)</f>
        <v>3.3888994614948539E-5</v>
      </c>
      <c r="O376">
        <f ca="1">BINOMDIST(Worksheet!$A$32,Worksheet!$B$15,$P376,1)</f>
        <v>1.0559185835166859E-4</v>
      </c>
      <c r="P376">
        <v>0.17499999999999999</v>
      </c>
    </row>
    <row r="377" spans="5:16" x14ac:dyDescent="0.2">
      <c r="E377">
        <f ca="1">BINOMDIST(Worksheet!$A$22,Worksheet!$B$15,$P377,1)</f>
        <v>4.2660608982704274E-13</v>
      </c>
      <c r="F377">
        <f ca="1">BINOMDIST(Worksheet!$A$23,Worksheet!$B$15,$P377,1)</f>
        <v>1.381666599885357E-11</v>
      </c>
      <c r="G377">
        <f ca="1">BINOMDIST(Worksheet!$A$24,Worksheet!$B$15,$P377,1)</f>
        <v>2.2254597760735909E-10</v>
      </c>
      <c r="H377">
        <f ca="1">BINOMDIST(Worksheet!$A$25,Worksheet!$B$15,$P377,1)</f>
        <v>2.377057007600238E-9</v>
      </c>
      <c r="I377">
        <f ca="1">BINOMDIST(Worksheet!$A$26,Worksheet!$B$15,$P377,1)</f>
        <v>1.8942794963392934E-8</v>
      </c>
      <c r="J377">
        <f ca="1">BINOMDIST(Worksheet!$A$27,Worksheet!$B$15,$P377,1)</f>
        <v>1.2014220625265447E-7</v>
      </c>
      <c r="K377">
        <f ca="1">BINOMDIST(Worksheet!$A$28,Worksheet!$B$15,$P377,1)</f>
        <v>6.3177506526470786E-7</v>
      </c>
      <c r="L377">
        <f ca="1">BINOMDIST(Worksheet!$A$29,Worksheet!$B$15,$P377,1)</f>
        <v>2.8335130102556977E-6</v>
      </c>
      <c r="M377">
        <f ca="1">BINOMDIST(Worksheet!$A$30,Worksheet!$B$15,$P377,1)</f>
        <v>1.1066040423215357E-5</v>
      </c>
      <c r="N377">
        <f ca="1">BINOMDIST(Worksheet!$A$31,Worksheet!$B$15,$P377,1)</f>
        <v>3.8235374234024103E-5</v>
      </c>
      <c r="O377">
        <f ca="1">BINOMDIST(Worksheet!$A$32,Worksheet!$B$15,$P377,1)</f>
        <v>1.1836188411674822E-4</v>
      </c>
      <c r="P377">
        <v>0.17399999999999999</v>
      </c>
    </row>
    <row r="378" spans="5:16" x14ac:dyDescent="0.2">
      <c r="E378">
        <f ca="1">BINOMDIST(Worksheet!$A$22,Worksheet!$B$15,$P378,1)</f>
        <v>5.108823787321949E-13</v>
      </c>
      <c r="F378">
        <f ca="1">BINOMDIST(Worksheet!$A$23,Worksheet!$B$15,$P378,1)</f>
        <v>1.6434721649082584E-11</v>
      </c>
      <c r="G378">
        <f ca="1">BINOMDIST(Worksheet!$A$24,Worksheet!$B$15,$P378,1)</f>
        <v>2.6293652375189489E-10</v>
      </c>
      <c r="H378">
        <f ca="1">BINOMDIST(Worksheet!$A$25,Worksheet!$B$15,$P378,1)</f>
        <v>2.7896545121745551E-9</v>
      </c>
      <c r="I378">
        <f ca="1">BINOMDIST(Worksheet!$A$26,Worksheet!$B$15,$P378,1)</f>
        <v>2.2082230978794735E-8</v>
      </c>
      <c r="J378">
        <f ca="1">BINOMDIST(Worksheet!$A$27,Worksheet!$B$15,$P378,1)</f>
        <v>1.3912075109128979E-7</v>
      </c>
      <c r="K378">
        <f ca="1">BINOMDIST(Worksheet!$A$28,Worksheet!$B$15,$P378,1)</f>
        <v>7.2671922207929395E-7</v>
      </c>
      <c r="L378">
        <f ca="1">BINOMDIST(Worksheet!$A$29,Worksheet!$B$15,$P378,1)</f>
        <v>3.2377916998426798E-6</v>
      </c>
      <c r="M378">
        <f ca="1">BINOMDIST(Worksheet!$A$30,Worksheet!$B$15,$P378,1)</f>
        <v>1.2561704409748259E-5</v>
      </c>
      <c r="N378">
        <f ca="1">BINOMDIST(Worksheet!$A$31,Worksheet!$B$15,$P378,1)</f>
        <v>4.3119033810893828E-5</v>
      </c>
      <c r="O378">
        <f ca="1">BINOMDIST(Worksheet!$A$32,Worksheet!$B$15,$P378,1)</f>
        <v>1.3261099488655836E-4</v>
      </c>
      <c r="P378">
        <v>0.17299999999999999</v>
      </c>
    </row>
    <row r="379" spans="5:16" x14ac:dyDescent="0.2">
      <c r="E379">
        <f ca="1">BINOMDIST(Worksheet!$A$22,Worksheet!$B$15,$P379,1)</f>
        <v>6.1167422578509626E-13</v>
      </c>
      <c r="F379">
        <f ca="1">BINOMDIST(Worksheet!$A$23,Worksheet!$B$15,$P379,1)</f>
        <v>1.9544025745616512E-11</v>
      </c>
      <c r="G379">
        <f ca="1">BINOMDIST(Worksheet!$A$24,Worksheet!$B$15,$P379,1)</f>
        <v>3.1057176746592373E-10</v>
      </c>
      <c r="H379">
        <f ca="1">BINOMDIST(Worksheet!$A$25,Worksheet!$B$15,$P379,1)</f>
        <v>3.2728686360876047E-9</v>
      </c>
      <c r="I379">
        <f ca="1">BINOMDIST(Worksheet!$A$26,Worksheet!$B$15,$P379,1)</f>
        <v>2.5733375569912384E-8</v>
      </c>
      <c r="J379">
        <f ca="1">BINOMDIST(Worksheet!$A$27,Worksheet!$B$15,$P379,1)</f>
        <v>1.6103894149493373E-7</v>
      </c>
      <c r="K379">
        <f ca="1">BINOMDIST(Worksheet!$A$28,Worksheet!$B$15,$P379,1)</f>
        <v>8.3560582088924339E-7</v>
      </c>
      <c r="L379">
        <f ca="1">BINOMDIST(Worksheet!$A$29,Worksheet!$B$15,$P379,1)</f>
        <v>3.6982088170214838E-6</v>
      </c>
      <c r="M379">
        <f ca="1">BINOMDIST(Worksheet!$A$30,Worksheet!$B$15,$P379,1)</f>
        <v>1.4253193052760293E-5</v>
      </c>
      <c r="N379">
        <f ca="1">BINOMDIST(Worksheet!$A$31,Worksheet!$B$15,$P379,1)</f>
        <v>4.8603632892418962E-5</v>
      </c>
      <c r="O379">
        <f ca="1">BINOMDIST(Worksheet!$A$32,Worksheet!$B$15,$P379,1)</f>
        <v>1.4850201348891448E-4</v>
      </c>
      <c r="P379">
        <v>0.17199999999999999</v>
      </c>
    </row>
    <row r="380" spans="5:16" x14ac:dyDescent="0.2">
      <c r="E380">
        <f ca="1">BINOMDIST(Worksheet!$A$22,Worksheet!$B$15,$P380,1)</f>
        <v>7.3219212233558395E-13</v>
      </c>
      <c r="F380">
        <f ca="1">BINOMDIST(Worksheet!$A$23,Worksheet!$B$15,$P380,1)</f>
        <v>2.3235838786977745E-11</v>
      </c>
      <c r="G380">
        <f ca="1">BINOMDIST(Worksheet!$A$24,Worksheet!$B$15,$P380,1)</f>
        <v>3.667354104327933E-10</v>
      </c>
      <c r="H380">
        <f ca="1">BINOMDIST(Worksheet!$A$25,Worksheet!$B$15,$P380,1)</f>
        <v>3.8386086442329024E-9</v>
      </c>
      <c r="I380">
        <f ca="1">BINOMDIST(Worksheet!$A$26,Worksheet!$B$15,$P380,1)</f>
        <v>2.9978170512463781E-8</v>
      </c>
      <c r="J380">
        <f ca="1">BINOMDIST(Worksheet!$A$27,Worksheet!$B$15,$P380,1)</f>
        <v>1.8634257015607899E-7</v>
      </c>
      <c r="K380">
        <f ca="1">BINOMDIST(Worksheet!$A$28,Worksheet!$B$15,$P380,1)</f>
        <v>9.604312265341209E-7</v>
      </c>
      <c r="L380">
        <f ca="1">BINOMDIST(Worksheet!$A$29,Worksheet!$B$15,$P380,1)</f>
        <v>4.2223285062880921E-6</v>
      </c>
      <c r="M380">
        <f ca="1">BINOMDIST(Worksheet!$A$30,Worksheet!$B$15,$P380,1)</f>
        <v>1.6165240108668349E-5</v>
      </c>
      <c r="N380">
        <f ca="1">BINOMDIST(Worksheet!$A$31,Worksheet!$B$15,$P380,1)</f>
        <v>5.4760005105986283E-5</v>
      </c>
      <c r="O380">
        <f ca="1">BINOMDIST(Worksheet!$A$32,Worksheet!$B$15,$P380,1)</f>
        <v>1.6621460993539449E-4</v>
      </c>
      <c r="P380">
        <v>0.17100000000000001</v>
      </c>
    </row>
    <row r="381" spans="5:16" x14ac:dyDescent="0.2">
      <c r="E381">
        <f ca="1">BINOMDIST(Worksheet!$A$22,Worksheet!$B$15,$P381,1)</f>
        <v>8.7626560267213603E-13</v>
      </c>
      <c r="F381">
        <f ca="1">BINOMDIST(Worksheet!$A$23,Worksheet!$B$15,$P381,1)</f>
        <v>2.7618202609521773E-11</v>
      </c>
      <c r="G381">
        <f ca="1">BINOMDIST(Worksheet!$A$24,Worksheet!$B$15,$P381,1)</f>
        <v>4.3293575386996578E-10</v>
      </c>
      <c r="H381">
        <f ca="1">BINOMDIST(Worksheet!$A$25,Worksheet!$B$15,$P381,1)</f>
        <v>4.5007612984476774E-9</v>
      </c>
      <c r="I381">
        <f ca="1">BINOMDIST(Worksheet!$A$26,Worksheet!$B$15,$P381,1)</f>
        <v>3.4911432990140076E-8</v>
      </c>
      <c r="J381">
        <f ca="1">BINOMDIST(Worksheet!$A$27,Worksheet!$B$15,$P381,1)</f>
        <v>2.1554349496609627E-7</v>
      </c>
      <c r="K381">
        <f ca="1">BINOMDIST(Worksheet!$A$28,Worksheet!$B$15,$P381,1)</f>
        <v>1.1034697755226041E-6</v>
      </c>
      <c r="L381">
        <f ca="1">BINOMDIST(Worksheet!$A$29,Worksheet!$B$15,$P381,1)</f>
        <v>4.8187000475240999E-6</v>
      </c>
      <c r="M381">
        <f ca="1">BINOMDIST(Worksheet!$A$30,Worksheet!$B$15,$P381,1)</f>
        <v>1.8325576367722319E-5</v>
      </c>
      <c r="N381">
        <f ca="1">BINOMDIST(Worksheet!$A$31,Worksheet!$B$15,$P381,1)</f>
        <v>6.1666918455426637E-5</v>
      </c>
      <c r="O381">
        <f ca="1">BINOMDIST(Worksheet!$A$32,Worksheet!$B$15,$P381,1)</f>
        <v>1.8594691142980778E-4</v>
      </c>
      <c r="P381">
        <v>0.17</v>
      </c>
    </row>
    <row r="382" spans="5:16" x14ac:dyDescent="0.2">
      <c r="E382">
        <f ca="1">BINOMDIST(Worksheet!$A$22,Worksheet!$B$15,$P382,1)</f>
        <v>1.0484616357640194E-12</v>
      </c>
      <c r="F382">
        <f ca="1">BINOMDIST(Worksheet!$A$23,Worksheet!$B$15,$P382,1)</f>
        <v>3.2818994066779335E-11</v>
      </c>
      <c r="G382">
        <f ca="1">BINOMDIST(Worksheet!$A$24,Worksheet!$B$15,$P382,1)</f>
        <v>5.1094447972535721E-10</v>
      </c>
      <c r="H382">
        <f ca="1">BINOMDIST(Worksheet!$A$25,Worksheet!$B$15,$P382,1)</f>
        <v>5.2755138500486896E-9</v>
      </c>
      <c r="I382">
        <f ca="1">BINOMDIST(Worksheet!$A$26,Worksheet!$B$15,$P382,1)</f>
        <v>4.0642837749975749E-8</v>
      </c>
      <c r="J382">
        <f ca="1">BINOMDIST(Worksheet!$A$27,Worksheet!$B$15,$P382,1)</f>
        <v>2.4922918484208508E-7</v>
      </c>
      <c r="K382">
        <f ca="1">BINOMDIST(Worksheet!$A$28,Worksheet!$B$15,$P382,1)</f>
        <v>1.2673112832844397E-6</v>
      </c>
      <c r="L382">
        <f ca="1">BINOMDIST(Worksheet!$A$29,Worksheet!$B$15,$P382,1)</f>
        <v>5.4969812287986726E-6</v>
      </c>
      <c r="M382">
        <f ca="1">BINOMDIST(Worksheet!$A$30,Worksheet!$B$15,$P382,1)</f>
        <v>2.0765275355220289E-5</v>
      </c>
      <c r="N382">
        <f ca="1">BINOMDIST(Worksheet!$A$31,Worksheet!$B$15,$P382,1)</f>
        <v>6.9411910030778629E-5</v>
      </c>
      <c r="O382">
        <f ca="1">BINOMDIST(Worksheet!$A$32,Worksheet!$B$15,$P382,1)</f>
        <v>2.0791725015396838E-4</v>
      </c>
      <c r="P382">
        <v>0.16900000000000001</v>
      </c>
    </row>
    <row r="383" spans="5:16" x14ac:dyDescent="0.2">
      <c r="E383">
        <f ca="1">BINOMDIST(Worksheet!$A$22,Worksheet!$B$15,$P383,1)</f>
        <v>1.2542254740934357E-12</v>
      </c>
      <c r="F383">
        <f ca="1">BINOMDIST(Worksheet!$A$23,Worksheet!$B$15,$P383,1)</f>
        <v>3.8989528439846865E-11</v>
      </c>
      <c r="G383">
        <f ca="1">BINOMDIST(Worksheet!$A$24,Worksheet!$B$15,$P383,1)</f>
        <v>6.0284203621658543E-10</v>
      </c>
      <c r="H383">
        <f ca="1">BINOMDIST(Worksheet!$A$25,Worksheet!$B$15,$P383,1)</f>
        <v>6.181728867969124E-9</v>
      </c>
      <c r="I383">
        <f ca="1">BINOMDIST(Worksheet!$A$26,Worksheet!$B$15,$P383,1)</f>
        <v>4.7299197680837584E-8</v>
      </c>
      <c r="J383">
        <f ca="1">BINOMDIST(Worksheet!$A$27,Worksheet!$B$15,$P383,1)</f>
        <v>2.8807360640234718E-7</v>
      </c>
      <c r="K383">
        <f ca="1">BINOMDIST(Worksheet!$A$28,Worksheet!$B$15,$P383,1)</f>
        <v>1.4549034332835071E-6</v>
      </c>
      <c r="L383">
        <f ca="1">BINOMDIST(Worksheet!$A$29,Worksheet!$B$15,$P383,1)</f>
        <v>6.2680764691682939E-6</v>
      </c>
      <c r="M383">
        <f ca="1">BINOMDIST(Worksheet!$A$30,Worksheet!$B$15,$P383,1)</f>
        <v>2.3519136556918811E-5</v>
      </c>
      <c r="N383">
        <f ca="1">BINOMDIST(Worksheet!$A$31,Worksheet!$B$15,$P383,1)</f>
        <v>7.8092201642206483E-5</v>
      </c>
      <c r="O383">
        <f ca="1">BINOMDIST(Worksheet!$A$32,Worksheet!$B$15,$P383,1)</f>
        <v>2.3236605871023084E-4</v>
      </c>
      <c r="P383">
        <v>0.16800000000000001</v>
      </c>
    </row>
    <row r="384" spans="5:16" x14ac:dyDescent="0.2">
      <c r="E384">
        <f ca="1">BINOMDIST(Worksheet!$A$22,Worksheet!$B$15,$P384,1)</f>
        <v>1.5000481842861711E-12</v>
      </c>
      <c r="F384">
        <f ca="1">BINOMDIST(Worksheet!$A$23,Worksheet!$B$15,$P384,1)</f>
        <v>4.6308810452704903E-11</v>
      </c>
      <c r="G384">
        <f ca="1">BINOMDIST(Worksheet!$A$24,Worksheet!$B$15,$P384,1)</f>
        <v>7.1107073615872998E-10</v>
      </c>
      <c r="H384">
        <f ca="1">BINOMDIST(Worksheet!$A$25,Worksheet!$B$15,$P384,1)</f>
        <v>7.2413790651532161E-9</v>
      </c>
      <c r="I384">
        <f ca="1">BINOMDIST(Worksheet!$A$26,Worksheet!$B$15,$P384,1)</f>
        <v>5.5027086651450844E-8</v>
      </c>
      <c r="J384">
        <f ca="1">BINOMDIST(Worksheet!$A$27,Worksheet!$B$15,$P384,1)</f>
        <v>3.3284963387886912E-7</v>
      </c>
      <c r="K384">
        <f ca="1">BINOMDIST(Worksheet!$A$28,Worksheet!$B$15,$P384,1)</f>
        <v>1.6695996570331211E-6</v>
      </c>
      <c r="L384">
        <f ca="1">BINOMDIST(Worksheet!$A$29,Worksheet!$B$15,$P384,1)</f>
        <v>7.1442913570754412E-6</v>
      </c>
      <c r="M384">
        <f ca="1">BINOMDIST(Worksheet!$A$30,Worksheet!$B$15,$P384,1)</f>
        <v>2.6626109930725427E-5</v>
      </c>
      <c r="N384">
        <f ca="1">BINOMDIST(Worksheet!$A$31,Worksheet!$B$15,$P384,1)</f>
        <v>8.7815703361929381E-5</v>
      </c>
      <c r="O384">
        <f ca="1">BINOMDIST(Worksheet!$A$32,Worksheet!$B$15,$P384,1)</f>
        <v>2.59557923580603E-4</v>
      </c>
      <c r="P384">
        <v>0.16700000000000001</v>
      </c>
    </row>
    <row r="385" spans="5:16" x14ac:dyDescent="0.2">
      <c r="E385">
        <f ca="1">BINOMDIST(Worksheet!$A$22,Worksheet!$B$15,$P385,1)</f>
        <v>1.79366587243882E-12</v>
      </c>
      <c r="F385">
        <f ca="1">BINOMDIST(Worksheet!$A$23,Worksheet!$B$15,$P385,1)</f>
        <v>5.4988547993423996E-11</v>
      </c>
      <c r="G385">
        <f ca="1">BINOMDIST(Worksheet!$A$24,Worksheet!$B$15,$P385,1)</f>
        <v>8.3849685971306885E-10</v>
      </c>
      <c r="H385">
        <f ca="1">BINOMDIST(Worksheet!$A$25,Worksheet!$B$15,$P385,1)</f>
        <v>8.4800515449979391E-9</v>
      </c>
      <c r="I385">
        <f ca="1">BINOMDIST(Worksheet!$A$26,Worksheet!$B$15,$P385,1)</f>
        <v>6.3995854708236526E-8</v>
      </c>
      <c r="J385">
        <f ca="1">BINOMDIST(Worksheet!$A$27,Worksheet!$B$15,$P385,1)</f>
        <v>3.8444318855455707E-7</v>
      </c>
      <c r="K385">
        <f ca="1">BINOMDIST(Worksheet!$A$28,Worksheet!$B$15,$P385,1)</f>
        <v>1.9152131862089186E-6</v>
      </c>
      <c r="L385">
        <f ca="1">BINOMDIST(Worksheet!$A$29,Worksheet!$B$15,$P385,1)</f>
        <v>8.1395054445712386E-6</v>
      </c>
      <c r="M385">
        <f ca="1">BINOMDIST(Worksheet!$A$30,Worksheet!$B$15,$P385,1)</f>
        <v>3.0129765803401719E-5</v>
      </c>
      <c r="N385">
        <f ca="1">BINOMDIST(Worksheet!$A$31,Worksheet!$B$15,$P385,1)</f>
        <v>9.8702112453919309E-5</v>
      </c>
      <c r="O385">
        <f ca="1">BINOMDIST(Worksheet!$A$32,Worksheet!$B$15,$P385,1)</f>
        <v>2.8978380743689594E-4</v>
      </c>
      <c r="P385">
        <v>0.16600000000000001</v>
      </c>
    </row>
    <row r="386" spans="5:16" x14ac:dyDescent="0.2">
      <c r="E386">
        <f ca="1">BINOMDIST(Worksheet!$A$22,Worksheet!$B$15,$P386,1)</f>
        <v>2.1442965510560678E-12</v>
      </c>
      <c r="F386">
        <f ca="1">BINOMDIST(Worksheet!$A$23,Worksheet!$B$15,$P386,1)</f>
        <v>6.5279063865682809E-11</v>
      </c>
      <c r="G386">
        <f ca="1">BINOMDIST(Worksheet!$A$24,Worksheet!$B$15,$P386,1)</f>
        <v>9.8848326615501488E-10</v>
      </c>
      <c r="H386">
        <f ca="1">BINOMDIST(Worksheet!$A$25,Worksheet!$B$15,$P386,1)</f>
        <v>9.9275323386212144E-9</v>
      </c>
      <c r="I386">
        <f ca="1">BINOMDIST(Worksheet!$A$26,Worksheet!$B$15,$P386,1)</f>
        <v>7.4401092864283046E-8</v>
      </c>
      <c r="J386">
        <f ca="1">BINOMDIST(Worksheet!$A$27,Worksheet!$B$15,$P386,1)</f>
        <v>4.4386934090654861E-7</v>
      </c>
      <c r="K386">
        <f ca="1">BINOMDIST(Worksheet!$A$28,Worksheet!$B$15,$P386,1)</f>
        <v>2.1960780382087875E-6</v>
      </c>
      <c r="L386">
        <f ca="1">BINOMDIST(Worksheet!$A$29,Worksheet!$B$15,$P386,1)</f>
        <v>9.2693653286872056E-6</v>
      </c>
      <c r="M386">
        <f ca="1">BINOMDIST(Worksheet!$A$30,Worksheet!$B$15,$P386,1)</f>
        <v>3.4078814612506039E-5</v>
      </c>
      <c r="N386">
        <f ca="1">BINOMDIST(Worksheet!$A$31,Worksheet!$B$15,$P386,1)</f>
        <v>1.1088411568875943E-4</v>
      </c>
      <c r="O386">
        <f ca="1">BINOMDIST(Worksheet!$A$32,Worksheet!$B$15,$P386,1)</f>
        <v>3.2336345160031071E-4</v>
      </c>
      <c r="P386">
        <v>0.16500000000000001</v>
      </c>
    </row>
    <row r="387" spans="5:16" x14ac:dyDescent="0.2">
      <c r="E387">
        <f ca="1">BINOMDIST(Worksheet!$A$22,Worksheet!$B$15,$P387,1)</f>
        <v>2.5629217011070701E-12</v>
      </c>
      <c r="F387">
        <f ca="1">BINOMDIST(Worksheet!$A$23,Worksheet!$B$15,$P387,1)</f>
        <v>7.7476264629638523E-11</v>
      </c>
      <c r="G387">
        <f ca="1">BINOMDIST(Worksheet!$A$24,Worksheet!$B$15,$P387,1)</f>
        <v>1.1649742667596117E-9</v>
      </c>
      <c r="H387">
        <f ca="1">BINOMDIST(Worksheet!$A$25,Worksheet!$B$15,$P387,1)</f>
        <v>1.161848377048744E-8</v>
      </c>
      <c r="I387">
        <f ca="1">BINOMDIST(Worksheet!$A$26,Worksheet!$B$15,$P387,1)</f>
        <v>8.6468612824691726E-8</v>
      </c>
      <c r="J387">
        <f ca="1">BINOMDIST(Worksheet!$A$27,Worksheet!$B$15,$P387,1)</f>
        <v>5.12290638879471E-7</v>
      </c>
      <c r="K387">
        <f ca="1">BINOMDIST(Worksheet!$A$28,Worksheet!$B$15,$P387,1)</f>
        <v>2.5171177854723141E-6</v>
      </c>
      <c r="L387">
        <f ca="1">BINOMDIST(Worksheet!$A$29,Worksheet!$B$15,$P387,1)</f>
        <v>1.0551500260163938E-5</v>
      </c>
      <c r="M387">
        <f ca="1">BINOMDIST(Worksheet!$A$30,Worksheet!$B$15,$P387,1)</f>
        <v>3.8527681341297054E-5</v>
      </c>
      <c r="N387">
        <f ca="1">BINOMDIST(Worksheet!$A$31,Worksheet!$B$15,$P387,1)</f>
        <v>1.245087035794844E-4</v>
      </c>
      <c r="O387">
        <f ca="1">BINOMDIST(Worksheet!$A$32,Worksheet!$B$15,$P387,1)</f>
        <v>3.6064797039632451E-4</v>
      </c>
      <c r="P387">
        <v>0.16400000000000001</v>
      </c>
    </row>
    <row r="388" spans="5:16" x14ac:dyDescent="0.2">
      <c r="E388">
        <f ca="1">BINOMDIST(Worksheet!$A$22,Worksheet!$B$15,$P388,1)</f>
        <v>3.0626208935051057E-12</v>
      </c>
      <c r="F388">
        <f ca="1">BINOMDIST(Worksheet!$A$23,Worksheet!$B$15,$P388,1)</f>
        <v>9.1929853438975289E-11</v>
      </c>
      <c r="G388">
        <f ca="1">BINOMDIST(Worksheet!$A$24,Worksheet!$B$15,$P388,1)</f>
        <v>1.3725947984371384E-9</v>
      </c>
      <c r="H388">
        <f ca="1">BINOMDIST(Worksheet!$A$25,Worksheet!$B$15,$P388,1)</f>
        <v>1.3593229106322844E-8</v>
      </c>
      <c r="I388">
        <f ca="1">BINOMDIST(Worksheet!$A$26,Worksheet!$B$15,$P388,1)</f>
        <v>1.0045901622073864E-7</v>
      </c>
      <c r="J388">
        <f ca="1">BINOMDIST(Worksheet!$A$27,Worksheet!$B$15,$P388,1)</f>
        <v>5.9103795969725263E-7</v>
      </c>
      <c r="K388">
        <f ca="1">BINOMDIST(Worksheet!$A$28,Worksheet!$B$15,$P388,1)</f>
        <v>2.8839230575229693E-6</v>
      </c>
      <c r="L388">
        <f ca="1">BINOMDIST(Worksheet!$A$29,Worksheet!$B$15,$P388,1)</f>
        <v>1.2005762747780632E-5</v>
      </c>
      <c r="M388">
        <f ca="1">BINOMDIST(Worksheet!$A$30,Worksheet!$B$15,$P388,1)</f>
        <v>4.3537139908877445E-5</v>
      </c>
      <c r="N388">
        <f ca="1">BINOMDIST(Worksheet!$A$31,Worksheet!$B$15,$P388,1)</f>
        <v>1.3973860563215999E-4</v>
      </c>
      <c r="O388">
        <f ca="1">BINOMDIST(Worksheet!$A$32,Worksheet!$B$15,$P388,1)</f>
        <v>4.0202264957544663E-4</v>
      </c>
      <c r="P388">
        <v>0.16300000000000001</v>
      </c>
    </row>
    <row r="389" spans="5:16" x14ac:dyDescent="0.2">
      <c r="E389">
        <f ca="1">BINOMDIST(Worksheet!$A$22,Worksheet!$B$15,$P389,1)</f>
        <v>3.6589693866780322E-12</v>
      </c>
      <c r="F389">
        <f ca="1">BINOMDIST(Worksheet!$A$23,Worksheet!$B$15,$P389,1)</f>
        <v>1.0905300644590768E-10</v>
      </c>
      <c r="G389">
        <f ca="1">BINOMDIST(Worksheet!$A$24,Worksheet!$B$15,$P389,1)</f>
        <v>1.6167662716798476E-9</v>
      </c>
      <c r="H389">
        <f ca="1">BINOMDIST(Worksheet!$A$25,Worksheet!$B$15,$P389,1)</f>
        <v>1.5898661139731197E-8</v>
      </c>
      <c r="I389">
        <f ca="1">BINOMDIST(Worksheet!$A$26,Worksheet!$B$15,$P389,1)</f>
        <v>1.1667293841274756E-7</v>
      </c>
      <c r="J389">
        <f ca="1">BINOMDIST(Worksheet!$A$27,Worksheet!$B$15,$P389,1)</f>
        <v>6.8163422078581598E-7</v>
      </c>
      <c r="K389">
        <f ca="1">BINOMDIST(Worksheet!$A$28,Worksheet!$B$15,$P389,1)</f>
        <v>3.3028388339916428E-6</v>
      </c>
      <c r="L389">
        <f ca="1">BINOMDIST(Worksheet!$A$29,Worksheet!$B$15,$P389,1)</f>
        <v>1.3654496875165581E-5</v>
      </c>
      <c r="M389">
        <f ca="1">BINOMDIST(Worksheet!$A$30,Worksheet!$B$15,$P389,1)</f>
        <v>4.9175013220506473E-5</v>
      </c>
      <c r="N389">
        <f ca="1">BINOMDIST(Worksheet!$A$31,Worksheet!$B$15,$P389,1)</f>
        <v>1.5675385628073944E-4</v>
      </c>
      <c r="O389">
        <f ca="1">BINOMDIST(Worksheet!$A$32,Worksheet!$B$15,$P389,1)</f>
        <v>4.4790996136499675E-4</v>
      </c>
      <c r="P389">
        <v>0.16200000000000001</v>
      </c>
    </row>
    <row r="390" spans="5:16" x14ac:dyDescent="0.2">
      <c r="E390">
        <f ca="1">BINOMDIST(Worksheet!$A$22,Worksheet!$B$15,$P390,1)</f>
        <v>4.3705104549715623E-12</v>
      </c>
      <c r="F390">
        <f ca="1">BINOMDIST(Worksheet!$A$23,Worksheet!$B$15,$P390,1)</f>
        <v>1.2933377065081537E-10</v>
      </c>
      <c r="G390">
        <f ca="1">BINOMDIST(Worksheet!$A$24,Worksheet!$B$15,$P390,1)</f>
        <v>1.9038418540516283E-9</v>
      </c>
      <c r="H390">
        <f ca="1">BINOMDIST(Worksheet!$A$25,Worksheet!$B$15,$P390,1)</f>
        <v>1.858929390405044E-8</v>
      </c>
      <c r="I390">
        <f ca="1">BINOMDIST(Worksheet!$A$26,Worksheet!$B$15,$P390,1)</f>
        <v>1.3545706383470347E-7</v>
      </c>
      <c r="J390">
        <f ca="1">BINOMDIST(Worksheet!$A$27,Worksheet!$B$15,$P390,1)</f>
        <v>7.8582132820445187E-7</v>
      </c>
      <c r="K390">
        <f ca="1">BINOMDIST(Worksheet!$A$28,Worksheet!$B$15,$P390,1)</f>
        <v>3.7810627078525044E-6</v>
      </c>
      <c r="L390">
        <f ca="1">BINOMDIST(Worksheet!$A$29,Worksheet!$B$15,$P390,1)</f>
        <v>1.552283731770044E-5</v>
      </c>
      <c r="M390">
        <f ca="1">BINOMDIST(Worksheet!$A$30,Worksheet!$B$15,$P390,1)</f>
        <v>5.5516945054640774E-5</v>
      </c>
      <c r="N390">
        <f ca="1">BINOMDIST(Worksheet!$A$31,Worksheet!$B$15,$P390,1)</f>
        <v>1.7575350176716645E-4</v>
      </c>
      <c r="O390">
        <f ca="1">BINOMDIST(Worksheet!$A$32,Worksheet!$B$15,$P390,1)</f>
        <v>4.9877280907352365E-4</v>
      </c>
      <c r="P390">
        <v>0.161</v>
      </c>
    </row>
    <row r="391" spans="5:16" x14ac:dyDescent="0.2">
      <c r="E391">
        <f ca="1">BINOMDIST(Worksheet!$A$22,Worksheet!$B$15,$P391,1)</f>
        <v>5.2193163785603691E-12</v>
      </c>
      <c r="F391">
        <f ca="1">BINOMDIST(Worksheet!$A$23,Worksheet!$B$15,$P391,1)</f>
        <v>1.5334848597960662E-10</v>
      </c>
      <c r="G391">
        <f ca="1">BINOMDIST(Worksheet!$A$24,Worksheet!$B$15,$P391,1)</f>
        <v>2.2412644003562641E-9</v>
      </c>
      <c r="H391">
        <f ca="1">BINOMDIST(Worksheet!$A$25,Worksheet!$B$15,$P391,1)</f>
        <v>2.1728479601205048E-8</v>
      </c>
      <c r="I391">
        <f ca="1">BINOMDIST(Worksheet!$A$26,Worksheet!$B$15,$P391,1)</f>
        <v>1.5721102337853449E-7</v>
      </c>
      <c r="J391">
        <f ca="1">BINOMDIST(Worksheet!$A$27,Worksheet!$B$15,$P391,1)</f>
        <v>9.0559078900568687E-7</v>
      </c>
      <c r="K391">
        <f ca="1">BINOMDIST(Worksheet!$A$28,Worksheet!$B$15,$P391,1)</f>
        <v>4.326755431872679E-6</v>
      </c>
      <c r="L391">
        <f ca="1">BINOMDIST(Worksheet!$A$29,Worksheet!$B$15,$P391,1)</f>
        <v>1.7639042341531978E-5</v>
      </c>
      <c r="M391">
        <f ca="1">BINOMDIST(Worksheet!$A$30,Worksheet!$B$15,$P391,1)</f>
        <v>6.264725046466573E-5</v>
      </c>
      <c r="N391">
        <f ca="1">BINOMDIST(Worksheet!$A$31,Worksheet!$B$15,$P391,1)</f>
        <v>1.9695745883211295E-4</v>
      </c>
      <c r="O391">
        <f ca="1">BINOMDIST(Worksheet!$A$32,Worksheet!$B$15,$P391,1)</f>
        <v>5.5511801447863732E-4</v>
      </c>
      <c r="P391">
        <v>0.16</v>
      </c>
    </row>
    <row r="392" spans="5:16" x14ac:dyDescent="0.2">
      <c r="E392">
        <f ca="1">BINOMDIST(Worksheet!$A$22,Worksheet!$B$15,$P392,1)</f>
        <v>6.2316546009155002E-12</v>
      </c>
      <c r="F392">
        <f ca="1">BINOMDIST(Worksheet!$A$23,Worksheet!$B$15,$P392,1)</f>
        <v>1.8177758700316182E-10</v>
      </c>
      <c r="G392">
        <f ca="1">BINOMDIST(Worksheet!$A$24,Worksheet!$B$15,$P392,1)</f>
        <v>2.6377507625618156E-9</v>
      </c>
      <c r="H392">
        <f ca="1">BINOMDIST(Worksheet!$A$25,Worksheet!$B$15,$P392,1)</f>
        <v>2.5389816173712169E-8</v>
      </c>
      <c r="I392">
        <f ca="1">BINOMDIST(Worksheet!$A$26,Worksheet!$B$15,$P392,1)</f>
        <v>1.8239529966195404E-7</v>
      </c>
      <c r="J392">
        <f ca="1">BINOMDIST(Worksheet!$A$27,Worksheet!$B$15,$P392,1)</f>
        <v>1.0432184677526578E-6</v>
      </c>
      <c r="K392">
        <f ca="1">BINOMDIST(Worksheet!$A$28,Worksheet!$B$15,$P392,1)</f>
        <v>4.9491652090536497E-6</v>
      </c>
      <c r="L392">
        <f ca="1">BINOMDIST(Worksheet!$A$29,Worksheet!$B$15,$P392,1)</f>
        <v>2.003486438638684E-5</v>
      </c>
      <c r="M392">
        <f ca="1">BINOMDIST(Worksheet!$A$30,Worksheet!$B$15,$P392,1)</f>
        <v>7.0659851905089036E-5</v>
      </c>
      <c r="N392">
        <f ca="1">BINOMDIST(Worksheet!$A$31,Worksheet!$B$15,$P392,1)</f>
        <v>2.2060853669591851E-4</v>
      </c>
      <c r="O392">
        <f ca="1">BINOMDIST(Worksheet!$A$32,Worksheet!$B$15,$P392,1)</f>
        <v>6.175000614811561E-4</v>
      </c>
      <c r="P392">
        <v>0.159</v>
      </c>
    </row>
    <row r="393" spans="5:16" x14ac:dyDescent="0.2">
      <c r="E393">
        <f ca="1">BINOMDIST(Worksheet!$A$22,Worksheet!$B$15,$P393,1)</f>
        <v>7.4387786074038206E-12</v>
      </c>
      <c r="F393">
        <f ca="1">BINOMDIST(Worksheet!$A$23,Worksheet!$B$15,$P393,1)</f>
        <v>2.1542420138115749E-10</v>
      </c>
      <c r="G393">
        <f ca="1">BINOMDIST(Worksheet!$A$24,Worksheet!$B$15,$P393,1)</f>
        <v>3.1035068178547076E-9</v>
      </c>
      <c r="H393">
        <f ca="1">BINOMDIST(Worksheet!$A$25,Worksheet!$B$15,$P393,1)</f>
        <v>2.9658774771225525E-8</v>
      </c>
      <c r="I393">
        <f ca="1">BINOMDIST(Worksheet!$A$26,Worksheet!$B$15,$P393,1)</f>
        <v>2.1154028342572609E-7</v>
      </c>
      <c r="J393">
        <f ca="1">BINOMDIST(Worksheet!$A$27,Worksheet!$B$15,$P393,1)</f>
        <v>1.2013040276714764E-6</v>
      </c>
      <c r="K393">
        <f ca="1">BINOMDIST(Worksheet!$A$28,Worksheet!$B$15,$P393,1)</f>
        <v>5.6587673509254973E-6</v>
      </c>
      <c r="L393">
        <f ca="1">BINOMDIST(Worksheet!$A$29,Worksheet!$B$15,$P393,1)</f>
        <v>2.274596218051514E-5</v>
      </c>
      <c r="M393">
        <f ca="1">BINOMDIST(Worksheet!$A$30,Worksheet!$B$15,$P393,1)</f>
        <v>7.9659308854605632E-5</v>
      </c>
      <c r="N393">
        <f ca="1">BINOMDIST(Worksheet!$A$31,Worksheet!$B$15,$P393,1)</f>
        <v>2.4697463442934653E-4</v>
      </c>
      <c r="O393">
        <f ca="1">BINOMDIST(Worksheet!$A$32,Worksheet!$B$15,$P393,1)</f>
        <v>6.8652510969220541E-4</v>
      </c>
      <c r="P393">
        <v>0.158</v>
      </c>
    </row>
    <row r="394" spans="5:16" x14ac:dyDescent="0.2">
      <c r="E394">
        <f ca="1">BINOMDIST(Worksheet!$A$22,Worksheet!$B$15,$P394,1)</f>
        <v>8.87786668411221E-12</v>
      </c>
      <c r="F394">
        <f ca="1">BINOMDIST(Worksheet!$A$23,Worksheet!$B$15,$P394,1)</f>
        <v>2.5523603434892496E-10</v>
      </c>
      <c r="G394">
        <f ca="1">BINOMDIST(Worksheet!$A$24,Worksheet!$B$15,$P394,1)</f>
        <v>3.6504782549062165E-9</v>
      </c>
      <c r="H394">
        <f ca="1">BINOMDIST(Worksheet!$A$25,Worksheet!$B$15,$P394,1)</f>
        <v>3.4634580749268223E-8</v>
      </c>
      <c r="I394">
        <f ca="1">BINOMDIST(Worksheet!$A$26,Worksheet!$B$15,$P394,1)</f>
        <v>2.4525664402796539E-7</v>
      </c>
      <c r="J394">
        <f ca="1">BINOMDIST(Worksheet!$A$27,Worksheet!$B$15,$P394,1)</f>
        <v>1.3828156643220447E-6</v>
      </c>
      <c r="K394">
        <f ca="1">BINOMDIST(Worksheet!$A$28,Worksheet!$B$15,$P394,1)</f>
        <v>6.4674211073446955E-6</v>
      </c>
      <c r="L394">
        <f ca="1">BINOMDIST(Worksheet!$A$29,Worksheet!$B$15,$P394,1)</f>
        <v>2.5812358711361253E-5</v>
      </c>
      <c r="M394">
        <f ca="1">BINOMDIST(Worksheet!$A$30,Worksheet!$B$15,$P394,1)</f>
        <v>8.9761949302100128E-5</v>
      </c>
      <c r="N394">
        <f ca="1">BINOMDIST(Worksheet!$A$31,Worksheet!$B$15,$P394,1)</f>
        <v>2.7635112643498378E-4</v>
      </c>
      <c r="O394">
        <f ca="1">BINOMDIST(Worksheet!$A$32,Worksheet!$B$15,$P394,1)</f>
        <v>7.6285529172333407E-4</v>
      </c>
      <c r="P394">
        <v>0.157</v>
      </c>
    </row>
    <row r="395" spans="5:16" x14ac:dyDescent="0.2">
      <c r="E395">
        <f ca="1">BINOMDIST(Worksheet!$A$22,Worksheet!$B$15,$P395,1)</f>
        <v>1.0593135980813171E-11</v>
      </c>
      <c r="F395">
        <f ca="1">BINOMDIST(Worksheet!$A$23,Worksheet!$B$15,$P395,1)</f>
        <v>3.0233111315856359E-10</v>
      </c>
      <c r="G395">
        <f ca="1">BINOMDIST(Worksheet!$A$24,Worksheet!$B$15,$P395,1)</f>
        <v>4.2926429716182316E-9</v>
      </c>
      <c r="H395">
        <f ca="1">BINOMDIST(Worksheet!$A$25,Worksheet!$B$15,$P395,1)</f>
        <v>4.043238686506095E-8</v>
      </c>
      <c r="I395">
        <f ca="1">BINOMDIST(Worksheet!$A$26,Worksheet!$B$15,$P395,1)</f>
        <v>2.8424719934049144E-7</v>
      </c>
      <c r="J395">
        <f ca="1">BINOMDIST(Worksheet!$A$27,Worksheet!$B$15,$P395,1)</f>
        <v>1.5911408150263279E-6</v>
      </c>
      <c r="K395">
        <f ca="1">BINOMDIST(Worksheet!$A$28,Worksheet!$B$15,$P395,1)</f>
        <v>7.3885456694431075E-6</v>
      </c>
      <c r="L395">
        <f ca="1">BINOMDIST(Worksheet!$A$29,Worksheet!$B$15,$P395,1)</f>
        <v>2.927894978121189E-5</v>
      </c>
      <c r="M395">
        <f ca="1">BINOMDIST(Worksheet!$A$30,Worksheet!$B$15,$P395,1)</f>
        <v>1.0109711208629204E-4</v>
      </c>
      <c r="N395">
        <f ca="1">BINOMDIST(Worksheet!$A$31,Worksheet!$B$15,$P395,1)</f>
        <v>3.0906344937730652E-4</v>
      </c>
      <c r="O395">
        <f ca="1">BINOMDIST(Worksheet!$A$32,Worksheet!$B$15,$P395,1)</f>
        <v>8.4721330795974037E-4</v>
      </c>
      <c r="P395">
        <v>0.156</v>
      </c>
    </row>
    <row r="396" spans="5:16" x14ac:dyDescent="0.2">
      <c r="E396">
        <f ca="1">BINOMDIST(Worksheet!$A$22,Worksheet!$B$15,$P396,1)</f>
        <v>1.2637164345664198E-11</v>
      </c>
      <c r="F396">
        <f ca="1">BINOMDIST(Worksheet!$A$23,Worksheet!$B$15,$P396,1)</f>
        <v>3.5802806442035687E-10</v>
      </c>
      <c r="G396">
        <f ca="1">BINOMDIST(Worksheet!$A$24,Worksheet!$B$15,$P396,1)</f>
        <v>5.0463518796354071E-9</v>
      </c>
      <c r="H396">
        <f ca="1">BINOMDIST(Worksheet!$A$25,Worksheet!$B$15,$P396,1)</f>
        <v>4.7185783094497395E-8</v>
      </c>
      <c r="I396">
        <f ca="1">BINOMDIST(Worksheet!$A$26,Worksheet!$B$15,$P396,1)</f>
        <v>3.2932049563660491E-7</v>
      </c>
      <c r="J396">
        <f ca="1">BINOMDIST(Worksheet!$A$27,Worksheet!$B$15,$P396,1)</f>
        <v>1.8301436114671101E-6</v>
      </c>
      <c r="K396">
        <f ca="1">BINOMDIST(Worksheet!$A$28,Worksheet!$B$15,$P396,1)</f>
        <v>8.4373175651824794E-6</v>
      </c>
      <c r="L396">
        <f ca="1">BINOMDIST(Worksheet!$A$29,Worksheet!$B$15,$P396,1)</f>
        <v>3.3196068314819098E-5</v>
      </c>
      <c r="M396">
        <f ca="1">BINOMDIST(Worksheet!$A$30,Worksheet!$B$15,$P396,1)</f>
        <v>1.13808509734864E-4</v>
      </c>
      <c r="N396">
        <f ca="1">BINOMDIST(Worksheet!$A$31,Worksheet!$B$15,$P396,1)</f>
        <v>3.4546990450607697E-4</v>
      </c>
      <c r="O396">
        <f ca="1">BINOMDIST(Worksheet!$A$32,Worksheet!$B$15,$P396,1)</f>
        <v>9.4038733249842386E-4</v>
      </c>
      <c r="P396">
        <v>0.155</v>
      </c>
    </row>
    <row r="397" spans="5:16" x14ac:dyDescent="0.2">
      <c r="E397">
        <f ca="1">BINOMDIST(Worksheet!$A$22,Worksheet!$B$15,$P397,1)</f>
        <v>1.5072458362818487E-11</v>
      </c>
      <c r="F397">
        <f ca="1">BINOMDIST(Worksheet!$A$23,Worksheet!$B$15,$P397,1)</f>
        <v>4.2388171320115511E-10</v>
      </c>
      <c r="G397">
        <f ca="1">BINOMDIST(Worksheet!$A$24,Worksheet!$B$15,$P397,1)</f>
        <v>5.9307260017799907E-9</v>
      </c>
      <c r="H397">
        <f ca="1">BINOMDIST(Worksheet!$A$25,Worksheet!$B$15,$P397,1)</f>
        <v>5.5049694088796338E-8</v>
      </c>
      <c r="I397">
        <f ca="1">BINOMDIST(Worksheet!$A$26,Worksheet!$B$15,$P397,1)</f>
        <v>3.8140633666222219E-7</v>
      </c>
      <c r="J397">
        <f ca="1">BINOMDIST(Worksheet!$A$27,Worksheet!$B$15,$P397,1)</f>
        <v>2.1042299368193425E-6</v>
      </c>
      <c r="K397">
        <f ca="1">BINOMDIST(Worksheet!$A$28,Worksheet!$B$15,$P397,1)</f>
        <v>9.6308919063000712E-6</v>
      </c>
      <c r="L397">
        <f ca="1">BINOMDIST(Worksheet!$A$29,Worksheet!$B$15,$P397,1)</f>
        <v>3.7620110057584318E-5</v>
      </c>
      <c r="M397">
        <f ca="1">BINOMDIST(Worksheet!$A$30,Worksheet!$B$15,$P397,1)</f>
        <v>1.2805572213386699E-4</v>
      </c>
      <c r="N397">
        <f ca="1">BINOMDIST(Worksheet!$A$31,Worksheet!$B$15,$P397,1)</f>
        <v>3.8596468990697034E-4</v>
      </c>
      <c r="O397">
        <f ca="1">BINOMDIST(Worksheet!$A$32,Worksheet!$B$15,$P397,1)</f>
        <v>1.0432362437117096E-3</v>
      </c>
      <c r="P397">
        <v>0.154</v>
      </c>
    </row>
    <row r="398" spans="5:16" x14ac:dyDescent="0.2">
      <c r="E398">
        <f ca="1">BINOMDIST(Worksheet!$A$22,Worksheet!$B$15,$P398,1)</f>
        <v>1.7973313073988378E-11</v>
      </c>
      <c r="F398">
        <f ca="1">BINOMDIST(Worksheet!$A$23,Worksheet!$B$15,$P398,1)</f>
        <v>5.0172492836054347E-10</v>
      </c>
      <c r="G398">
        <f ca="1">BINOMDIST(Worksheet!$A$24,Worksheet!$B$15,$P398,1)</f>
        <v>6.9681190113291226E-9</v>
      </c>
      <c r="H398">
        <f ca="1">BINOMDIST(Worksheet!$A$25,Worksheet!$B$15,$P398,1)</f>
        <v>6.4203722836612862E-8</v>
      </c>
      <c r="I398">
        <f ca="1">BINOMDIST(Worksheet!$A$26,Worksheet!$B$15,$P398,1)</f>
        <v>4.4157353341783771E-7</v>
      </c>
      <c r="J398">
        <f ca="1">BINOMDIST(Worksheet!$A$27,Worksheet!$B$15,$P398,1)</f>
        <v>2.4184210535464057E-6</v>
      </c>
      <c r="K398">
        <f ca="1">BINOMDIST(Worksheet!$A$28,Worksheet!$B$15,$P398,1)</f>
        <v>1.0988650208106117E-5</v>
      </c>
      <c r="L398">
        <f ca="1">BINOMDIST(Worksheet!$A$29,Worksheet!$B$15,$P398,1)</f>
        <v>4.2614226809997245E-5</v>
      </c>
      <c r="M398">
        <f ca="1">BINOMDIST(Worksheet!$A$30,Worksheet!$B$15,$P398,1)</f>
        <v>1.4401583207160985E-4</v>
      </c>
      <c r="N398">
        <f ca="1">BINOMDIST(Worksheet!$A$31,Worksheet!$B$15,$P398,1)</f>
        <v>4.3098117777655155E-4</v>
      </c>
      <c r="O398">
        <f ca="1">BINOMDIST(Worksheet!$A$32,Worksheet!$B$15,$P398,1)</f>
        <v>1.1566951925344989E-3</v>
      </c>
      <c r="P398">
        <v>0.153</v>
      </c>
    </row>
    <row r="399" spans="5:16" x14ac:dyDescent="0.2">
      <c r="E399">
        <f ca="1">BINOMDIST(Worksheet!$A$22,Worksheet!$B$15,$P399,1)</f>
        <v>2.1428017197369204E-11</v>
      </c>
      <c r="F399">
        <f ca="1">BINOMDIST(Worksheet!$A$23,Worksheet!$B$15,$P399,1)</f>
        <v>5.937177972516336E-10</v>
      </c>
      <c r="G399">
        <f ca="1">BINOMDIST(Worksheet!$A$24,Worksheet!$B$15,$P399,1)</f>
        <v>8.1846558232544322E-9</v>
      </c>
      <c r="H399">
        <f ca="1">BINOMDIST(Worksheet!$A$25,Worksheet!$B$15,$P399,1)</f>
        <v>7.4856007730882844E-8</v>
      </c>
      <c r="I399">
        <f ca="1">BINOMDIST(Worksheet!$A$26,Worksheet!$B$15,$P399,1)</f>
        <v>5.1105018271145197E-7</v>
      </c>
      <c r="J399">
        <f ca="1">BINOMDIST(Worksheet!$A$27,Worksheet!$B$15,$P399,1)</f>
        <v>2.7784368847330913E-6</v>
      </c>
      <c r="K399">
        <f ca="1">BINOMDIST(Worksheet!$A$28,Worksheet!$B$15,$P399,1)</f>
        <v>1.2532477791543161E-5</v>
      </c>
      <c r="L399">
        <f ca="1">BINOMDIST(Worksheet!$A$29,Worksheet!$B$15,$P399,1)</f>
        <v>4.8249093888312548E-5</v>
      </c>
      <c r="M399">
        <f ca="1">BINOMDIST(Worksheet!$A$30,Worksheet!$B$15,$P399,1)</f>
        <v>1.6188521444147758E-4</v>
      </c>
      <c r="N399">
        <f ca="1">BINOMDIST(Worksheet!$A$31,Worksheet!$B$15,$P399,1)</f>
        <v>4.8099545234706395E-4</v>
      </c>
      <c r="O399">
        <f ca="1">BINOMDIST(Worksheet!$A$32,Worksheet!$B$15,$P399,1)</f>
        <v>1.2817815210535344E-3</v>
      </c>
      <c r="P399">
        <v>0.152</v>
      </c>
    </row>
    <row r="400" spans="5:16" x14ac:dyDescent="0.2">
      <c r="E400">
        <f ca="1">BINOMDIST(Worksheet!$A$22,Worksheet!$B$15,$P400,1)</f>
        <v>2.5541467503554383E-11</v>
      </c>
      <c r="F400">
        <f ca="1">BINOMDIST(Worksheet!$A$23,Worksheet!$B$15,$P400,1)</f>
        <v>7.0240539843697E-10</v>
      </c>
      <c r="G400">
        <f ca="1">BINOMDIST(Worksheet!$A$24,Worksheet!$B$15,$P400,1)</f>
        <v>9.6108595377184672E-9</v>
      </c>
      <c r="H400">
        <f ca="1">BINOMDIST(Worksheet!$A$25,Worksheet!$B$15,$P400,1)</f>
        <v>8.7247670110797173E-8</v>
      </c>
      <c r="I400">
        <f ca="1">BINOMDIST(Worksheet!$A$26,Worksheet!$B$15,$P400,1)</f>
        <v>5.9124682378985872E-7</v>
      </c>
      <c r="J400">
        <f ca="1">BINOMDIST(Worksheet!$A$27,Worksheet!$B$15,$P400,1)</f>
        <v>3.1907901617882241E-6</v>
      </c>
      <c r="K400">
        <f ca="1">BINOMDIST(Worksheet!$A$28,Worksheet!$B$15,$P400,1)</f>
        <v>1.4287074092184076E-5</v>
      </c>
      <c r="L400">
        <f ca="1">BINOMDIST(Worksheet!$A$29,Worksheet!$B$15,$P400,1)</f>
        <v>5.4603759084450203E-5</v>
      </c>
      <c r="M400">
        <f ca="1">BINOMDIST(Worksheet!$A$30,Worksheet!$B$15,$P400,1)</f>
        <v>1.8188149165279113E-4</v>
      </c>
      <c r="N400">
        <f ca="1">BINOMDIST(Worksheet!$A$31,Worksheet!$B$15,$P400,1)</f>
        <v>5.3653012456897256E-4</v>
      </c>
      <c r="O400">
        <f ca="1">BINOMDIST(Worksheet!$A$32,Worksheet!$B$15,$P400,1)</f>
        <v>1.4196010432789936E-3</v>
      </c>
      <c r="P400">
        <v>0.151</v>
      </c>
    </row>
    <row r="401" spans="5:16" x14ac:dyDescent="0.2">
      <c r="E401">
        <f ca="1">BINOMDIST(Worksheet!$A$22,Worksheet!$B$15,$P401,1)</f>
        <v>3.0438267640912103E-11</v>
      </c>
      <c r="F401">
        <f ca="1">BINOMDIST(Worksheet!$A$23,Worksheet!$B$15,$P401,1)</f>
        <v>8.3078565796371841E-10</v>
      </c>
      <c r="G401">
        <f ca="1">BINOMDIST(Worksheet!$A$24,Worksheet!$B$15,$P401,1)</f>
        <v>1.1282380990414488E-8</v>
      </c>
      <c r="H401">
        <f ca="1">BINOMDIST(Worksheet!$A$25,Worksheet!$B$15,$P401,1)</f>
        <v>1.0165794062984178E-7</v>
      </c>
      <c r="I401">
        <f ca="1">BINOMDIST(Worksheet!$A$26,Worksheet!$B$15,$P401,1)</f>
        <v>6.8378286889556457E-7</v>
      </c>
      <c r="J401">
        <f ca="1">BINOMDIST(Worksheet!$A$27,Worksheet!$B$15,$P401,1)</f>
        <v>3.6628927959025004E-6</v>
      </c>
      <c r="K401">
        <f ca="1">BINOMDIST(Worksheet!$A$28,Worksheet!$B$15,$P401,1)</f>
        <v>1.6280299545578934E-5</v>
      </c>
      <c r="L401">
        <f ca="1">BINOMDIST(Worksheet!$A$29,Worksheet!$B$15,$P401,1)</f>
        <v>6.1766581021303272E-5</v>
      </c>
      <c r="M401">
        <f ca="1">BINOMDIST(Worksheet!$A$30,Worksheet!$B$15,$P401,1)</f>
        <v>2.0424566858496913E-4</v>
      </c>
      <c r="N401">
        <f ca="1">BINOMDIST(Worksheet!$A$31,Worksheet!$B$15,$P401,1)</f>
        <v>5.9815844008451603E-4</v>
      </c>
      <c r="O401">
        <f ca="1">BINOMDIST(Worksheet!$A$32,Worksheet!$B$15,$P401,1)</f>
        <v>1.571354699083395E-3</v>
      </c>
      <c r="P401">
        <v>0.15</v>
      </c>
    </row>
    <row r="402" spans="5:16" x14ac:dyDescent="0.2">
      <c r="E402">
        <f ca="1">BINOMDIST(Worksheet!$A$22,Worksheet!$B$15,$P402,1)</f>
        <v>3.6266400443804665E-11</v>
      </c>
      <c r="F402">
        <f ca="1">BINOMDIST(Worksheet!$A$23,Worksheet!$B$15,$P402,1)</f>
        <v>9.8238902823805543E-10</v>
      </c>
      <c r="G402">
        <f ca="1">BINOMDIST(Worksheet!$A$24,Worksheet!$B$15,$P402,1)</f>
        <v>1.3240847423137506E-8</v>
      </c>
      <c r="H402">
        <f ca="1">BINOMDIST(Worksheet!$A$25,Worksheet!$B$15,$P402,1)</f>
        <v>1.1841006568537106E-7</v>
      </c>
      <c r="I402">
        <f ca="1">BINOMDIST(Worksheet!$A$26,Worksheet!$B$15,$P402,1)</f>
        <v>7.9051675607216159E-7</v>
      </c>
      <c r="J402">
        <f ca="1">BINOMDIST(Worksheet!$A$27,Worksheet!$B$15,$P402,1)</f>
        <v>4.2031759912793469E-6</v>
      </c>
      <c r="K402">
        <f ca="1">BINOMDIST(Worksheet!$A$28,Worksheet!$B$15,$P402,1)</f>
        <v>1.8543563094805621E-5</v>
      </c>
      <c r="L402">
        <f ca="1">BINOMDIST(Worksheet!$A$29,Worksheet!$B$15,$P402,1)</f>
        <v>6.9836265464259367E-5</v>
      </c>
      <c r="M402">
        <f ca="1">BINOMDIST(Worksheet!$A$30,Worksheet!$B$15,$P402,1)</f>
        <v>2.2924446122408581E-4</v>
      </c>
      <c r="N402">
        <f ca="1">BINOMDIST(Worksheet!$A$31,Worksheet!$B$15,$P402,1)</f>
        <v>6.6650869738000738E-4</v>
      </c>
      <c r="O402">
        <f ca="1">BINOMDIST(Worksheet!$A$32,Worksheet!$B$15,$P402,1)</f>
        <v>1.7383455911770098E-3</v>
      </c>
      <c r="P402">
        <v>0.14899999999999999</v>
      </c>
    </row>
    <row r="403" spans="5:16" x14ac:dyDescent="0.2">
      <c r="E403">
        <f ca="1">BINOMDIST(Worksheet!$A$22,Worksheet!$B$15,$P403,1)</f>
        <v>4.3201578984886057E-11</v>
      </c>
      <c r="F403">
        <f ca="1">BINOMDIST(Worksheet!$A$23,Worksheet!$B$15,$P403,1)</f>
        <v>1.1613720247298454E-9</v>
      </c>
      <c r="G403">
        <f ca="1">BINOMDIST(Worksheet!$A$24,Worksheet!$B$15,$P403,1)</f>
        <v>1.5534849397733116E-8</v>
      </c>
      <c r="H403">
        <f ca="1">BINOMDIST(Worksheet!$A$25,Worksheet!$B$15,$P403,1)</f>
        <v>1.3787810985432893E-7</v>
      </c>
      <c r="I403">
        <f ca="1">BINOMDIST(Worksheet!$A$26,Worksheet!$B$15,$P403,1)</f>
        <v>9.1358033166950801E-7</v>
      </c>
      <c r="J403">
        <f ca="1">BINOMDIST(Worksheet!$A$27,Worksheet!$B$15,$P403,1)</f>
        <v>4.8212257964943247E-6</v>
      </c>
      <c r="K403">
        <f ca="1">BINOMDIST(Worksheet!$A$28,Worksheet!$B$15,$P403,1)</f>
        <v>2.1112254776609038E-5</v>
      </c>
      <c r="L403">
        <f ca="1">BINOMDIST(Worksheet!$A$29,Worksheet!$B$15,$P403,1)</f>
        <v>7.8923008856949031E-5</v>
      </c>
      <c r="M403">
        <f ca="1">BINOMDIST(Worksheet!$A$30,Worksheet!$B$15,$P403,1)</f>
        <v>2.5717283393799706E-4</v>
      </c>
      <c r="N403">
        <f ca="1">BINOMDIST(Worksheet!$A$31,Worksheet!$B$15,$P403,1)</f>
        <v>7.422689932743725E-4</v>
      </c>
      <c r="O403">
        <f ca="1">BINOMDIST(Worksheet!$A$32,Worksheet!$B$15,$P403,1)</f>
        <v>1.9219864136323136E-3</v>
      </c>
      <c r="P403">
        <v>0.14799999999999999</v>
      </c>
    </row>
    <row r="404" spans="5:16" x14ac:dyDescent="0.2">
      <c r="E404">
        <f ca="1">BINOMDIST(Worksheet!$A$22,Worksheet!$B$15,$P404,1)</f>
        <v>5.1452400793801694E-11</v>
      </c>
      <c r="F404">
        <f ca="1">BINOMDIST(Worksheet!$A$23,Worksheet!$B$15,$P404,1)</f>
        <v>1.3726270017160047E-9</v>
      </c>
      <c r="G404">
        <f ca="1">BINOMDIST(Worksheet!$A$24,Worksheet!$B$15,$P404,1)</f>
        <v>1.8221088090616077E-8</v>
      </c>
      <c r="H404">
        <f ca="1">BINOMDIST(Worksheet!$A$25,Worksheet!$B$15,$P404,1)</f>
        <v>1.6049478706288696E-7</v>
      </c>
      <c r="I404">
        <f ca="1">BINOMDIST(Worksheet!$A$26,Worksheet!$B$15,$P404,1)</f>
        <v>1.0554180365772107E-6</v>
      </c>
      <c r="J404">
        <f ca="1">BINOMDIST(Worksheet!$A$27,Worksheet!$B$15,$P404,1)</f>
        <v>5.5279359881359138E-6</v>
      </c>
      <c r="K404">
        <f ca="1">BINOMDIST(Worksheet!$A$28,Worksheet!$B$15,$P404,1)</f>
        <v>2.4026228289541615E-5</v>
      </c>
      <c r="L404">
        <f ca="1">BINOMDIST(Worksheet!$A$29,Worksheet!$B$15,$P404,1)</f>
        <v>8.9149759099765871E-5</v>
      </c>
      <c r="M404">
        <f ca="1">BINOMDIST(Worksheet!$A$30,Worksheet!$B$15,$P404,1)</f>
        <v>2.8835676117078366E-4</v>
      </c>
      <c r="N404">
        <f ca="1">BINOMDIST(Worksheet!$A$31,Worksheet!$B$15,$P404,1)</f>
        <v>8.2619231306943844E-4</v>
      </c>
      <c r="O404">
        <f ca="1">BINOMDIST(Worksheet!$A$32,Worksheet!$B$15,$P404,1)</f>
        <v>2.1238072788460293E-3</v>
      </c>
      <c r="P404">
        <v>0.14699999999999999</v>
      </c>
    </row>
    <row r="405" spans="5:16" x14ac:dyDescent="0.2">
      <c r="E405">
        <f ca="1">BINOMDIST(Worksheet!$A$22,Worksheet!$B$15,$P405,1)</f>
        <v>6.1266452284778089E-11</v>
      </c>
      <c r="F405">
        <f ca="1">BINOMDIST(Worksheet!$A$23,Worksheet!$B$15,$P405,1)</f>
        <v>1.6219109522883637E-9</v>
      </c>
      <c r="G405">
        <f ca="1">BINOMDIST(Worksheet!$A$24,Worksheet!$B$15,$P405,1)</f>
        <v>2.1365708584652237E-8</v>
      </c>
      <c r="H405">
        <f ca="1">BINOMDIST(Worksheet!$A$25,Worksheet!$B$15,$P405,1)</f>
        <v>1.8676047235740548E-7</v>
      </c>
      <c r="I405">
        <f ca="1">BINOMDIST(Worksheet!$A$26,Worksheet!$B$15,$P405,1)</f>
        <v>1.2188315451267283E-6</v>
      </c>
      <c r="J405">
        <f ca="1">BINOMDIST(Worksheet!$A$27,Worksheet!$B$15,$P405,1)</f>
        <v>6.3356804000509645E-6</v>
      </c>
      <c r="K405">
        <f ca="1">BINOMDIST(Worksheet!$A$28,Worksheet!$B$15,$P405,1)</f>
        <v>2.733033893360427E-5</v>
      </c>
      <c r="L405">
        <f ca="1">BINOMDIST(Worksheet!$A$29,Worksheet!$B$15,$P405,1)</f>
        <v>1.0065360438417747E-4</v>
      </c>
      <c r="M405">
        <f ca="1">BINOMDIST(Worksheet!$A$30,Worksheet!$B$15,$P405,1)</f>
        <v>3.2315623016305393E-4</v>
      </c>
      <c r="N405">
        <f ca="1">BINOMDIST(Worksheet!$A$31,Worksheet!$B$15,$P405,1)</f>
        <v>9.191019827370781E-4</v>
      </c>
      <c r="O405">
        <f ca="1">BINOMDIST(Worksheet!$A$32,Worksheet!$B$15,$P405,1)</f>
        <v>2.3454639479142487E-3</v>
      </c>
      <c r="P405">
        <v>0.14599999999999999</v>
      </c>
    </row>
    <row r="406" spans="5:16" x14ac:dyDescent="0.2">
      <c r="E406">
        <f ca="1">BINOMDIST(Worksheet!$A$22,Worksheet!$B$15,$P406,1)</f>
        <v>7.2937537133995313E-11</v>
      </c>
      <c r="F406">
        <f ca="1">BINOMDIST(Worksheet!$A$23,Worksheet!$B$15,$P406,1)</f>
        <v>1.9159965895082266E-9</v>
      </c>
      <c r="G406">
        <f ca="1">BINOMDIST(Worksheet!$A$24,Worksheet!$B$15,$P406,1)</f>
        <v>2.5045848790649179E-8</v>
      </c>
      <c r="H406">
        <f ca="1">BINOMDIST(Worksheet!$A$25,Worksheet!$B$15,$P406,1)</f>
        <v>2.1725356795919487E-7</v>
      </c>
      <c r="I406">
        <f ca="1">BINOMDIST(Worksheet!$A$26,Worksheet!$B$15,$P406,1)</f>
        <v>1.4070305898299825E-6</v>
      </c>
      <c r="J406">
        <f ca="1">BINOMDIST(Worksheet!$A$27,Worksheet!$B$15,$P406,1)</f>
        <v>7.2585070541184834E-6</v>
      </c>
      <c r="K406">
        <f ca="1">BINOMDIST(Worksheet!$A$28,Worksheet!$B$15,$P406,1)</f>
        <v>3.1075042838590974E-5</v>
      </c>
      <c r="L406">
        <f ca="1">BINOMDIST(Worksheet!$A$29,Worksheet!$B$15,$P406,1)</f>
        <v>1.1358730173433654E-4</v>
      </c>
      <c r="M406">
        <f ca="1">BINOMDIST(Worksheet!$A$30,Worksheet!$B$15,$P406,1)</f>
        <v>3.6196850212372276E-4</v>
      </c>
      <c r="N406">
        <f ca="1">BINOMDIST(Worksheet!$A$31,Worksheet!$B$15,$P406,1)</f>
        <v>1.021897500429245E-3</v>
      </c>
      <c r="O406">
        <f ca="1">BINOMDIST(Worksheet!$A$32,Worksheet!$B$15,$P406,1)</f>
        <v>2.588746467166335E-3</v>
      </c>
      <c r="P406">
        <v>0.14499999999999999</v>
      </c>
    </row>
    <row r="407" spans="5:16" x14ac:dyDescent="0.2">
      <c r="E407">
        <f ca="1">BINOMDIST(Worksheet!$A$22,Worksheet!$B$15,$P407,1)</f>
        <v>8.681423385350516E-11</v>
      </c>
      <c r="F407">
        <f ca="1">BINOMDIST(Worksheet!$A$23,Worksheet!$B$15,$P407,1)</f>
        <v>2.2628495160507025E-9</v>
      </c>
      <c r="G407">
        <f ca="1">BINOMDIST(Worksheet!$A$24,Worksheet!$B$15,$P407,1)</f>
        <v>2.9351438262655103E-8</v>
      </c>
      <c r="H407">
        <f ca="1">BINOMDIST(Worksheet!$A$25,Worksheet!$B$15,$P407,1)</f>
        <v>2.5264242213653458E-7</v>
      </c>
      <c r="I407">
        <f ca="1">BINOMDIST(Worksheet!$A$26,Worksheet!$B$15,$P407,1)</f>
        <v>1.6236907997546553E-6</v>
      </c>
      <c r="J407">
        <f ca="1">BINOMDIST(Worksheet!$A$27,Worksheet!$B$15,$P407,1)</f>
        <v>8.3123567167327525E-6</v>
      </c>
      <c r="K407">
        <f ca="1">BINOMDIST(Worksheet!$A$28,Worksheet!$B$15,$P407,1)</f>
        <v>3.5317063970326589E-5</v>
      </c>
      <c r="L407">
        <f ca="1">BINOMDIST(Worksheet!$A$29,Worksheet!$B$15,$P407,1)</f>
        <v>1.2812095778975345E-4</v>
      </c>
      <c r="M407">
        <f ca="1">BINOMDIST(Worksheet!$A$30,Worksheet!$B$15,$P407,1)</f>
        <v>4.0523165008234113E-4</v>
      </c>
      <c r="N407">
        <f ca="1">BINOMDIST(Worksheet!$A$31,Worksheet!$B$15,$P407,1)</f>
        <v>1.1355607643487831E-3</v>
      </c>
      <c r="O407">
        <f ca="1">BINOMDIST(Worksheet!$A$32,Worksheet!$B$15,$P407,1)</f>
        <v>2.8555882110323704E-3</v>
      </c>
      <c r="P407">
        <v>0.14399999999999999</v>
      </c>
    </row>
    <row r="408" spans="5:16" x14ac:dyDescent="0.2">
      <c r="E408">
        <f ca="1">BINOMDIST(Worksheet!$A$22,Worksheet!$B$15,$P408,1)</f>
        <v>1.0331002498015067E-10</v>
      </c>
      <c r="F408">
        <f ca="1">BINOMDIST(Worksheet!$A$23,Worksheet!$B$15,$P408,1)</f>
        <v>2.6718359319253911E-9</v>
      </c>
      <c r="G408">
        <f ca="1">BINOMDIST(Worksheet!$A$24,Worksheet!$B$15,$P408,1)</f>
        <v>3.4387286512198958E-8</v>
      </c>
      <c r="H408">
        <f ca="1">BINOMDIST(Worksheet!$A$25,Worksheet!$B$15,$P408,1)</f>
        <v>2.936990277210404E-7</v>
      </c>
      <c r="I408">
        <f ca="1">BINOMDIST(Worksheet!$A$26,Worksheet!$B$15,$P408,1)</f>
        <v>1.8730194865769896E-6</v>
      </c>
      <c r="J408">
        <f ca="1">BINOMDIST(Worksheet!$A$27,Worksheet!$B$15,$P408,1)</f>
        <v>9.5153088014843676E-6</v>
      </c>
      <c r="K408">
        <f ca="1">BINOMDIST(Worksheet!$A$28,Worksheet!$B$15,$P408,1)</f>
        <v>4.0120136022910419E-5</v>
      </c>
      <c r="L408">
        <f ca="1">BINOMDIST(Worksheet!$A$29,Worksheet!$B$15,$P408,1)</f>
        <v>1.4444387528794492E-4</v>
      </c>
      <c r="M408">
        <f ca="1">BINOMDIST(Worksheet!$A$30,Worksheet!$B$15,$P408,1)</f>
        <v>4.5342839242852123E-4</v>
      </c>
      <c r="N408">
        <f ca="1">BINOMDIST(Worksheet!$A$31,Worksheet!$B$15,$P408,1)</f>
        <v>1.261162713588304E-3</v>
      </c>
      <c r="O408">
        <f ca="1">BINOMDIST(Worksheet!$A$32,Worksheet!$B$15,$P408,1)</f>
        <v>3.1480753284796595E-3</v>
      </c>
      <c r="P408">
        <v>0.14299999999999999</v>
      </c>
    </row>
    <row r="409" spans="5:16" x14ac:dyDescent="0.2">
      <c r="E409">
        <f ca="1">BINOMDIST(Worksheet!$A$22,Worksheet!$B$15,$P409,1)</f>
        <v>1.2291528414595177E-10</v>
      </c>
      <c r="F409">
        <f ca="1">BINOMDIST(Worksheet!$A$23,Worksheet!$B$15,$P409,1)</f>
        <v>3.1539660789711841E-9</v>
      </c>
      <c r="G409">
        <f ca="1">BINOMDIST(Worksheet!$A$24,Worksheet!$B$15,$P409,1)</f>
        <v>4.0275506582495073E-8</v>
      </c>
      <c r="H409">
        <f ca="1">BINOMDIST(Worksheet!$A$25,Worksheet!$B$15,$P409,1)</f>
        <v>3.4131475929055918E-7</v>
      </c>
      <c r="I409">
        <f ca="1">BINOMDIST(Worksheet!$A$26,Worksheet!$B$15,$P409,1)</f>
        <v>2.1598304315351991E-6</v>
      </c>
      <c r="J409">
        <f ca="1">BINOMDIST(Worksheet!$A$27,Worksheet!$B$15,$P409,1)</f>
        <v>1.0887857865455255E-5</v>
      </c>
      <c r="K409">
        <f ca="1">BINOMDIST(Worksheet!$A$28,Worksheet!$B$15,$P409,1)</f>
        <v>4.5555826973613171E-5</v>
      </c>
      <c r="L409">
        <f ca="1">BINOMDIST(Worksheet!$A$29,Worksheet!$B$15,$P409,1)</f>
        <v>1.6276657967262395E-4</v>
      </c>
      <c r="M409">
        <f ca="1">BINOMDIST(Worksheet!$A$30,Worksheet!$B$15,$P409,1)</f>
        <v>5.0709024188457658E-4</v>
      </c>
      <c r="N409">
        <f ca="1">BINOMDIST(Worksheet!$A$31,Worksheet!$B$15,$P409,1)</f>
        <v>1.3998703979073302E-3</v>
      </c>
      <c r="O409">
        <f ca="1">BINOMDIST(Worksheet!$A$32,Worksheet!$B$15,$P409,1)</f>
        <v>3.4684565869204358E-3</v>
      </c>
      <c r="P409">
        <v>0.14199999999999999</v>
      </c>
    </row>
    <row r="410" spans="5:16" x14ac:dyDescent="0.2">
      <c r="E410">
        <f ca="1">BINOMDIST(Worksheet!$A$22,Worksheet!$B$15,$P410,1)</f>
        <v>1.4621145900979656E-10</v>
      </c>
      <c r="F410">
        <f ca="1">BINOMDIST(Worksheet!$A$23,Worksheet!$B$15,$P410,1)</f>
        <v>3.7221794943262221E-9</v>
      </c>
      <c r="G410">
        <f ca="1">BINOMDIST(Worksheet!$A$24,Worksheet!$B$15,$P410,1)</f>
        <v>4.7158326735876525E-8</v>
      </c>
      <c r="H410">
        <f ca="1">BINOMDIST(Worksheet!$A$25,Worksheet!$B$15,$P410,1)</f>
        <v>3.9651844465423599E-7</v>
      </c>
      <c r="I410">
        <f ca="1">BINOMDIST(Worksheet!$A$26,Worksheet!$B$15,$P410,1)</f>
        <v>2.4896288600987466E-6</v>
      </c>
      <c r="J410">
        <f ca="1">BINOMDIST(Worksheet!$A$27,Worksheet!$B$15,$P410,1)</f>
        <v>1.2453224306842176E-5</v>
      </c>
      <c r="K410">
        <f ca="1">BINOMDIST(Worksheet!$A$28,Worksheet!$B$15,$P410,1)</f>
        <v>5.1704454797854655E-5</v>
      </c>
      <c r="L410">
        <f ca="1">BINOMDIST(Worksheet!$A$29,Worksheet!$B$15,$P410,1)</f>
        <v>1.8332304125890357E-4</v>
      </c>
      <c r="M410">
        <f ca="1">BINOMDIST(Worksheet!$A$30,Worksheet!$B$15,$P410,1)</f>
        <v>5.6680199034550409E-4</v>
      </c>
      <c r="N410">
        <f ca="1">BINOMDIST(Worksheet!$A$31,Worksheet!$B$15,$P410,1)</f>
        <v>1.5529544915472494E-3</v>
      </c>
      <c r="O410">
        <f ca="1">BINOMDIST(Worksheet!$A$32,Worksheet!$B$15,$P410,1)</f>
        <v>3.8191536037384512E-3</v>
      </c>
      <c r="P410">
        <v>0.14099999999999999</v>
      </c>
    </row>
    <row r="411" spans="5:16" x14ac:dyDescent="0.2">
      <c r="E411">
        <f ca="1">BINOMDIST(Worksheet!$A$22,Worksheet!$B$15,$P411,1)</f>
        <v>1.7388784900819433E-10</v>
      </c>
      <c r="F411">
        <f ca="1">BINOMDIST(Worksheet!$A$23,Worksheet!$B$15,$P411,1)</f>
        <v>4.3916791633232253E-9</v>
      </c>
      <c r="G411">
        <f ca="1">BINOMDIST(Worksheet!$A$24,Worksheet!$B$15,$P411,1)</f>
        <v>5.5201351275304344E-8</v>
      </c>
      <c r="H411">
        <f ca="1">BINOMDIST(Worksheet!$A$25,Worksheet!$B$15,$P411,1)</f>
        <v>4.6049710788947974E-7</v>
      </c>
      <c r="I411">
        <f ca="1">BINOMDIST(Worksheet!$A$26,Worksheet!$B$15,$P411,1)</f>
        <v>2.8687079407946407E-6</v>
      </c>
      <c r="J411">
        <f ca="1">BINOMDIST(Worksheet!$A$27,Worksheet!$B$15,$P411,1)</f>
        <v>1.423770326823059E-5</v>
      </c>
      <c r="K411">
        <f ca="1">BINOMDIST(Worksheet!$A$28,Worksheet!$B$15,$P411,1)</f>
        <v>5.8656103617282772E-5</v>
      </c>
      <c r="L411">
        <f ca="1">BINOMDIST(Worksheet!$A$29,Worksheet!$B$15,$P411,1)</f>
        <v>2.063731094292472E-4</v>
      </c>
      <c r="M411">
        <f ca="1">BINOMDIST(Worksheet!$A$30,Worksheet!$B$15,$P411,1)</f>
        <v>6.3320655064172599E-4</v>
      </c>
      <c r="N411">
        <f ca="1">BINOMDIST(Worksheet!$A$31,Worksheet!$B$15,$P411,1)</f>
        <v>1.7217972650518407E-3</v>
      </c>
      <c r="O411">
        <f ca="1">BINOMDIST(Worksheet!$A$32,Worksheet!$B$15,$P411,1)</f>
        <v>4.2027714513818764E-3</v>
      </c>
      <c r="P411">
        <v>0.14000000000000001</v>
      </c>
    </row>
    <row r="412" spans="5:16" x14ac:dyDescent="0.2">
      <c r="E412">
        <f ca="1">BINOMDIST(Worksheet!$A$22,Worksheet!$B$15,$P412,1)</f>
        <v>2.0676144877119163E-10</v>
      </c>
      <c r="F412">
        <f ca="1">BINOMDIST(Worksheet!$A$23,Worksheet!$B$15,$P412,1)</f>
        <v>5.1803228488874986E-9</v>
      </c>
      <c r="G412">
        <f ca="1">BINOMDIST(Worksheet!$A$24,Worksheet!$B$15,$P412,1)</f>
        <v>6.4597340922751044E-8</v>
      </c>
      <c r="H412">
        <f ca="1">BINOMDIST(Worksheet!$A$25,Worksheet!$B$15,$P412,1)</f>
        <v>5.3461976845014281E-7</v>
      </c>
      <c r="I412">
        <f ca="1">BINOMDIST(Worksheet!$A$26,Worksheet!$B$15,$P412,1)</f>
        <v>3.3042583120740919E-6</v>
      </c>
      <c r="J412">
        <f ca="1">BINOMDIST(Worksheet!$A$27,Worksheet!$B$15,$P412,1)</f>
        <v>1.6271056185881445E-5</v>
      </c>
      <c r="K412">
        <f ca="1">BINOMDIST(Worksheet!$A$28,Worksheet!$B$15,$P412,1)</f>
        <v>6.6511750386835582E-5</v>
      </c>
      <c r="L412">
        <f ca="1">BINOMDIST(Worksheet!$A$29,Worksheet!$B$15,$P412,1)</f>
        <v>2.3220517640846545E-4</v>
      </c>
      <c r="M412">
        <f ca="1">BINOMDIST(Worksheet!$A$30,Worksheet!$B$15,$P412,1)</f>
        <v>7.0701017681713688E-4</v>
      </c>
      <c r="N412">
        <f ca="1">BINOMDIST(Worksheet!$A$31,Worksheet!$B$15,$P412,1)</f>
        <v>1.9079010276378278E-3</v>
      </c>
      <c r="O412">
        <f ca="1">BINOMDIST(Worksheet!$A$32,Worksheet!$B$15,$P412,1)</f>
        <v>4.6221096172976142E-3</v>
      </c>
      <c r="P412">
        <v>0.13900000000000001</v>
      </c>
    </row>
    <row r="413" spans="5:16" x14ac:dyDescent="0.2">
      <c r="E413">
        <f ca="1">BINOMDIST(Worksheet!$A$22,Worksheet!$B$15,$P413,1)</f>
        <v>2.4580041278419826E-10</v>
      </c>
      <c r="F413">
        <f ca="1">BINOMDIST(Worksheet!$A$23,Worksheet!$B$15,$P413,1)</f>
        <v>6.1090812569473946E-9</v>
      </c>
      <c r="G413">
        <f ca="1">BINOMDIST(Worksheet!$A$24,Worksheet!$B$15,$P413,1)</f>
        <v>7.5570593995456375E-8</v>
      </c>
      <c r="H413">
        <f ca="1">BINOMDIST(Worksheet!$A$25,Worksheet!$B$15,$P413,1)</f>
        <v>6.2046473452654374E-7</v>
      </c>
      <c r="I413">
        <f ca="1">BINOMDIST(Worksheet!$A$26,Worksheet!$B$15,$P413,1)</f>
        <v>3.8044923283259475E-6</v>
      </c>
      <c r="J413">
        <f ca="1">BINOMDIST(Worksheet!$A$27,Worksheet!$B$15,$P413,1)</f>
        <v>1.8586949904178846E-5</v>
      </c>
      <c r="K413">
        <f ca="1">BINOMDIST(Worksheet!$A$28,Worksheet!$B$15,$P413,1)</f>
        <v>7.5384513119057018E-5</v>
      </c>
      <c r="L413">
        <f ca="1">BINOMDIST(Worksheet!$A$29,Worksheet!$B$15,$P413,1)</f>
        <v>2.611390892679476E-4</v>
      </c>
      <c r="M413">
        <f ca="1">BINOMDIST(Worksheet!$A$30,Worksheet!$B$15,$P413,1)</f>
        <v>7.889880849485815E-4</v>
      </c>
      <c r="N413">
        <f ca="1">BINOMDIST(Worksheet!$A$31,Worksheet!$B$15,$P413,1)</f>
        <v>2.1128970509132323E-3</v>
      </c>
      <c r="O413">
        <f ca="1">BINOMDIST(Worksheet!$A$32,Worksheet!$B$15,$P413,1)</f>
        <v>5.0801732948154588E-3</v>
      </c>
      <c r="P413">
        <v>0.13800000000000001</v>
      </c>
    </row>
    <row r="414" spans="5:16" x14ac:dyDescent="0.2">
      <c r="E414">
        <f ca="1">BINOMDIST(Worksheet!$A$22,Worksheet!$B$15,$P414,1)</f>
        <v>2.9215179673399685E-10</v>
      </c>
      <c r="F414">
        <f ca="1">BINOMDIST(Worksheet!$A$23,Worksheet!$B$15,$P414,1)</f>
        <v>7.2025743074304923E-9</v>
      </c>
      <c r="G414">
        <f ca="1">BINOMDIST(Worksheet!$A$24,Worksheet!$B$15,$P414,1)</f>
        <v>8.8382022063445829E-8</v>
      </c>
      <c r="H414">
        <f ca="1">BINOMDIST(Worksheet!$A$25,Worksheet!$B$15,$P414,1)</f>
        <v>7.1985088971828926E-7</v>
      </c>
      <c r="I414">
        <f ca="1">BINOMDIST(Worksheet!$A$26,Worksheet!$B$15,$P414,1)</f>
        <v>4.3787849253011979E-6</v>
      </c>
      <c r="J414">
        <f ca="1">BINOMDIST(Worksheet!$A$27,Worksheet!$B$15,$P414,1)</f>
        <v>2.1223448799427353E-5</v>
      </c>
      <c r="K414">
        <f ca="1">BINOMDIST(Worksheet!$A$28,Worksheet!$B$15,$P414,1)</f>
        <v>8.5401032597952215E-5</v>
      </c>
      <c r="L414">
        <f ca="1">BINOMDIST(Worksheet!$A$29,Worksheet!$B$15,$P414,1)</f>
        <v>2.9352932993231677E-4</v>
      </c>
      <c r="M414">
        <f ca="1">BINOMDIST(Worksheet!$A$30,Worksheet!$B$15,$P414,1)</f>
        <v>8.7999049684175294E-4</v>
      </c>
      <c r="N414">
        <f ca="1">BINOMDIST(Worksheet!$A$31,Worksheet!$B$15,$P414,1)</f>
        <v>2.338554982639296E-3</v>
      </c>
      <c r="O414">
        <f ca="1">BINOMDIST(Worksheet!$A$32,Worksheet!$B$15,$P414,1)</f>
        <v>5.5801849754083628E-3</v>
      </c>
      <c r="P414">
        <v>0.13700000000000001</v>
      </c>
    </row>
    <row r="415" spans="5:16" x14ac:dyDescent="0.2">
      <c r="E415">
        <f ca="1">BINOMDIST(Worksheet!$A$22,Worksheet!$B$15,$P415,1)</f>
        <v>3.4717434863399052E-10</v>
      </c>
      <c r="F415">
        <f ca="1">BINOMDIST(Worksheet!$A$23,Worksheet!$B$15,$P415,1)</f>
        <v>8.4896986550219501E-9</v>
      </c>
      <c r="G415">
        <f ca="1">BINOMDIST(Worksheet!$A$24,Worksheet!$B$15,$P415,1)</f>
        <v>1.033350280757259E-7</v>
      </c>
      <c r="H415">
        <f ca="1">BINOMDIST(Worksheet!$A$25,Worksheet!$B$15,$P415,1)</f>
        <v>8.3487354110763819E-7</v>
      </c>
      <c r="I415">
        <f ca="1">BINOMDIST(Worksheet!$A$26,Worksheet!$B$15,$P415,1)</f>
        <v>5.0378332386659931E-6</v>
      </c>
      <c r="J415">
        <f ca="1">BINOMDIST(Worksheet!$A$27,Worksheet!$B$15,$P415,1)</f>
        <v>2.4223565932149896E-5</v>
      </c>
      <c r="K415">
        <f ca="1">BINOMDIST(Worksheet!$A$28,Worksheet!$B$15,$P415,1)</f>
        <v>9.6703000551978086E-5</v>
      </c>
      <c r="L415">
        <f ca="1">BINOMDIST(Worksheet!$A$29,Worksheet!$B$15,$P415,1)</f>
        <v>3.2976848409801366E-4</v>
      </c>
      <c r="M415">
        <f ca="1">BINOMDIST(Worksheet!$A$30,Worksheet!$B$15,$P415,1)</f>
        <v>9.8094912909816407E-4</v>
      </c>
      <c r="N415">
        <f ca="1">BINOMDIST(Worksheet!$A$31,Worksheet!$B$15,$P415,1)</f>
        <v>2.5867927567374154E-3</v>
      </c>
      <c r="O415">
        <f ca="1">BINOMDIST(Worksheet!$A$32,Worksheet!$B$15,$P415,1)</f>
        <v>6.1255963065350409E-3</v>
      </c>
      <c r="P415">
        <v>0.13600000000000001</v>
      </c>
    </row>
    <row r="416" spans="5:16" x14ac:dyDescent="0.2">
      <c r="E416">
        <f ca="1">BINOMDIST(Worksheet!$A$22,Worksheet!$B$15,$P416,1)</f>
        <v>4.1247726142622326E-10</v>
      </c>
      <c r="F416">
        <f ca="1">BINOMDIST(Worksheet!$A$23,Worksheet!$B$15,$P416,1)</f>
        <v>1.0004361785805951E-8</v>
      </c>
      <c r="G416">
        <f ca="1">BINOMDIST(Worksheet!$A$24,Worksheet!$B$15,$P416,1)</f>
        <v>1.2078231137950935E-7</v>
      </c>
      <c r="H416">
        <f ca="1">BINOMDIST(Worksheet!$A$25,Worksheet!$B$15,$P416,1)</f>
        <v>9.6794547503540574E-7</v>
      </c>
      <c r="I416">
        <f ca="1">BINOMDIST(Worksheet!$A$26,Worksheet!$B$15,$P416,1)</f>
        <v>5.7938373697341623E-6</v>
      </c>
      <c r="J416">
        <f ca="1">BINOMDIST(Worksheet!$A$27,Worksheet!$B$15,$P416,1)</f>
        <v>2.7635879875798464E-5</v>
      </c>
      <c r="K416">
        <f ca="1">BINOMDIST(Worksheet!$A$28,Worksheet!$B$15,$P416,1)</f>
        <v>1.0944884833781952E-4</v>
      </c>
      <c r="L416">
        <f ca="1">BINOMDIST(Worksheet!$A$29,Worksheet!$B$15,$P416,1)</f>
        <v>3.7029102111392503E-4</v>
      </c>
      <c r="M416">
        <f ca="1">BINOMDIST(Worksheet!$A$30,Worksheet!$B$15,$P416,1)</f>
        <v>1.0928841500327054E-3</v>
      </c>
      <c r="N416">
        <f ca="1">BINOMDIST(Worksheet!$A$31,Worksheet!$B$15,$P416,1)</f>
        <v>2.8596870028225496E-3</v>
      </c>
      <c r="O416">
        <f ca="1">BINOMDIST(Worksheet!$A$32,Worksheet!$B$15,$P416,1)</f>
        <v>6.7201001725020896E-3</v>
      </c>
      <c r="P416">
        <v>0.13500000000000001</v>
      </c>
    </row>
    <row r="417" spans="5:16" x14ac:dyDescent="0.2">
      <c r="E417">
        <f ca="1">BINOMDIST(Worksheet!$A$22,Worksheet!$B$15,$P417,1)</f>
        <v>4.8996596200354902E-10</v>
      </c>
      <c r="F417">
        <f ca="1">BINOMDIST(Worksheet!$A$23,Worksheet!$B$15,$P417,1)</f>
        <v>1.1786340554801299E-8</v>
      </c>
      <c r="G417">
        <f ca="1">BINOMDIST(Worksheet!$A$24,Worksheet!$B$15,$P417,1)</f>
        <v>1.4113374293607442E-7</v>
      </c>
      <c r="H417">
        <f ca="1">BINOMDIST(Worksheet!$A$25,Worksheet!$B$15,$P417,1)</f>
        <v>1.121843955448129E-6</v>
      </c>
      <c r="I417">
        <f ca="1">BINOMDIST(Worksheet!$A$26,Worksheet!$B$15,$P417,1)</f>
        <v>6.6607049824648238E-6</v>
      </c>
      <c r="J417">
        <f ca="1">BINOMDIST(Worksheet!$A$27,Worksheet!$B$15,$P417,1)</f>
        <v>3.1515224556352678E-5</v>
      </c>
      <c r="K417">
        <f ca="1">BINOMDIST(Worksheet!$A$28,Worksheet!$B$15,$P417,1)</f>
        <v>1.2381561133420873E-4</v>
      </c>
      <c r="L417">
        <f ca="1">BINOMDIST(Worksheet!$A$29,Worksheet!$B$15,$P417,1)</f>
        <v>4.1557740800812434E-4</v>
      </c>
      <c r="M417">
        <f ca="1">BINOMDIST(Worksheet!$A$30,Worksheet!$B$15,$P417,1)</f>
        <v>1.2169116267020175E-3</v>
      </c>
      <c r="N417">
        <f ca="1">BINOMDIST(Worksheet!$A$31,Worksheet!$B$15,$P417,1)</f>
        <v>3.1594839551601136E-3</v>
      </c>
      <c r="O417">
        <f ca="1">BINOMDIST(Worksheet!$A$32,Worksheet!$B$15,$P417,1)</f>
        <v>7.3676429484480898E-3</v>
      </c>
      <c r="P417">
        <v>0.13400000000000001</v>
      </c>
    </row>
    <row r="418" spans="5:16" x14ac:dyDescent="0.2">
      <c r="E418">
        <f ca="1">BINOMDIST(Worksheet!$A$22,Worksheet!$B$15,$P418,1)</f>
        <v>5.8189620382959493E-10</v>
      </c>
      <c r="F418">
        <f ca="1">BINOMDIST(Worksheet!$A$23,Worksheet!$B$15,$P418,1)</f>
        <v>1.3882284982712044E-8</v>
      </c>
      <c r="G418">
        <f ca="1">BINOMDIST(Worksheet!$A$24,Worksheet!$B$15,$P418,1)</f>
        <v>1.6486547571138691E-7</v>
      </c>
      <c r="H418">
        <f ca="1">BINOMDIST(Worksheet!$A$25,Worksheet!$B$15,$P418,1)</f>
        <v>1.2997644999083587E-6</v>
      </c>
      <c r="I418">
        <f ca="1">BINOMDIST(Worksheet!$A$26,Worksheet!$B$15,$P418,1)</f>
        <v>7.6542827386213931E-6</v>
      </c>
      <c r="J418">
        <f ca="1">BINOMDIST(Worksheet!$A$27,Worksheet!$B$15,$P418,1)</f>
        <v>3.5923460185814227E-5</v>
      </c>
      <c r="K418">
        <f ca="1">BINOMDIST(Worksheet!$A$28,Worksheet!$B$15,$P418,1)</f>
        <v>1.4000098545852418E-4</v>
      </c>
      <c r="L418">
        <f ca="1">BINOMDIST(Worksheet!$A$29,Worksheet!$B$15,$P418,1)</f>
        <v>4.6615858195904697E-4</v>
      </c>
      <c r="M418">
        <f ca="1">BINOMDIST(Worksheet!$A$30,Worksheet!$B$15,$P418,1)</f>
        <v>1.3542514838490226E-3</v>
      </c>
      <c r="N418">
        <f ca="1">BINOMDIST(Worksheet!$A$31,Worksheet!$B$15,$P418,1)</f>
        <v>3.4886108570571111E-3</v>
      </c>
      <c r="O418">
        <f ca="1">BINOMDIST(Worksheet!$A$32,Worksheet!$B$15,$P418,1)</f>
        <v>8.0724368696446953E-3</v>
      </c>
      <c r="P418">
        <v>0.13300000000000001</v>
      </c>
    </row>
    <row r="419" spans="5:16" x14ac:dyDescent="0.2">
      <c r="E419">
        <f ca="1">BINOMDIST(Worksheet!$A$22,Worksheet!$B$15,$P419,1)</f>
        <v>6.909379566618413E-10</v>
      </c>
      <c r="F419">
        <f ca="1">BINOMDIST(Worksheet!$A$23,Worksheet!$B$15,$P419,1)</f>
        <v>1.634689156452486E-8</v>
      </c>
      <c r="G419">
        <f ca="1">BINOMDIST(Worksheet!$A$24,Worksheet!$B$15,$P419,1)</f>
        <v>1.9253048009172039E-7</v>
      </c>
      <c r="H419">
        <f ca="1">BINOMDIST(Worksheet!$A$25,Worksheet!$B$15,$P419,1)</f>
        <v>1.5053823816976004E-6</v>
      </c>
      <c r="I419">
        <f ca="1">BINOMDIST(Worksheet!$A$26,Worksheet!$B$15,$P419,1)</f>
        <v>8.7926179369246925E-6</v>
      </c>
      <c r="J419">
        <f ca="1">BINOMDIST(Worksheet!$A$27,Worksheet!$B$15,$P419,1)</f>
        <v>4.0930334187396353E-5</v>
      </c>
      <c r="K419">
        <f ca="1">BINOMDIST(Worksheet!$A$28,Worksheet!$B$15,$P419,1)</f>
        <v>1.5822559349787317E-4</v>
      </c>
      <c r="L419">
        <f ca="1">BINOMDIST(Worksheet!$A$29,Worksheet!$B$15,$P419,1)</f>
        <v>5.2262080658947458E-4</v>
      </c>
      <c r="M419">
        <f ca="1">BINOMDIST(Worksheet!$A$30,Worksheet!$B$15,$P419,1)</f>
        <v>1.506235995844796E-3</v>
      </c>
      <c r="N419">
        <f ca="1">BINOMDIST(Worksheet!$A$31,Worksheet!$B$15,$P419,1)</f>
        <v>3.8496878522733687E-3</v>
      </c>
      <c r="O419">
        <f ca="1">BINOMDIST(Worksheet!$A$32,Worksheet!$B$15,$P419,1)</f>
        <v>8.8389724498309959E-3</v>
      </c>
      <c r="P419">
        <v>0.13200000000000001</v>
      </c>
    </row>
    <row r="420" spans="5:16" x14ac:dyDescent="0.2">
      <c r="E420">
        <f ca="1">BINOMDIST(Worksheet!$A$22,Worksheet!$B$15,$P420,1)</f>
        <v>8.2025085330022792E-10</v>
      </c>
      <c r="F420">
        <f ca="1">BINOMDIST(Worksheet!$A$23,Worksheet!$B$15,$P420,1)</f>
        <v>1.9244274334965546E-8</v>
      </c>
      <c r="G420">
        <f ca="1">BINOMDIST(Worksheet!$A$24,Worksheet!$B$15,$P420,1)</f>
        <v>2.2477072270235762E-7</v>
      </c>
      <c r="H420">
        <f ca="1">BINOMDIST(Worksheet!$A$25,Worksheet!$B$15,$P420,1)</f>
        <v>1.7429229345208739E-6</v>
      </c>
      <c r="I420">
        <f ca="1">BINOMDIST(Worksheet!$A$26,Worksheet!$B$15,$P420,1)</f>
        <v>1.0096254120723641E-5</v>
      </c>
      <c r="J420">
        <f ca="1">BINOMDIST(Worksheet!$A$27,Worksheet!$B$15,$P420,1)</f>
        <v>4.6614441895619344E-5</v>
      </c>
      <c r="K420">
        <f ca="1">BINOMDIST(Worksheet!$A$28,Worksheet!$B$15,$P420,1)</f>
        <v>1.7873548028948824E-4</v>
      </c>
      <c r="L420">
        <f ca="1">BINOMDIST(Worksheet!$A$29,Worksheet!$B$15,$P420,1)</f>
        <v>5.8561093848977577E-4</v>
      </c>
      <c r="M420">
        <f ca="1">BINOMDIST(Worksheet!$A$30,Worksheet!$B$15,$P420,1)</f>
        <v>1.6743188316775998E-3</v>
      </c>
      <c r="N420">
        <f ca="1">BINOMDIST(Worksheet!$A$31,Worksheet!$B$15,$P420,1)</f>
        <v>4.2455403500348829E-3</v>
      </c>
      <c r="O420">
        <f ca="1">BINOMDIST(Worksheet!$A$32,Worksheet!$B$15,$P420,1)</f>
        <v>9.67203087324227E-3</v>
      </c>
      <c r="P420">
        <v>0.13100000000000001</v>
      </c>
    </row>
    <row r="421" spans="5:16" x14ac:dyDescent="0.2">
      <c r="E421">
        <f ca="1">BINOMDIST(Worksheet!$A$22,Worksheet!$B$15,$P421,1)</f>
        <v>9.735732668323663E-10</v>
      </c>
      <c r="F421">
        <f ca="1">BINOMDIST(Worksheet!$A$23,Worksheet!$B$15,$P421,1)</f>
        <v>2.264956657550234E-8</v>
      </c>
      <c r="G421">
        <f ca="1">BINOMDIST(Worksheet!$A$24,Worksheet!$B$15,$P421,1)</f>
        <v>2.6233123971274984E-7</v>
      </c>
      <c r="H421">
        <f ca="1">BINOMDIST(Worksheet!$A$25,Worksheet!$B$15,$P421,1)</f>
        <v>2.0172418809590342E-6</v>
      </c>
      <c r="I421">
        <f ca="1">BINOMDIST(Worksheet!$A$26,Worksheet!$B$15,$P421,1)</f>
        <v>1.1588564861089635E-5</v>
      </c>
      <c r="J421">
        <f ca="1">BINOMDIST(Worksheet!$A$27,Worksheet!$B$15,$P421,1)</f>
        <v>5.3064297774988924E-5</v>
      </c>
      <c r="K421">
        <f ca="1">BINOMDIST(Worksheet!$A$28,Worksheet!$B$15,$P421,1)</f>
        <v>2.0180485719035205E-4</v>
      </c>
      <c r="L421">
        <f ca="1">BINOMDIST(Worksheet!$A$29,Worksheet!$B$15,$P421,1)</f>
        <v>6.5584213133347211E-4</v>
      </c>
      <c r="M421">
        <f ca="1">BINOMDIST(Worksheet!$A$30,Worksheet!$B$15,$P421,1)</f>
        <v>1.8600846716613447E-3</v>
      </c>
      <c r="N421">
        <f ca="1">BINOMDIST(Worksheet!$A$31,Worksheet!$B$15,$P421,1)</f>
        <v>4.6792118446127877E-3</v>
      </c>
      <c r="O421">
        <f ca="1">BINOMDIST(Worksheet!$A$32,Worksheet!$B$15,$P421,1)</f>
        <v>1.0576696275384793E-2</v>
      </c>
      <c r="P421">
        <v>0.13</v>
      </c>
    </row>
    <row r="422" spans="5:16" x14ac:dyDescent="0.2">
      <c r="E422">
        <f ca="1">BINOMDIST(Worksheet!$A$22,Worksheet!$B$15,$P422,1)</f>
        <v>1.155327460795394E-9</v>
      </c>
      <c r="F422">
        <f ca="1">BINOMDIST(Worksheet!$A$23,Worksheet!$B$15,$P422,1)</f>
        <v>2.6650791437773952E-8</v>
      </c>
      <c r="G422">
        <f ca="1">BINOMDIST(Worksheet!$A$24,Worksheet!$B$15,$P422,1)</f>
        <v>3.0607639318775877E-7</v>
      </c>
      <c r="H422">
        <f ca="1">BINOMDIST(Worksheet!$A$25,Worksheet!$B$15,$P422,1)</f>
        <v>2.3339170690335194E-6</v>
      </c>
      <c r="I422">
        <f ca="1">BINOMDIST(Worksheet!$A$26,Worksheet!$B$15,$P422,1)</f>
        <v>1.3296130412569381E-5</v>
      </c>
      <c r="J422">
        <f ca="1">BINOMDIST(Worksheet!$A$27,Worksheet!$B$15,$P422,1)</f>
        <v>6.0379528940890598E-5</v>
      </c>
      <c r="K422">
        <f ca="1">BINOMDIST(Worksheet!$A$28,Worksheet!$B$15,$P422,1)</f>
        <v>2.2773911773960791E-4</v>
      </c>
      <c r="L422">
        <f ca="1">BINOMDIST(Worksheet!$A$29,Worksheet!$B$15,$P422,1)</f>
        <v>7.3410000581077819E-4</v>
      </c>
      <c r="M422">
        <f ca="1">BINOMDIST(Worksheet!$A$30,Worksheet!$B$15,$P422,1)</f>
        <v>2.0652594127694062E-3</v>
      </c>
      <c r="N422">
        <f ca="1">BINOMDIST(Worksheet!$A$31,Worksheet!$B$15,$P422,1)</f>
        <v>5.1539771641624915E-3</v>
      </c>
      <c r="O422">
        <f ca="1">BINOMDIST(Worksheet!$A$32,Worksheet!$B$15,$P422,1)</f>
        <v>1.1558367817452892E-2</v>
      </c>
      <c r="P422">
        <v>0.129</v>
      </c>
    </row>
    <row r="423" spans="5:16" x14ac:dyDescent="0.2">
      <c r="E423">
        <f ca="1">BINOMDIST(Worksheet!$A$22,Worksheet!$B$15,$P423,1)</f>
        <v>1.3707436887305202E-9</v>
      </c>
      <c r="F423">
        <f ca="1">BINOMDIST(Worksheet!$A$23,Worksheet!$B$15,$P423,1)</f>
        <v>3.13510460183963E-8</v>
      </c>
      <c r="G423">
        <f ca="1">BINOMDIST(Worksheet!$A$24,Worksheet!$B$15,$P423,1)</f>
        <v>3.5700864196632529E-7</v>
      </c>
      <c r="H423">
        <f ca="1">BINOMDIST(Worksheet!$A$25,Worksheet!$B$15,$P423,1)</f>
        <v>2.699353185298219E-6</v>
      </c>
      <c r="I423">
        <f ca="1">BINOMDIST(Worksheet!$A$26,Worksheet!$B$15,$P423,1)</f>
        <v>1.5249162481681932E-5</v>
      </c>
      <c r="J423">
        <f ca="1">BINOMDIST(Worksheet!$A$27,Worksheet!$B$15,$P423,1)</f>
        <v>6.8672203890141054E-5</v>
      </c>
      <c r="K423">
        <f ca="1">BINOMDIST(Worksheet!$A$28,Worksheet!$B$15,$P423,1)</f>
        <v>2.5687814793462054E-4</v>
      </c>
      <c r="L423">
        <f ca="1">BINOMDIST(Worksheet!$A$29,Worksheet!$B$15,$P423,1)</f>
        <v>8.2124931434847371E-4</v>
      </c>
      <c r="M423">
        <f ca="1">BINOMDIST(Worksheet!$A$30,Worksheet!$B$15,$P423,1)</f>
        <v>2.2917209772983288E-3</v>
      </c>
      <c r="N423">
        <f ca="1">BINOMDIST(Worksheet!$A$31,Worksheet!$B$15,$P423,1)</f>
        <v>5.6733561165591521E-3</v>
      </c>
      <c r="O423">
        <f ca="1">BINOMDIST(Worksheet!$A$32,Worksheet!$B$15,$P423,1)</f>
        <v>1.2622771448618087E-2</v>
      </c>
      <c r="P423">
        <v>0.128</v>
      </c>
    </row>
    <row r="424" spans="5:16" x14ac:dyDescent="0.2">
      <c r="E424">
        <f ca="1">BINOMDIST(Worksheet!$A$22,Worksheet!$B$15,$P424,1)</f>
        <v>1.6260066301636355E-9</v>
      </c>
      <c r="F424">
        <f ca="1">BINOMDIST(Worksheet!$A$23,Worksheet!$B$15,$P424,1)</f>
        <v>3.6871050688109253E-8</v>
      </c>
      <c r="G424">
        <f ca="1">BINOMDIST(Worksheet!$A$24,Worksheet!$B$15,$P424,1)</f>
        <v>4.1629020768303857E-7</v>
      </c>
      <c r="H424">
        <f ca="1">BINOMDIST(Worksheet!$A$25,Worksheet!$B$15,$P424,1)</f>
        <v>3.1209012202597154E-6</v>
      </c>
      <c r="I424">
        <f ca="1">BINOMDIST(Worksheet!$A$26,Worksheet!$B$15,$P424,1)</f>
        <v>1.7481982948552042E-5</v>
      </c>
      <c r="J424">
        <f ca="1">BINOMDIST(Worksheet!$A$27,Worksheet!$B$15,$P424,1)</f>
        <v>7.806831056058033E-5</v>
      </c>
      <c r="K424">
        <f ca="1">BINOMDIST(Worksheet!$A$28,Worksheet!$B$15,$P424,1)</f>
        <v>2.8959995610635639E-4</v>
      </c>
      <c r="L424">
        <f ca="1">BINOMDIST(Worksheet!$A$29,Worksheet!$B$15,$P424,1)</f>
        <v>9.1824113017881985E-4</v>
      </c>
      <c r="M424">
        <f ca="1">BINOMDIST(Worksheet!$A$30,Worksheet!$B$15,$P424,1)</f>
        <v>2.5415107368831204E-3</v>
      </c>
      <c r="N424">
        <f ca="1">BINOMDIST(Worksheet!$A$31,Worksheet!$B$15,$P424,1)</f>
        <v>6.241127492292808E-3</v>
      </c>
      <c r="O424">
        <f ca="1">BINOMDIST(Worksheet!$A$32,Worksheet!$B$15,$P424,1)</f>
        <v>1.3775971239278399E-2</v>
      </c>
      <c r="P424">
        <v>0.127</v>
      </c>
    </row>
    <row r="425" spans="5:16" x14ac:dyDescent="0.2">
      <c r="E425">
        <f ca="1">BINOMDIST(Worksheet!$A$22,Worksheet!$B$15,$P425,1)</f>
        <v>1.928428150474637E-9</v>
      </c>
      <c r="F425">
        <f ca="1">BINOMDIST(Worksheet!$A$23,Worksheet!$B$15,$P425,1)</f>
        <v>4.3352123913644895E-8</v>
      </c>
      <c r="G425">
        <f ca="1">BINOMDIST(Worksheet!$A$24,Worksheet!$B$15,$P425,1)</f>
        <v>4.8526807276467418E-7</v>
      </c>
      <c r="H425">
        <f ca="1">BINOMDIST(Worksheet!$A$25,Worksheet!$B$15,$P425,1)</f>
        <v>3.6069946954262946E-6</v>
      </c>
      <c r="I425">
        <f ca="1">BINOMDIST(Worksheet!$A$26,Worksheet!$B$15,$P425,1)</f>
        <v>2.0033563045106896E-5</v>
      </c>
      <c r="J425">
        <f ca="1">BINOMDIST(Worksheet!$A$27,Worksheet!$B$15,$P425,1)</f>
        <v>8.8709399143199457E-5</v>
      </c>
      <c r="K425">
        <f ca="1">BINOMDIST(Worksheet!$A$28,Worksheet!$B$15,$P425,1)</f>
        <v>3.26324648983739E-4</v>
      </c>
      <c r="L425">
        <f ca="1">BINOMDIST(Worksheet!$A$29,Worksheet!$B$15,$P425,1)</f>
        <v>1.0261205907337965E-3</v>
      </c>
      <c r="M425">
        <f ca="1">BINOMDIST(Worksheet!$A$30,Worksheet!$B$15,$P425,1)</f>
        <v>2.8168455606697278E-3</v>
      </c>
      <c r="N425">
        <f ca="1">BINOMDIST(Worksheet!$A$31,Worksheet!$B$15,$P425,1)</f>
        <v>6.8613433760627719E-3</v>
      </c>
      <c r="O425">
        <f ca="1">BINOMDIST(Worksheet!$A$32,Worksheet!$B$15,$P425,1)</f>
        <v>1.5024380156787405E-2</v>
      </c>
      <c r="P425">
        <v>0.126</v>
      </c>
    </row>
    <row r="426" spans="5:16" x14ac:dyDescent="0.2">
      <c r="E426">
        <f ca="1">BINOMDIST(Worksheet!$A$22,Worksheet!$B$15,$P426,1)</f>
        <v>2.2866510781080676E-9</v>
      </c>
      <c r="F426">
        <f ca="1">BINOMDIST(Worksheet!$A$23,Worksheet!$B$15,$P426,1)</f>
        <v>5.0959652597836929E-8</v>
      </c>
      <c r="G426">
        <f ca="1">BINOMDIST(Worksheet!$A$24,Worksheet!$B$15,$P426,1)</f>
        <v>5.6550281152068508E-7</v>
      </c>
      <c r="H426">
        <f ca="1">BINOMDIST(Worksheet!$A$25,Worksheet!$B$15,$P426,1)</f>
        <v>4.1673049239806245E-6</v>
      </c>
      <c r="I426">
        <f ca="1">BINOMDIST(Worksheet!$A$26,Worksheet!$B$15,$P426,1)</f>
        <v>2.2948130224664515E-5</v>
      </c>
      <c r="J426">
        <f ca="1">BINOMDIST(Worksheet!$A$27,Worksheet!$B$15,$P426,1)</f>
        <v>1.0075440647035499E-4</v>
      </c>
      <c r="K426">
        <f ca="1">BINOMDIST(Worksheet!$A$28,Worksheet!$B$15,$P426,1)</f>
        <v>3.6751878216986506E-4</v>
      </c>
      <c r="L426">
        <f ca="1">BINOMDIST(Worksheet!$A$29,Worksheet!$B$15,$P426,1)</f>
        <v>1.1460352255378251E-3</v>
      </c>
      <c r="M426">
        <f ca="1">BINOMDIST(Worksheet!$A$30,Worksheet!$B$15,$P426,1)</f>
        <v>3.1201304926494352E-3</v>
      </c>
      <c r="N426">
        <f ca="1">BINOMDIST(Worksheet!$A$31,Worksheet!$B$15,$P426,1)</f>
        <v>7.5383437095182743E-3</v>
      </c>
      <c r="O426">
        <f ca="1">BINOMDIST(Worksheet!$A$32,Worksheet!$B$15,$P426,1)</f>
        <v>1.6374770143255966E-2</v>
      </c>
      <c r="P426">
        <v>0.125</v>
      </c>
    </row>
    <row r="427" spans="5:16" x14ac:dyDescent="0.2">
      <c r="E427">
        <f ca="1">BINOMDIST(Worksheet!$A$22,Worksheet!$B$15,$P427,1)</f>
        <v>2.7108895225320977E-9</v>
      </c>
      <c r="F427">
        <f ca="1">BINOMDIST(Worksheet!$A$23,Worksheet!$B$15,$P427,1)</f>
        <v>5.9887139315115487E-8</v>
      </c>
      <c r="G427">
        <f ca="1">BINOMDIST(Worksheet!$A$24,Worksheet!$B$15,$P427,1)</f>
        <v>6.5880182892327238E-7</v>
      </c>
      <c r="H427">
        <f ca="1">BINOMDIST(Worksheet!$A$25,Worksheet!$B$15,$P427,1)</f>
        <v>4.8129178723698058E-6</v>
      </c>
      <c r="I427">
        <f ca="1">BINOMDIST(Worksheet!$A$26,Worksheet!$B$15,$P427,1)</f>
        <v>2.6275850763510247E-5</v>
      </c>
      <c r="J427">
        <f ca="1">BINOMDIST(Worksheet!$A$27,Worksheet!$B$15,$P427,1)</f>
        <v>1.143816803029402E-4</v>
      </c>
      <c r="K427">
        <f ca="1">BINOMDIST(Worksheet!$A$28,Worksheet!$B$15,$P427,1)</f>
        <v>4.137001149026477E-4</v>
      </c>
      <c r="L427">
        <f ca="1">BINOMDIST(Worksheet!$A$29,Worksheet!$B$15,$P427,1)</f>
        <v>1.2792438987125018E-3</v>
      </c>
      <c r="M427">
        <f ca="1">BINOMDIST(Worksheet!$A$30,Worksheet!$B$15,$P427,1)</f>
        <v>3.4539720587187673E-3</v>
      </c>
      <c r="N427">
        <f ca="1">BINOMDIST(Worksheet!$A$31,Worksheet!$B$15,$P427,1)</f>
        <v>8.2767710376063265E-3</v>
      </c>
      <c r="O427">
        <f ca="1">BINOMDIST(Worksheet!$A$32,Worksheet!$B$15,$P427,1)</f>
        <v>1.7834281342799029E-2</v>
      </c>
      <c r="P427">
        <v>0.124</v>
      </c>
    </row>
    <row r="428" spans="5:16" x14ac:dyDescent="0.2">
      <c r="E428">
        <f ca="1">BINOMDIST(Worksheet!$A$22,Worksheet!$B$15,$P428,1)</f>
        <v>3.2132122318587155E-9</v>
      </c>
      <c r="F428">
        <f ca="1">BINOMDIST(Worksheet!$A$23,Worksheet!$B$15,$P428,1)</f>
        <v>7.0360920981316539E-8</v>
      </c>
      <c r="G428">
        <f ca="1">BINOMDIST(Worksheet!$A$24,Worksheet!$B$15,$P428,1)</f>
        <v>7.6725766560796065E-7</v>
      </c>
      <c r="H428">
        <f ca="1">BINOMDIST(Worksheet!$A$25,Worksheet!$B$15,$P428,1)</f>
        <v>5.556535521782166E-6</v>
      </c>
      <c r="I428">
        <f ca="1">BINOMDIST(Worksheet!$A$26,Worksheet!$B$15,$P428,1)</f>
        <v>3.007359702154734E-5</v>
      </c>
      <c r="J428">
        <f ca="1">BINOMDIST(Worksheet!$A$27,Worksheet!$B$15,$P428,1)</f>
        <v>1.2979122344077457E-4</v>
      </c>
      <c r="K428">
        <f ca="1">BINOMDIST(Worksheet!$A$28,Worksheet!$B$15,$P428,1)</f>
        <v>4.6544280062385274E-4</v>
      </c>
      <c r="L428">
        <f ca="1">BINOMDIST(Worksheet!$A$29,Worksheet!$B$15,$P428,1)</f>
        <v>1.427126395846716E-3</v>
      </c>
      <c r="M428">
        <f ca="1">BINOMDIST(Worksheet!$A$30,Worksheet!$B$15,$P428,1)</f>
        <v>3.8211921988915436E-3</v>
      </c>
      <c r="N428">
        <f ca="1">BINOMDIST(Worksheet!$A$31,Worksheet!$B$15,$P428,1)</f>
        <v>9.0815853601998626E-3</v>
      </c>
      <c r="O428">
        <f ca="1">BINOMDIST(Worksheet!$A$32,Worksheet!$B$15,$P428,1)</f>
        <v>1.9410430313190615E-2</v>
      </c>
      <c r="P428">
        <v>0.123</v>
      </c>
    </row>
    <row r="429" spans="5:16" x14ac:dyDescent="0.2">
      <c r="E429">
        <f ca="1">BINOMDIST(Worksheet!$A$22,Worksheet!$B$15,$P429,1)</f>
        <v>3.8078766354075749E-9</v>
      </c>
      <c r="F429">
        <f ca="1">BINOMDIST(Worksheet!$A$23,Worksheet!$B$15,$P429,1)</f>
        <v>8.2645668752080459E-8</v>
      </c>
      <c r="G429">
        <f ca="1">BINOMDIST(Worksheet!$A$24,Worksheet!$B$15,$P429,1)</f>
        <v>8.9329212345518301E-7</v>
      </c>
      <c r="H429">
        <f ca="1">BINOMDIST(Worksheet!$A$25,Worksheet!$B$15,$P429,1)</f>
        <v>6.4127050006933769E-6</v>
      </c>
      <c r="I429">
        <f ca="1">BINOMDIST(Worksheet!$A$26,Worksheet!$B$15,$P429,1)</f>
        <v>3.4405809263041589E-5</v>
      </c>
      <c r="J429">
        <f ca="1">BINOMDIST(Worksheet!$A$27,Worksheet!$B$15,$P429,1)</f>
        <v>1.4720717928603486E-4</v>
      </c>
      <c r="K429">
        <f ca="1">BINOMDIST(Worksheet!$A$28,Worksheet!$B$15,$P429,1)</f>
        <v>5.2338304651533194E-4</v>
      </c>
      <c r="L429">
        <f ca="1">BINOMDIST(Worksheet!$A$29,Worksheet!$B$15,$P429,1)</f>
        <v>1.5911936842768599E-3</v>
      </c>
      <c r="M429">
        <f ca="1">BINOMDIST(Worksheet!$A$30,Worksheet!$B$15,$P429,1)</f>
        <v>4.2248428142000671E-3</v>
      </c>
      <c r="N429">
        <f ca="1">BINOMDIST(Worksheet!$A$31,Worksheet!$B$15,$P429,1)</f>
        <v>9.9580789990822687E-3</v>
      </c>
      <c r="O429">
        <f ca="1">BINOMDIST(Worksheet!$A$32,Worksheet!$B$15,$P429,1)</f>
        <v>2.1111117044388443E-2</v>
      </c>
      <c r="P429">
        <v>0.122</v>
      </c>
    </row>
    <row r="430" spans="5:16" x14ac:dyDescent="0.2">
      <c r="E430">
        <f ca="1">BINOMDIST(Worksheet!$A$22,Worksheet!$B$15,$P430,1)</f>
        <v>4.5117225634102283E-9</v>
      </c>
      <c r="F430">
        <f ca="1">BINOMDIST(Worksheet!$A$23,Worksheet!$B$15,$P430,1)</f>
        <v>9.7050796619977694E-8</v>
      </c>
      <c r="G430">
        <f ca="1">BINOMDIST(Worksheet!$A$24,Worksheet!$B$15,$P430,1)</f>
        <v>1.0397070754624212E-6</v>
      </c>
      <c r="H430">
        <f ca="1">BINOMDIST(Worksheet!$A$25,Worksheet!$B$15,$P430,1)</f>
        <v>7.3980791770060407E-6</v>
      </c>
      <c r="I430">
        <f ca="1">BINOMDIST(Worksheet!$A$26,Worksheet!$B$15,$P430,1)</f>
        <v>3.9345463006889268E-5</v>
      </c>
      <c r="J430">
        <f ca="1">BINOMDIST(Worksheet!$A$27,Worksheet!$B$15,$P430,1)</f>
        <v>1.6688058230047309E-4</v>
      </c>
      <c r="K430">
        <f ca="1">BINOMDIST(Worksheet!$A$28,Worksheet!$B$15,$P430,1)</f>
        <v>5.8822527675845616E-4</v>
      </c>
      <c r="L430">
        <f ca="1">BINOMDIST(Worksheet!$A$29,Worksheet!$B$15,$P430,1)</f>
        <v>1.7730988747117322E-3</v>
      </c>
      <c r="M430">
        <f ca="1">BINOMDIST(Worksheet!$A$30,Worksheet!$B$15,$P430,1)</f>
        <v>4.6682209111214507E-3</v>
      </c>
      <c r="N430">
        <f ca="1">BINOMDIST(Worksheet!$A$31,Worksheet!$B$15,$P430,1)</f>
        <v>1.0911891377963338E-2</v>
      </c>
      <c r="O430">
        <f ca="1">BINOMDIST(Worksheet!$A$32,Worksheet!$B$15,$P430,1)</f>
        <v>2.2944630593924899E-2</v>
      </c>
      <c r="P430">
        <v>0.121</v>
      </c>
    </row>
    <row r="431" spans="5:16" x14ac:dyDescent="0.2">
      <c r="E431">
        <f ca="1">BINOMDIST(Worksheet!$A$22,Worksheet!$B$15,$P431,1)</f>
        <v>5.3446362182991748E-9</v>
      </c>
      <c r="F431">
        <f ca="1">BINOMDIST(Worksheet!$A$23,Worksheet!$B$15,$P431,1)</f>
        <v>1.1393792665374147E-7</v>
      </c>
      <c r="G431">
        <f ca="1">BINOMDIST(Worksheet!$A$24,Worksheet!$B$15,$P431,1)</f>
        <v>1.2097429483204755E-6</v>
      </c>
      <c r="H431">
        <f ca="1">BINOMDIST(Worksheet!$A$25,Worksheet!$B$15,$P431,1)</f>
        <v>8.5317128658209439E-6</v>
      </c>
      <c r="I431">
        <f ca="1">BINOMDIST(Worksheet!$A$26,Worksheet!$B$15,$P431,1)</f>
        <v>4.4975154046107273E-5</v>
      </c>
      <c r="J431">
        <f ca="1">BINOMDIST(Worksheet!$A$27,Worksheet!$B$15,$P431,1)</f>
        <v>1.8909239871360366E-4</v>
      </c>
      <c r="K431">
        <f ca="1">BINOMDIST(Worksheet!$A$28,Worksheet!$B$15,$P431,1)</f>
        <v>6.6074883580722634E-4</v>
      </c>
      <c r="L431">
        <f ca="1">BINOMDIST(Worksheet!$A$29,Worksheet!$B$15,$P431,1)</f>
        <v>1.9746489105680388E-3</v>
      </c>
      <c r="M431">
        <f ca="1">BINOMDIST(Worksheet!$A$30,Worksheet!$B$15,$P431,1)</f>
        <v>5.1548843187959039E-3</v>
      </c>
      <c r="N431">
        <f ca="1">BINOMDIST(Worksheet!$A$31,Worksheet!$B$15,$P431,1)</f>
        <v>1.1949023600009993E-2</v>
      </c>
      <c r="O431">
        <f ca="1">BINOMDIST(Worksheet!$A$32,Worksheet!$B$15,$P431,1)</f>
        <v>2.4919653136873193E-2</v>
      </c>
      <c r="P431">
        <v>0.12</v>
      </c>
    </row>
    <row r="432" spans="5:16" x14ac:dyDescent="0.2">
      <c r="E432">
        <f ca="1">BINOMDIST(Worksheet!$A$22,Worksheet!$B$15,$P432,1)</f>
        <v>6.3300968303876012E-9</v>
      </c>
      <c r="F432">
        <f ca="1">BINOMDIST(Worksheet!$A$23,Worksheet!$B$15,$P432,1)</f>
        <v>1.3372958252800663E-7</v>
      </c>
      <c r="G432">
        <f ca="1">BINOMDIST(Worksheet!$A$24,Worksheet!$B$15,$P432,1)</f>
        <v>1.4071460082410995E-6</v>
      </c>
      <c r="H432">
        <f ca="1">BINOMDIST(Worksheet!$A$25,Worksheet!$B$15,$P432,1)</f>
        <v>9.835399332115169E-6</v>
      </c>
      <c r="I432">
        <f ca="1">BINOMDIST(Worksheet!$A$26,Worksheet!$B$15,$P432,1)</f>
        <v>5.1388314556004978E-5</v>
      </c>
      <c r="J432">
        <f ca="1">BINOMDIST(Worksheet!$A$27,Worksheet!$B$15,$P432,1)</f>
        <v>2.1415688485980063E-4</v>
      </c>
      <c r="K432">
        <f ca="1">BINOMDIST(Worksheet!$A$28,Worksheet!$B$15,$P432,1)</f>
        <v>7.4181526940876846E-4</v>
      </c>
      <c r="L432">
        <f ca="1">BINOMDIST(Worksheet!$A$29,Worksheet!$B$15,$P432,1)</f>
        <v>2.1978170092936014E-3</v>
      </c>
      <c r="M432">
        <f ca="1">BINOMDIST(Worksheet!$A$30,Worksheet!$B$15,$P432,1)</f>
        <v>5.6886679458109076E-3</v>
      </c>
      <c r="N432">
        <f ca="1">BINOMDIST(Worksheet!$A$31,Worksheet!$B$15,$P432,1)</f>
        <v>1.3075852693423956E-2</v>
      </c>
      <c r="O432">
        <f ca="1">BINOMDIST(Worksheet!$A$32,Worksheet!$B$15,$P432,1)</f>
        <v>2.7045262216151875E-2</v>
      </c>
      <c r="P432">
        <v>0.11899999999999999</v>
      </c>
    </row>
    <row r="433" spans="5:16" x14ac:dyDescent="0.2">
      <c r="E433">
        <f ca="1">BINOMDIST(Worksheet!$A$22,Worksheet!$B$15,$P433,1)</f>
        <v>7.4958206130000934E-9</v>
      </c>
      <c r="F433">
        <f ca="1">BINOMDIST(Worksheet!$A$23,Worksheet!$B$15,$P433,1)</f>
        <v>1.569193104290627E-7</v>
      </c>
      <c r="G433">
        <f ca="1">BINOMDIST(Worksheet!$A$24,Worksheet!$B$15,$P433,1)</f>
        <v>1.6362457424855964E-6</v>
      </c>
      <c r="H433">
        <f ca="1">BINOMDIST(Worksheet!$A$25,Worksheet!$B$15,$P433,1)</f>
        <v>1.1334052352633971E-5</v>
      </c>
      <c r="I433">
        <f ca="1">BINOMDIST(Worksheet!$A$26,Worksheet!$B$15,$P433,1)</f>
        <v>5.8690575107632838E-5</v>
      </c>
      <c r="J433">
        <f ca="1">BINOMDIST(Worksheet!$A$27,Worksheet!$B$15,$P433,1)</f>
        <v>2.424252926446018E-4</v>
      </c>
      <c r="K433">
        <f ca="1">BINOMDIST(Worksheet!$A$28,Worksheet!$B$15,$P433,1)</f>
        <v>8.3237622242316692E-4</v>
      </c>
      <c r="L433">
        <f ca="1">BINOMDIST(Worksheet!$A$29,Worksheet!$B$15,$P433,1)</f>
        <v>2.4447558772795921E-3</v>
      </c>
      <c r="M433">
        <f ca="1">BINOMDIST(Worksheet!$A$30,Worksheet!$B$15,$P433,1)</f>
        <v>6.2737005338518925E-3</v>
      </c>
      <c r="N433">
        <f ca="1">BINOMDIST(Worksheet!$A$31,Worksheet!$B$15,$P433,1)</f>
        <v>1.4299145380922914E-2</v>
      </c>
      <c r="O433">
        <f ca="1">BINOMDIST(Worksheet!$A$32,Worksheet!$B$15,$P433,1)</f>
        <v>2.9330930967500491E-2</v>
      </c>
      <c r="P433">
        <v>0.11799999999999999</v>
      </c>
    </row>
    <row r="434" spans="5:16" x14ac:dyDescent="0.2">
      <c r="E434">
        <f ca="1">BINOMDIST(Worksheet!$A$22,Worksheet!$B$15,$P434,1)</f>
        <v>8.874519194248771E-9</v>
      </c>
      <c r="F434">
        <f ca="1">BINOMDIST(Worksheet!$A$23,Worksheet!$B$15,$P434,1)</f>
        <v>1.8408345816745239E-7</v>
      </c>
      <c r="G434">
        <f ca="1">BINOMDIST(Worksheet!$A$24,Worksheet!$B$15,$P434,1)</f>
        <v>1.9020438133543086E-6</v>
      </c>
      <c r="H434">
        <f ca="1">BINOMDIST(Worksheet!$A$25,Worksheet!$B$15,$P434,1)</f>
        <v>1.3056139754788364E-5</v>
      </c>
      <c r="I434">
        <f ca="1">BINOMDIST(Worksheet!$A$26,Worksheet!$B$15,$P434,1)</f>
        <v>6.7001288925676235E-5</v>
      </c>
      <c r="J434">
        <f ca="1">BINOMDIST(Worksheet!$A$27,Worksheet!$B$15,$P434,1)</f>
        <v>2.7428995385979089E-4</v>
      </c>
      <c r="K434">
        <f ca="1">BINOMDIST(Worksheet!$A$28,Worksheet!$B$15,$P434,1)</f>
        <v>9.3348199365026895E-4</v>
      </c>
      <c r="L434">
        <f ca="1">BINOMDIST(Worksheet!$A$29,Worksheet!$B$15,$P434,1)</f>
        <v>2.7178117166294829E-3</v>
      </c>
      <c r="M434">
        <f ca="1">BINOMDIST(Worksheet!$A$30,Worksheet!$B$15,$P434,1)</f>
        <v>6.9144218550180108E-3</v>
      </c>
      <c r="N434">
        <f ca="1">BINOMDIST(Worksheet!$A$31,Worksheet!$B$15,$P434,1)</f>
        <v>1.5626071213643379E-2</v>
      </c>
      <c r="O434">
        <f ca="1">BINOMDIST(Worksheet!$A$32,Worksheet!$B$15,$P434,1)</f>
        <v>3.1786526082758081E-2</v>
      </c>
      <c r="P434">
        <v>0.11700000000000001</v>
      </c>
    </row>
    <row r="435" spans="5:16" x14ac:dyDescent="0.2">
      <c r="E435">
        <f ca="1">BINOMDIST(Worksheet!$A$22,Worksheet!$B$15,$P435,1)</f>
        <v>1.0504792710240698E-8</v>
      </c>
      <c r="F435">
        <f ca="1">BINOMDIST(Worksheet!$A$23,Worksheet!$B$15,$P435,1)</f>
        <v>2.1589488004485667E-7</v>
      </c>
      <c r="G435">
        <f ca="1">BINOMDIST(Worksheet!$A$24,Worksheet!$B$15,$P435,1)</f>
        <v>2.2103162710859705E-6</v>
      </c>
      <c r="H435">
        <f ca="1">BINOMDIST(Worksheet!$A$25,Worksheet!$B$15,$P435,1)</f>
        <v>1.5034175079544861E-5</v>
      </c>
      <c r="I435">
        <f ca="1">BINOMDIST(Worksheet!$A$26,Worksheet!$B$15,$P435,1)</f>
        <v>7.6455236386122942E-5</v>
      </c>
      <c r="J435">
        <f ca="1">BINOMDIST(Worksheet!$A$27,Worksheet!$B$15,$P435,1)</f>
        <v>3.1018877737631407E-4</v>
      </c>
      <c r="K435">
        <f ca="1">BINOMDIST(Worksheet!$A$28,Worksheet!$B$15,$P435,1)</f>
        <v>1.046290788820537E-3</v>
      </c>
      <c r="L435">
        <f ca="1">BINOMDIST(Worksheet!$A$29,Worksheet!$B$15,$P435,1)</f>
        <v>3.0195390379861324E-3</v>
      </c>
      <c r="M435">
        <f ca="1">BINOMDIST(Worksheet!$A$30,Worksheet!$B$15,$P435,1)</f>
        <v>7.615600288022298E-3</v>
      </c>
      <c r="N435">
        <f ca="1">BINOMDIST(Worksheet!$A$31,Worksheet!$B$15,$P435,1)</f>
        <v>1.7064214894054429E-2</v>
      </c>
      <c r="O435">
        <f ca="1">BINOMDIST(Worksheet!$A$32,Worksheet!$B$15,$P435,1)</f>
        <v>3.442230326531711E-2</v>
      </c>
      <c r="P435">
        <v>0.11600000000000001</v>
      </c>
    </row>
    <row r="436" spans="5:16" x14ac:dyDescent="0.2">
      <c r="E436">
        <f ca="1">BINOMDIST(Worksheet!$A$22,Worksheet!$B$15,$P436,1)</f>
        <v>1.2432181274354881E-8</v>
      </c>
      <c r="F436">
        <f ca="1">BINOMDIST(Worksheet!$A$23,Worksheet!$B$15,$P436,1)</f>
        <v>2.5313887747330497E-7</v>
      </c>
      <c r="G436">
        <f ca="1">BINOMDIST(Worksheet!$A$24,Worksheet!$B$15,$P436,1)</f>
        <v>2.5677309505276158E-6</v>
      </c>
      <c r="H436">
        <f ca="1">BINOMDIST(Worksheet!$A$25,Worksheet!$B$15,$P436,1)</f>
        <v>1.7305274828110713E-5</v>
      </c>
      <c r="I436">
        <f ca="1">BINOMDIST(Worksheet!$A$26,Worksheet!$B$15,$P436,1)</f>
        <v>8.7204529546930002E-5</v>
      </c>
      <c r="J436">
        <f ca="1">BINOMDIST(Worksheet!$A$27,Worksheet!$B$15,$P436,1)</f>
        <v>3.5061019563423196E-4</v>
      </c>
      <c r="K436">
        <f ca="1">BINOMDIST(Worksheet!$A$28,Worksheet!$B$15,$P436,1)</f>
        <v>1.1720787136014102E-3</v>
      </c>
      <c r="L436">
        <f ca="1">BINOMDIST(Worksheet!$A$29,Worksheet!$B$15,$P436,1)</f>
        <v>3.3527162887378556E-3</v>
      </c>
      <c r="M436">
        <f ca="1">BINOMDIST(Worksheet!$A$30,Worksheet!$B$15,$P436,1)</f>
        <v>8.3823506957969064E-3</v>
      </c>
      <c r="N436">
        <f ca="1">BINOMDIST(Worksheet!$A$31,Worksheet!$B$15,$P436,1)</f>
        <v>1.8621587596043297E-2</v>
      </c>
      <c r="O436">
        <f ca="1">BINOMDIST(Worksheet!$A$32,Worksheet!$B$15,$P436,1)</f>
        <v>3.7248899923045198E-2</v>
      </c>
      <c r="P436">
        <v>0.115</v>
      </c>
    </row>
    <row r="437" spans="5:16" x14ac:dyDescent="0.2">
      <c r="E437">
        <f ca="1">BINOMDIST(Worksheet!$A$22,Worksheet!$B$15,$P437,1)</f>
        <v>1.4710402679283035E-8</v>
      </c>
      <c r="F437">
        <f ca="1">BINOMDIST(Worksheet!$A$23,Worksheet!$B$15,$P437,1)</f>
        <v>2.9673173440648659E-7</v>
      </c>
      <c r="G437">
        <f ca="1">BINOMDIST(Worksheet!$A$24,Worksheet!$B$15,$P437,1)</f>
        <v>2.9819822473305081E-6</v>
      </c>
      <c r="H437">
        <f ca="1">BINOMDIST(Worksheet!$A$25,Worksheet!$B$15,$P437,1)</f>
        <v>1.9911789657255583E-5</v>
      </c>
      <c r="I437">
        <f ca="1">BINOMDIST(Worksheet!$A$26,Worksheet!$B$15,$P437,1)</f>
        <v>9.9420738452625837E-5</v>
      </c>
      <c r="J437">
        <f ca="1">BINOMDIST(Worksheet!$A$27,Worksheet!$B$15,$P437,1)</f>
        <v>3.9609859930758593E-4</v>
      </c>
      <c r="K437">
        <f ca="1">BINOMDIST(Worksheet!$A$28,Worksheet!$B$15,$P437,1)</f>
        <v>1.3122505488551834E-3</v>
      </c>
      <c r="L437">
        <f ca="1">BINOMDIST(Worksheet!$A$29,Worksheet!$B$15,$P437,1)</f>
        <v>3.7203623001491057E-3</v>
      </c>
      <c r="M437">
        <f ca="1">BINOMDIST(Worksheet!$A$30,Worksheet!$B$15,$P437,1)</f>
        <v>9.2201525131776207E-3</v>
      </c>
      <c r="N437">
        <f ca="1">BINOMDIST(Worksheet!$A$31,Worksheet!$B$15,$P437,1)</f>
        <v>2.0306637073526236E-2</v>
      </c>
      <c r="O437">
        <f ca="1">BINOMDIST(Worksheet!$A$32,Worksheet!$B$15,$P437,1)</f>
        <v>4.0277324836863145E-2</v>
      </c>
      <c r="P437">
        <v>0.114</v>
      </c>
    </row>
    <row r="438" spans="5:16" x14ac:dyDescent="0.2">
      <c r="E438">
        <f ca="1">BINOMDIST(Worksheet!$A$22,Worksheet!$B$15,$P438,1)</f>
        <v>1.7402809048079713E-8</v>
      </c>
      <c r="F438">
        <f ca="1">BINOMDIST(Worksheet!$A$23,Worksheet!$B$15,$P438,1)</f>
        <v>3.4774226332374835E-7</v>
      </c>
      <c r="G438">
        <f ca="1">BINOMDIST(Worksheet!$A$24,Worksheet!$B$15,$P438,1)</f>
        <v>3.4619457770251469E-6</v>
      </c>
      <c r="H438">
        <f ca="1">BINOMDIST(Worksheet!$A$25,Worksheet!$B$15,$P438,1)</f>
        <v>2.2902018894685409E-5</v>
      </c>
      <c r="I438">
        <f ca="1">BINOMDIST(Worksheet!$A$26,Worksheet!$B$15,$P438,1)</f>
        <v>1.1329726305904808E-4</v>
      </c>
      <c r="J438">
        <f ca="1">BINOMDIST(Worksheet!$A$27,Worksheet!$B$15,$P438,1)</f>
        <v>4.472603015332497E-4</v>
      </c>
      <c r="K438">
        <f ca="1">BINOMDIST(Worksheet!$A$28,Worksheet!$B$15,$P438,1)</f>
        <v>1.4683513503968737E-3</v>
      </c>
      <c r="L438">
        <f ca="1">BINOMDIST(Worksheet!$A$29,Worksheet!$B$15,$P438,1)</f>
        <v>4.1257535502015582E-3</v>
      </c>
      <c r="M438">
        <f ca="1">BINOMDIST(Worksheet!$A$30,Worksheet!$B$15,$P438,1)</f>
        <v>1.0134867938316836E-2</v>
      </c>
      <c r="N438">
        <f ca="1">BINOMDIST(Worksheet!$A$31,Worksheet!$B$15,$P438,1)</f>
        <v>2.2128256331883249E-2</v>
      </c>
      <c r="O438">
        <f ca="1">BINOMDIST(Worksheet!$A$32,Worksheet!$B$15,$P438,1)</f>
        <v>4.3518944537770617E-2</v>
      </c>
      <c r="P438">
        <v>0.113</v>
      </c>
    </row>
    <row r="439" spans="5:16" x14ac:dyDescent="0.2">
      <c r="E439">
        <f ca="1">BINOMDIST(Worksheet!$A$22,Worksheet!$B$15,$P439,1)</f>
        <v>2.0584100850770513E-8</v>
      </c>
      <c r="F439">
        <f ca="1">BINOMDIST(Worksheet!$A$23,Worksheet!$B$15,$P439,1)</f>
        <v>4.0741684296525102E-7</v>
      </c>
      <c r="G439">
        <f ca="1">BINOMDIST(Worksheet!$A$24,Worksheet!$B$15,$P439,1)</f>
        <v>4.0178557693670635E-6</v>
      </c>
      <c r="H439">
        <f ca="1">BINOMDIST(Worksheet!$A$25,Worksheet!$B$15,$P439,1)</f>
        <v>2.6331018864066527E-5</v>
      </c>
      <c r="I439">
        <f ca="1">BINOMDIST(Worksheet!$A$26,Worksheet!$B$15,$P439,1)</f>
        <v>1.2905197689462025E-4</v>
      </c>
      <c r="J439">
        <f ca="1">BINOMDIST(Worksheet!$A$27,Worksheet!$B$15,$P439,1)</f>
        <v>5.0477007563700499E-4</v>
      </c>
      <c r="K439">
        <f ca="1">BINOMDIST(Worksheet!$A$28,Worksheet!$B$15,$P439,1)</f>
        <v>1.6420789150734102E-3</v>
      </c>
      <c r="L439">
        <f ca="1">BINOMDIST(Worksheet!$A$29,Worksheet!$B$15,$P439,1)</f>
        <v>4.5724422310987611E-3</v>
      </c>
      <c r="M439">
        <f ca="1">BINOMDIST(Worksheet!$A$30,Worksheet!$B$15,$P439,1)</f>
        <v>1.1132760105263602E-2</v>
      </c>
      <c r="N439">
        <f ca="1">BINOMDIST(Worksheet!$A$31,Worksheet!$B$15,$P439,1)</f>
        <v>2.4095790619379071E-2</v>
      </c>
      <c r="O439">
        <f ca="1">BINOMDIST(Worksheet!$A$32,Worksheet!$B$15,$P439,1)</f>
        <v>4.6985466121781283E-2</v>
      </c>
      <c r="P439">
        <v>0.112</v>
      </c>
    </row>
    <row r="440" spans="5:16" x14ac:dyDescent="0.2">
      <c r="E440">
        <f ca="1">BINOMDIST(Worksheet!$A$22,Worksheet!$B$15,$P440,1)</f>
        <v>2.4342343388380581E-8</v>
      </c>
      <c r="F440">
        <f ca="1">BINOMDIST(Worksheet!$A$23,Worksheet!$B$15,$P440,1)</f>
        <v>4.7720850458121092E-7</v>
      </c>
      <c r="G440">
        <f ca="1">BINOMDIST(Worksheet!$A$24,Worksheet!$B$15,$P440,1)</f>
        <v>4.6615084461311636E-6</v>
      </c>
      <c r="H440">
        <f ca="1">BINOMDIST(Worksheet!$A$25,Worksheet!$B$15,$P440,1)</f>
        <v>3.026151674994464E-5</v>
      </c>
      <c r="I440">
        <f ca="1">BINOMDIST(Worksheet!$A$26,Worksheet!$B$15,$P440,1)</f>
        <v>1.4693017101642412E-4</v>
      </c>
      <c r="J440">
        <f ca="1">BINOMDIST(Worksheet!$A$27,Worksheet!$B$15,$P440,1)</f>
        <v>5.6937831284296784E-4</v>
      </c>
      <c r="K440">
        <f ca="1">BINOMDIST(Worksheet!$A$28,Worksheet!$B$15,$P440,1)</f>
        <v>1.8352971540419676E-3</v>
      </c>
      <c r="L440">
        <f ca="1">BINOMDIST(Worksheet!$A$29,Worksheet!$B$15,$P440,1)</f>
        <v>5.0642751013907951E-3</v>
      </c>
      <c r="M440">
        <f ca="1">BINOMDIST(Worksheet!$A$30,Worksheet!$B$15,$P440,1)</f>
        <v>1.2220511097750781E-2</v>
      </c>
      <c r="N440">
        <f ca="1">BINOMDIST(Worksheet!$A$31,Worksheet!$B$15,$P440,1)</f>
        <v>2.6219042478706989E-2</v>
      </c>
      <c r="O440">
        <f ca="1">BINOMDIST(Worksheet!$A$32,Worksheet!$B$15,$P440,1)</f>
        <v>5.0688916231244524E-2</v>
      </c>
      <c r="P440">
        <v>0.111</v>
      </c>
    </row>
    <row r="441" spans="5:16" x14ac:dyDescent="0.2">
      <c r="E441">
        <f ca="1">BINOMDIST(Worksheet!$A$22,Worksheet!$B$15,$P441,1)</f>
        <v>2.8781338685357926E-8</v>
      </c>
      <c r="F441">
        <f ca="1">BINOMDIST(Worksheet!$A$23,Worksheet!$B$15,$P441,1)</f>
        <v>5.5881071065503985E-7</v>
      </c>
      <c r="G441">
        <f ca="1">BINOMDIST(Worksheet!$A$24,Worksheet!$B$15,$P441,1)</f>
        <v>5.4064950790069654E-6</v>
      </c>
      <c r="H441">
        <f ca="1">BINOMDIST(Worksheet!$A$25,Worksheet!$B$15,$P441,1)</f>
        <v>3.4764943107565155E-5</v>
      </c>
      <c r="I441">
        <f ca="1">BINOMDIST(Worksheet!$A$26,Worksheet!$B$15,$P441,1)</f>
        <v>1.6720782943864537E-4</v>
      </c>
      <c r="J441">
        <f ca="1">BINOMDIST(Worksheet!$A$27,Worksheet!$B$15,$P441,1)</f>
        <v>6.4191884898487676E-4</v>
      </c>
      <c r="K441">
        <f ca="1">BINOMDIST(Worksheet!$A$28,Worksheet!$B$15,$P441,1)</f>
        <v>2.0500504125826871E-3</v>
      </c>
      <c r="L441">
        <f ca="1">BINOMDIST(Worksheet!$A$29,Worksheet!$B$15,$P441,1)</f>
        <v>5.6054130924211489E-3</v>
      </c>
      <c r="M441">
        <f ca="1">BINOMDIST(Worksheet!$A$30,Worksheet!$B$15,$P441,1)</f>
        <v>1.3405239645662263E-2</v>
      </c>
      <c r="N441">
        <f ca="1">BINOMDIST(Worksheet!$A$31,Worksheet!$B$15,$P441,1)</f>
        <v>2.8508274582087847E-2</v>
      </c>
      <c r="O441">
        <f ca="1">BINOMDIST(Worksheet!$A$32,Worksheet!$B$15,$P441,1)</f>
        <v>5.4641615932756925E-2</v>
      </c>
      <c r="P441">
        <v>0.11</v>
      </c>
    </row>
    <row r="442" spans="5:16" x14ac:dyDescent="0.2">
      <c r="E442">
        <f ca="1">BINOMDIST(Worksheet!$A$22,Worksheet!$B$15,$P442,1)</f>
        <v>3.4023414921768305E-8</v>
      </c>
      <c r="F442">
        <f ca="1">BINOMDIST(Worksheet!$A$23,Worksheet!$B$15,$P442,1)</f>
        <v>6.5419657063943276E-7</v>
      </c>
      <c r="G442">
        <f ca="1">BINOMDIST(Worksheet!$A$24,Worksheet!$B$15,$P442,1)</f>
        <v>6.2684689320520957E-6</v>
      </c>
      <c r="H442">
        <f ca="1">BINOMDIST(Worksheet!$A$25,Worksheet!$B$15,$P442,1)</f>
        <v>3.9922597643954496E-5</v>
      </c>
      <c r="I442">
        <f ca="1">BINOMDIST(Worksheet!$A$26,Worksheet!$B$15,$P442,1)</f>
        <v>1.9019527001242105E-4</v>
      </c>
      <c r="J442">
        <f ca="1">BINOMDIST(Worksheet!$A$27,Worksheet!$B$15,$P442,1)</f>
        <v>7.2331751171469168E-4</v>
      </c>
      <c r="K442">
        <f ca="1">BINOMDIST(Worksheet!$A$28,Worksheet!$B$15,$P442,1)</f>
        <v>2.2885787735476204E-3</v>
      </c>
      <c r="L442">
        <f ca="1">BINOMDIST(Worksheet!$A$29,Worksheet!$B$15,$P442,1)</f>
        <v>6.2003516271935842E-3</v>
      </c>
      <c r="M442">
        <f ca="1">BINOMDIST(Worksheet!$A$30,Worksheet!$B$15,$P442,1)</f>
        <v>1.4694518325949505E-2</v>
      </c>
      <c r="N442">
        <f ca="1">BINOMDIST(Worksheet!$A$31,Worksheet!$B$15,$P442,1)</f>
        <v>3.097421005723517E-2</v>
      </c>
      <c r="O442">
        <f ca="1">BINOMDIST(Worksheet!$A$32,Worksheet!$B$15,$P442,1)</f>
        <v>5.885615122664245E-2</v>
      </c>
      <c r="P442">
        <v>0.109</v>
      </c>
    </row>
    <row r="443" spans="5:16" x14ac:dyDescent="0.2">
      <c r="E443">
        <f ca="1">BINOMDIST(Worksheet!$A$22,Worksheet!$B$15,$P443,1)</f>
        <v>4.0212706309322678E-8</v>
      </c>
      <c r="F443">
        <f ca="1">BINOMDIST(Worksheet!$A$23,Worksheet!$B$15,$P443,1)</f>
        <v>7.6566435421248373E-7</v>
      </c>
      <c r="G443">
        <f ca="1">BINOMDIST(Worksheet!$A$24,Worksheet!$B$15,$P443,1)</f>
        <v>7.2654508677125401E-6</v>
      </c>
      <c r="H443">
        <f ca="1">BINOMDIST(Worksheet!$A$25,Worksheet!$B$15,$P443,1)</f>
        <v>4.58269645778497E-5</v>
      </c>
      <c r="I443">
        <f ca="1">BINOMDIST(Worksheet!$A$26,Worksheet!$B$15,$P443,1)</f>
        <v>2.1624118772287313E-4</v>
      </c>
      <c r="J443">
        <f ca="1">BINOMDIST(Worksheet!$A$27,Worksheet!$B$15,$P443,1)</f>
        <v>8.1460144208409706E-4</v>
      </c>
      <c r="K443">
        <f ca="1">BINOMDIST(Worksheet!$A$28,Worksheet!$B$15,$P443,1)</f>
        <v>2.553334378523891E-3</v>
      </c>
      <c r="L443">
        <f ca="1">BINOMDIST(Worksheet!$A$29,Worksheet!$B$15,$P443,1)</f>
        <v>6.8539415967135472E-3</v>
      </c>
      <c r="M443">
        <f ca="1">BINOMDIST(Worksheet!$A$30,Worksheet!$B$15,$P443,1)</f>
        <v>1.609639006898881E-2</v>
      </c>
      <c r="N443">
        <f ca="1">BINOMDIST(Worksheet!$A$31,Worksheet!$B$15,$P443,1)</f>
        <v>3.3628029996219527E-2</v>
      </c>
      <c r="O443">
        <f ca="1">BINOMDIST(Worksheet!$A$32,Worksheet!$B$15,$P443,1)</f>
        <v>6.3345338931166631E-2</v>
      </c>
      <c r="P443">
        <v>0.108</v>
      </c>
    </row>
    <row r="444" spans="5:16" x14ac:dyDescent="0.2">
      <c r="E444">
        <f ca="1">BINOMDIST(Worksheet!$A$22,Worksheet!$B$15,$P444,1)</f>
        <v>4.7519008940435793E-8</v>
      </c>
      <c r="F444">
        <f ca="1">BINOMDIST(Worksheet!$A$23,Worksheet!$B$15,$P444,1)</f>
        <v>8.9589029621632525E-7</v>
      </c>
      <c r="G444">
        <f ca="1">BINOMDIST(Worksheet!$A$24,Worksheet!$B$15,$P444,1)</f>
        <v>8.4181790449850806E-6</v>
      </c>
      <c r="H444">
        <f ca="1">BINOMDIST(Worksheet!$A$25,Worksheet!$B$15,$P444,1)</f>
        <v>5.2583195741283467E-5</v>
      </c>
      <c r="I444">
        <f ca="1">BINOMDIST(Worksheet!$A$26,Worksheet!$B$15,$P444,1)</f>
        <v>2.4573714054239613E-4</v>
      </c>
      <c r="J444">
        <f ca="1">BINOMDIST(Worksheet!$A$27,Worksheet!$B$15,$P444,1)</f>
        <v>9.1690924660942108E-4</v>
      </c>
      <c r="K444">
        <f ca="1">BINOMDIST(Worksheet!$A$28,Worksheet!$B$15,$P444,1)</f>
        <v>2.8469987968671078E-3</v>
      </c>
      <c r="L444">
        <f ca="1">BINOMDIST(Worksheet!$A$29,Worksheet!$B$15,$P444,1)</f>
        <v>7.5714109242855905E-3</v>
      </c>
      <c r="M444">
        <f ca="1">BINOMDIST(Worksheet!$A$30,Worksheet!$B$15,$P444,1)</f>
        <v>1.7619383749593039E-2</v>
      </c>
      <c r="N444">
        <f ca="1">BINOMDIST(Worksheet!$A$31,Worksheet!$B$15,$P444,1)</f>
        <v>3.6481367825170155E-2</v>
      </c>
      <c r="O444">
        <f ca="1">BINOMDIST(Worksheet!$A$32,Worksheet!$B$15,$P444,1)</f>
        <v>6.8122187696631101E-2</v>
      </c>
      <c r="P444">
        <v>0.107</v>
      </c>
    </row>
    <row r="445" spans="5:16" x14ac:dyDescent="0.2">
      <c r="E445">
        <f ca="1">BINOMDIST(Worksheet!$A$22,Worksheet!$B$15,$P445,1)</f>
        <v>5.6142312932998408E-8</v>
      </c>
      <c r="F445">
        <f ca="1">BINOMDIST(Worksheet!$A$23,Worksheet!$B$15,$P445,1)</f>
        <v>1.0479898414159722E-6</v>
      </c>
      <c r="G445">
        <f ca="1">BINOMDIST(Worksheet!$A$24,Worksheet!$B$15,$P445,1)</f>
        <v>9.7505088720875867E-6</v>
      </c>
      <c r="H445">
        <f ca="1">BINOMDIST(Worksheet!$A$25,Worksheet!$B$15,$P445,1)</f>
        <v>6.0310781629703314E-5</v>
      </c>
      <c r="I445">
        <f ca="1">BINOMDIST(Worksheet!$A$26,Worksheet!$B$15,$P445,1)</f>
        <v>2.7912252133799797E-4</v>
      </c>
      <c r="J445">
        <f ca="1">BINOMDIST(Worksheet!$A$27,Worksheet!$B$15,$P445,1)</f>
        <v>1.031502037963612E-3</v>
      </c>
      <c r="K445">
        <f ca="1">BINOMDIST(Worksheet!$A$28,Worksheet!$B$15,$P445,1)</f>
        <v>3.1725014678244167E-3</v>
      </c>
      <c r="L445">
        <f ca="1">BINOMDIST(Worksheet!$A$29,Worksheet!$B$15,$P445,1)</f>
        <v>8.3583866320669949E-3</v>
      </c>
      <c r="M445">
        <f ca="1">BINOMDIST(Worksheet!$A$30,Worksheet!$B$15,$P445,1)</f>
        <v>1.9272528619228499E-2</v>
      </c>
      <c r="N445">
        <f ca="1">BINOMDIST(Worksheet!$A$31,Worksheet!$B$15,$P445,1)</f>
        <v>3.9546300200152762E-2</v>
      </c>
      <c r="O445">
        <f ca="1">BINOMDIST(Worksheet!$A$32,Worksheet!$B$15,$P445,1)</f>
        <v>7.3199853920613067E-2</v>
      </c>
      <c r="P445">
        <v>0.106</v>
      </c>
    </row>
    <row r="446" spans="5:16" x14ac:dyDescent="0.2">
      <c r="E446">
        <f ca="1">BINOMDIST(Worksheet!$A$22,Worksheet!$B$15,$P446,1)</f>
        <v>6.6318128524711473E-8</v>
      </c>
      <c r="F446">
        <f ca="1">BINOMDIST(Worksheet!$A$23,Worksheet!$B$15,$P446,1)</f>
        <v>1.2255886545237193E-6</v>
      </c>
      <c r="G446">
        <f ca="1">BINOMDIST(Worksheet!$A$24,Worksheet!$B$15,$P446,1)</f>
        <v>1.1289870204258129E-5</v>
      </c>
      <c r="H446">
        <f ca="1">BINOMDIST(Worksheet!$A$25,Worksheet!$B$15,$P446,1)</f>
        <v>6.9145432856083119E-5</v>
      </c>
      <c r="I446">
        <f ca="1">BINOMDIST(Worksheet!$A$26,Worksheet!$B$15,$P446,1)</f>
        <v>3.1689006287074177E-4</v>
      </c>
      <c r="J446">
        <f ca="1">BINOMDIST(Worksheet!$A$27,Worksheet!$B$15,$P446,1)</f>
        <v>1.159775424205531E-3</v>
      </c>
      <c r="K446">
        <f ca="1">BINOMDIST(Worksheet!$A$28,Worksheet!$B$15,$P446,1)</f>
        <v>3.5330392348911924E-3</v>
      </c>
      <c r="L446">
        <f ca="1">BINOMDIST(Worksheet!$A$29,Worksheet!$B$15,$P446,1)</f>
        <v>9.2209173063110151E-3</v>
      </c>
      <c r="M446">
        <f ca="1">BINOMDIST(Worksheet!$A$30,Worksheet!$B$15,$P446,1)</f>
        <v>2.1065367312577736E-2</v>
      </c>
      <c r="N446">
        <f ca="1">BINOMDIST(Worksheet!$A$31,Worksheet!$B$15,$P446,1)</f>
        <v>4.2835334083872426E-2</v>
      </c>
      <c r="O446">
        <f ca="1">BINOMDIST(Worksheet!$A$32,Worksheet!$B$15,$P446,1)</f>
        <v>7.8591592356278078E-2</v>
      </c>
      <c r="P446">
        <v>0.105</v>
      </c>
    </row>
    <row r="447" spans="5:16" x14ac:dyDescent="0.2">
      <c r="E447">
        <f ca="1">BINOMDIST(Worksheet!$A$22,Worksheet!$B$15,$P447,1)</f>
        <v>7.8323744071386843E-8</v>
      </c>
      <c r="F447">
        <f ca="1">BINOMDIST(Worksheet!$A$23,Worksheet!$B$15,$P447,1)</f>
        <v>1.4329049250202795E-6</v>
      </c>
      <c r="G447">
        <f ca="1">BINOMDIST(Worksheet!$A$24,Worksheet!$B$15,$P447,1)</f>
        <v>1.3067789711384865E-5</v>
      </c>
      <c r="H447">
        <f ca="1">BINOMDIST(Worksheet!$A$25,Worksheet!$B$15,$P447,1)</f>
        <v>7.9241196933833494E-5</v>
      </c>
      <c r="I447">
        <f ca="1">BINOMDIST(Worksheet!$A$26,Worksheet!$B$15,$P447,1)</f>
        <v>3.5959192663965404E-4</v>
      </c>
      <c r="J447">
        <f ca="1">BINOMDIST(Worksheet!$A$27,Worksheet!$B$15,$P447,1)</f>
        <v>1.3032725078815667E-3</v>
      </c>
      <c r="K447">
        <f ca="1">BINOMDIST(Worksheet!$A$28,Worksheet!$B$15,$P447,1)</f>
        <v>3.9320969841983265E-3</v>
      </c>
      <c r="L447">
        <f ca="1">BINOMDIST(Worksheet!$A$29,Worksheet!$B$15,$P447,1)</f>
        <v>1.0165495838117796E-2</v>
      </c>
      <c r="M447">
        <f ca="1">BINOMDIST(Worksheet!$A$30,Worksheet!$B$15,$P447,1)</f>
        <v>2.3007967137599172E-2</v>
      </c>
      <c r="N447">
        <f ca="1">BINOMDIST(Worksheet!$A$31,Worksheet!$B$15,$P447,1)</f>
        <v>4.6361389649453723E-2</v>
      </c>
      <c r="O447">
        <f ca="1">BINOMDIST(Worksheet!$A$32,Worksheet!$B$15,$P447,1)</f>
        <v>8.4310701231217214E-2</v>
      </c>
      <c r="P447">
        <v>0.104</v>
      </c>
    </row>
    <row r="448" spans="5:16" x14ac:dyDescent="0.2">
      <c r="E448">
        <f ca="1">BINOMDIST(Worksheet!$A$22,Worksheet!$B$15,$P448,1)</f>
        <v>9.2485577678105963E-8</v>
      </c>
      <c r="F448">
        <f ca="1">BINOMDIST(Worksheet!$A$23,Worksheet!$B$15,$P448,1)</f>
        <v>1.6748447311071967E-6</v>
      </c>
      <c r="G448">
        <f ca="1">BINOMDIST(Worksheet!$A$24,Worksheet!$B$15,$P448,1)</f>
        <v>1.5120487392686366E-5</v>
      </c>
      <c r="H448">
        <f ca="1">BINOMDIST(Worksheet!$A$25,Worksheet!$B$15,$P448,1)</f>
        <v>9.0772838020323075E-5</v>
      </c>
      <c r="I448">
        <f ca="1">BINOMDIST(Worksheet!$A$26,Worksheet!$B$15,$P448,1)</f>
        <v>4.0784643019936377E-4</v>
      </c>
      <c r="J448">
        <f ca="1">BINOMDIST(Worksheet!$A$27,Worksheet!$B$15,$P448,1)</f>
        <v>1.4636979573329168E-3</v>
      </c>
      <c r="K448">
        <f ca="1">BINOMDIST(Worksheet!$A$28,Worksheet!$B$15,$P448,1)</f>
        <v>4.3734693899685215E-3</v>
      </c>
      <c r="L448">
        <f ca="1">BINOMDIST(Worksheet!$A$29,Worksheet!$B$15,$P448,1)</f>
        <v>1.1199082295095116E-2</v>
      </c>
      <c r="M448">
        <f ca="1">BINOMDIST(Worksheet!$A$30,Worksheet!$B$15,$P448,1)</f>
        <v>2.5110929333888504E-2</v>
      </c>
      <c r="N448">
        <f ca="1">BINOMDIST(Worksheet!$A$31,Worksheet!$B$15,$P448,1)</f>
        <v>5.0137778651911158E-2</v>
      </c>
      <c r="O448">
        <f ca="1">BINOMDIST(Worksheet!$A$32,Worksheet!$B$15,$P448,1)</f>
        <v>9.0370461725031201E-2</v>
      </c>
      <c r="P448">
        <v>0.10299999999999999</v>
      </c>
    </row>
    <row r="449" spans="5:16" x14ac:dyDescent="0.2">
      <c r="E449">
        <f ca="1">BINOMDIST(Worksheet!$A$22,Worksheet!$B$15,$P449,1)</f>
        <v>1.0918781203009126E-7</v>
      </c>
      <c r="F449">
        <f ca="1">BINOMDIST(Worksheet!$A$23,Worksheet!$B$15,$P449,1)</f>
        <v>1.957112497145152E-6</v>
      </c>
      <c r="G449">
        <f ca="1">BINOMDIST(Worksheet!$A$24,Worksheet!$B$15,$P449,1)</f>
        <v>1.7489557400539894E-5</v>
      </c>
      <c r="H449">
        <f ca="1">BINOMDIST(Worksheet!$A$25,Worksheet!$B$15,$P449,1)</f>
        <v>1.0393851021475701E-4</v>
      </c>
      <c r="I449">
        <f ca="1">BINOMDIST(Worksheet!$A$26,Worksheet!$B$15,$P449,1)</f>
        <v>4.6234547160376631E-4</v>
      </c>
      <c r="J449">
        <f ca="1">BINOMDIST(Worksheet!$A$27,Worksheet!$B$15,$P449,1)</f>
        <v>1.6429332130165611E-3</v>
      </c>
      <c r="K449">
        <f ca="1">BINOMDIST(Worksheet!$A$28,Worksheet!$B$15,$P449,1)</f>
        <v>4.861283759763242E-3</v>
      </c>
      <c r="L449">
        <f ca="1">BINOMDIST(Worksheet!$A$29,Worksheet!$B$15,$P449,1)</f>
        <v>1.2329126756079986E-2</v>
      </c>
      <c r="M449">
        <f ca="1">BINOMDIST(Worksheet!$A$30,Worksheet!$B$15,$P449,1)</f>
        <v>2.7385395959678524E-2</v>
      </c>
      <c r="N449">
        <f ca="1">BINOMDIST(Worksheet!$A$31,Worksheet!$B$15,$P449,1)</f>
        <v>5.4178177905503042E-2</v>
      </c>
      <c r="O449">
        <f ca="1">BINOMDIST(Worksheet!$A$32,Worksheet!$B$15,$P449,1)</f>
        <v>9.6784071690177248E-2</v>
      </c>
      <c r="P449">
        <v>0.10199999999999999</v>
      </c>
    </row>
    <row r="450" spans="5:16" x14ac:dyDescent="0.2">
      <c r="E450">
        <f ca="1">BINOMDIST(Worksheet!$A$22,Worksheet!$B$15,$P450,1)</f>
        <v>1.2888253458038058E-7</v>
      </c>
      <c r="F450">
        <f ca="1">BINOMDIST(Worksheet!$A$23,Worksheet!$B$15,$P450,1)</f>
        <v>2.2863388893080193E-6</v>
      </c>
      <c r="G450">
        <f ca="1">BINOMDIST(Worksheet!$A$24,Worksheet!$B$15,$P450,1)</f>
        <v>2.022274466821166E-5</v>
      </c>
      <c r="H450">
        <f ca="1">BINOMDIST(Worksheet!$A$25,Worksheet!$B$15,$P450,1)</f>
        <v>1.1896275823861673E-4</v>
      </c>
      <c r="I450">
        <f ca="1">BINOMDIST(Worksheet!$A$26,Worksheet!$B$15,$P450,1)</f>
        <v>5.2386271377509994E-4</v>
      </c>
      <c r="J450">
        <f ca="1">BINOMDIST(Worksheet!$A$27,Worksheet!$B$15,$P450,1)</f>
        <v>1.8430528914907386E-3</v>
      </c>
      <c r="K450">
        <f ca="1">BINOMDIST(Worksheet!$A$28,Worksheet!$B$15,$P450,1)</f>
        <v>5.4000239602145488E-3</v>
      </c>
      <c r="L450">
        <f ca="1">BINOMDIST(Worksheet!$A$29,Worksheet!$B$15,$P450,1)</f>
        <v>1.3563591915971441E-2</v>
      </c>
      <c r="M450">
        <f ca="1">BINOMDIST(Worksheet!$A$30,Worksheet!$B$15,$P450,1)</f>
        <v>2.9843054043538854E-2</v>
      </c>
      <c r="N450">
        <f ca="1">BINOMDIST(Worksheet!$A$31,Worksheet!$B$15,$P450,1)</f>
        <v>5.8496597506483818E-2</v>
      </c>
      <c r="O450">
        <f ca="1">BINOMDIST(Worksheet!$A$32,Worksheet!$B$15,$P450,1)</f>
        <v>0.10356457354275095</v>
      </c>
      <c r="P450">
        <v>0.10100000000000001</v>
      </c>
    </row>
    <row r="451" spans="5:16" x14ac:dyDescent="0.2">
      <c r="E451">
        <f ca="1">BINOMDIST(Worksheet!$A$22,Worksheet!$B$15,$P451,1)</f>
        <v>1.5210164339843146E-7</v>
      </c>
      <c r="F451">
        <f ca="1">BINOMDIST(Worksheet!$A$23,Worksheet!$B$15,$P451,1)</f>
        <v>2.6702288507724616E-6</v>
      </c>
      <c r="G451">
        <f ca="1">BINOMDIST(Worksheet!$A$24,Worksheet!$B$15,$P451,1)</f>
        <v>2.3374830333625611E-5</v>
      </c>
      <c r="H451">
        <f ca="1">BINOMDIST(Worksheet!$A$25,Worksheet!$B$15,$P451,1)</f>
        <v>1.3609988285138175E-4</v>
      </c>
      <c r="I451">
        <f ca="1">BINOMDIST(Worksheet!$A$26,Worksheet!$B$15,$P451,1)</f>
        <v>5.9326259584005839E-4</v>
      </c>
      <c r="J451">
        <f ca="1">BINOMDIST(Worksheet!$A$27,Worksheet!$B$15,$P451,1)</f>
        <v>2.0663424488035751E-3</v>
      </c>
      <c r="K451">
        <f ca="1">BINOMDIST(Worksheet!$A$28,Worksheet!$B$15,$P451,1)</f>
        <v>5.9945553900396199E-3</v>
      </c>
      <c r="L451">
        <f ca="1">BINOMDIST(Worksheet!$A$29,Worksheet!$B$15,$P451,1)</f>
        <v>1.491097524078173E-2</v>
      </c>
      <c r="M451">
        <f ca="1">BINOMDIST(Worksheet!$A$30,Worksheet!$B$15,$P451,1)</f>
        <v>3.2496136613078735E-2</v>
      </c>
      <c r="N451">
        <f ca="1">BINOMDIST(Worksheet!$A$31,Worksheet!$B$15,$P451,1)</f>
        <v>6.3107343446336436E-2</v>
      </c>
      <c r="O451">
        <f ca="1">BINOMDIST(Worksheet!$A$32,Worksheet!$B$15,$P451,1)</f>
        <v>0.11072477629807061</v>
      </c>
      <c r="P451">
        <v>0.1</v>
      </c>
    </row>
    <row r="452" spans="5:16" x14ac:dyDescent="0.2">
      <c r="E452">
        <f ca="1">BINOMDIST(Worksheet!$A$22,Worksheet!$B$15,$P452,1)</f>
        <v>1.7947082362725678E-7</v>
      </c>
      <c r="F452">
        <f ca="1">BINOMDIST(Worksheet!$A$23,Worksheet!$B$15,$P452,1)</f>
        <v>3.1177328872517456E-6</v>
      </c>
      <c r="G452">
        <f ca="1">BINOMDIST(Worksheet!$A$24,Worksheet!$B$15,$P452,1)</f>
        <v>2.7008640632105249E-5</v>
      </c>
      <c r="H452">
        <f ca="1">BINOMDIST(Worksheet!$A$25,Worksheet!$B$15,$P452,1)</f>
        <v>1.5563771218624994E-4</v>
      </c>
      <c r="I452">
        <f ca="1">BINOMDIST(Worksheet!$A$26,Worksheet!$B$15,$P452,1)</f>
        <v>6.7151024277548618E-4</v>
      </c>
      <c r="J452">
        <f ca="1">BINOMDIST(Worksheet!$A$27,Worksheet!$B$15,$P452,1)</f>
        <v>2.3153171632213213E-3</v>
      </c>
      <c r="K452">
        <f ca="1">BINOMDIST(Worksheet!$A$28,Worksheet!$B$15,$P452,1)</f>
        <v>6.6501509512116733E-3</v>
      </c>
      <c r="L452">
        <f ca="1">BINOMDIST(Worksheet!$A$29,Worksheet!$B$15,$P452,1)</f>
        <v>1.6380330424270076E-2</v>
      </c>
      <c r="M452">
        <f ca="1">BINOMDIST(Worksheet!$A$30,Worksheet!$B$15,$P452,1)</f>
        <v>3.5357420190121218E-2</v>
      </c>
      <c r="N452">
        <f ca="1">BINOMDIST(Worksheet!$A$31,Worksheet!$B$15,$P452,1)</f>
        <v>6.8024974270959312E-2</v>
      </c>
      <c r="O452">
        <f ca="1">BINOMDIST(Worksheet!$A$32,Worksheet!$B$15,$P452,1)</f>
        <v>0.11827717178043951</v>
      </c>
      <c r="P452">
        <v>9.9000000000000005E-2</v>
      </c>
    </row>
    <row r="453" spans="5:16" x14ac:dyDescent="0.2">
      <c r="E453">
        <f ca="1">BINOMDIST(Worksheet!$A$22,Worksheet!$B$15,$P453,1)</f>
        <v>2.1172595173380299E-7</v>
      </c>
      <c r="F453">
        <f ca="1">BINOMDIST(Worksheet!$A$23,Worksheet!$B$15,$P453,1)</f>
        <v>3.6392451836816895E-6</v>
      </c>
      <c r="G453">
        <f ca="1">BINOMDIST(Worksheet!$A$24,Worksheet!$B$15,$P453,1)</f>
        <v>3.119619581570617E-5</v>
      </c>
      <c r="H453">
        <f ca="1">BINOMDIST(Worksheet!$A$25,Worksheet!$B$15,$P453,1)</f>
        <v>1.779018243467279E-4</v>
      </c>
      <c r="I453">
        <f ca="1">BINOMDIST(Worksheet!$A$26,Worksheet!$B$15,$P453,1)</f>
        <v>7.5968234902019081E-4</v>
      </c>
      <c r="J453">
        <f ca="1">BINOMDIST(Worksheet!$A$27,Worksheet!$B$15,$P453,1)</f>
        <v>2.5927424943882446E-3</v>
      </c>
      <c r="K453">
        <f ca="1">BINOMDIST(Worksheet!$A$28,Worksheet!$B$15,$P453,1)</f>
        <v>7.3725179510464095E-3</v>
      </c>
      <c r="L453">
        <f ca="1">BINOMDIST(Worksheet!$A$29,Worksheet!$B$15,$P453,1)</f>
        <v>1.798128786704379E-2</v>
      </c>
      <c r="M453">
        <f ca="1">BINOMDIST(Worksheet!$A$30,Worksheet!$B$15,$P453,1)</f>
        <v>3.8440218320344791E-2</v>
      </c>
      <c r="N453">
        <f ca="1">BINOMDIST(Worksheet!$A$31,Worksheet!$B$15,$P453,1)</f>
        <v>7.3264251457042559E-2</v>
      </c>
      <c r="O453">
        <f ca="1">BINOMDIST(Worksheet!$A$32,Worksheet!$B$15,$P453,1)</f>
        <v>0.12623384509734115</v>
      </c>
      <c r="P453">
        <v>9.8000000000000004E-2</v>
      </c>
    </row>
    <row r="454" spans="5:16" x14ac:dyDescent="0.2">
      <c r="E454">
        <f ca="1">BINOMDIST(Worksheet!$A$22,Worksheet!$B$15,$P454,1)</f>
        <v>2.4973234584897751E-7</v>
      </c>
      <c r="F454">
        <f ca="1">BINOMDIST(Worksheet!$A$23,Worksheet!$B$15,$P454,1)</f>
        <v>4.2468326720452897E-6</v>
      </c>
      <c r="G454">
        <f ca="1">BINOMDIST(Worksheet!$A$24,Worksheet!$B$15,$P454,1)</f>
        <v>3.6020017767767493E-5</v>
      </c>
      <c r="H454">
        <f ca="1">BINOMDIST(Worksheet!$A$25,Worksheet!$B$15,$P454,1)</f>
        <v>2.0326027110106486E-4</v>
      </c>
      <c r="I454">
        <f ca="1">BINOMDIST(Worksheet!$A$26,Worksheet!$B$15,$P454,1)</f>
        <v>8.5897911598095407E-4</v>
      </c>
      <c r="J454">
        <f ca="1">BINOMDIST(Worksheet!$A$27,Worksheet!$B$15,$P454,1)</f>
        <v>2.9016558719578422E-3</v>
      </c>
      <c r="K454">
        <f ca="1">BINOMDIST(Worksheet!$A$28,Worksheet!$B$15,$P454,1)</f>
        <v>8.1678258474995758E-3</v>
      </c>
      <c r="L454">
        <f ca="1">BINOMDIST(Worksheet!$A$29,Worksheet!$B$15,$P454,1)</f>
        <v>1.9724073866917324E-2</v>
      </c>
      <c r="M454">
        <f ca="1">BINOMDIST(Worksheet!$A$30,Worksheet!$B$15,$P454,1)</f>
        <v>4.1758370685779395E-2</v>
      </c>
      <c r="N454">
        <f ca="1">BINOMDIST(Worksheet!$A$31,Worksheet!$B$15,$P454,1)</f>
        <v>7.8840083198585709E-2</v>
      </c>
      <c r="O454">
        <f ca="1">BINOMDIST(Worksheet!$A$32,Worksheet!$B$15,$P454,1)</f>
        <v>0.13460637953567436</v>
      </c>
      <c r="P454">
        <v>9.7000000000000003E-2</v>
      </c>
    </row>
    <row r="455" spans="5:16" x14ac:dyDescent="0.2">
      <c r="E455">
        <f ca="1">BINOMDIST(Worksheet!$A$22,Worksheet!$B$15,$P455,1)</f>
        <v>2.9450735197523221E-7</v>
      </c>
      <c r="F455">
        <f ca="1">BINOMDIST(Worksheet!$A$23,Worksheet!$B$15,$P455,1)</f>
        <v>4.954499788539085E-6</v>
      </c>
      <c r="G455">
        <f ca="1">BINOMDIST(Worksheet!$A$24,Worksheet!$B$15,$P455,1)</f>
        <v>4.1574617343129333E-5</v>
      </c>
      <c r="H455">
        <f ca="1">BINOMDIST(Worksheet!$A$25,Worksheet!$B$15,$P455,1)</f>
        <v>2.3212885736170546E-4</v>
      </c>
      <c r="I455">
        <f ca="1">BINOMDIST(Worksheet!$A$26,Worksheet!$B$15,$P455,1)</f>
        <v>9.7073732752220288E-4</v>
      </c>
      <c r="J455">
        <f ca="1">BINOMDIST(Worksheet!$A$27,Worksheet!$B$15,$P455,1)</f>
        <v>3.2453899612908195E-3</v>
      </c>
      <c r="K455">
        <f ca="1">BINOMDIST(Worksheet!$A$28,Worksheet!$B$15,$P455,1)</f>
        <v>9.042734727001971E-3</v>
      </c>
      <c r="L455">
        <f ca="1">BINOMDIST(Worksheet!$A$29,Worksheet!$B$15,$P455,1)</f>
        <v>2.1619528175750857E-2</v>
      </c>
      <c r="M455">
        <f ca="1">BINOMDIST(Worksheet!$A$30,Worksheet!$B$15,$P455,1)</f>
        <v>4.5326227331357105E-2</v>
      </c>
      <c r="N455">
        <f ca="1">BINOMDIST(Worksheet!$A$31,Worksheet!$B$15,$P455,1)</f>
        <v>8.4767461324755031E-2</v>
      </c>
      <c r="O455">
        <f ca="1">BINOMDIST(Worksheet!$A$32,Worksheet!$B$15,$P455,1)</f>
        <v>0.14340575611139997</v>
      </c>
      <c r="P455">
        <v>9.6000000000000002E-2</v>
      </c>
    </row>
    <row r="456" spans="5:16" x14ac:dyDescent="0.2">
      <c r="E456">
        <f ca="1">BINOMDIST(Worksheet!$A$22,Worksheet!$B$15,$P456,1)</f>
        <v>3.4724683943604675E-7</v>
      </c>
      <c r="F456">
        <f ca="1">BINOMDIST(Worksheet!$A$23,Worksheet!$B$15,$P456,1)</f>
        <v>5.7784943667479173E-6</v>
      </c>
      <c r="G456">
        <f ca="1">BINOMDIST(Worksheet!$A$24,Worksheet!$B$15,$P456,1)</f>
        <v>4.7968185103767172E-5</v>
      </c>
      <c r="H456">
        <f ca="1">BINOMDIST(Worksheet!$A$25,Worksheet!$B$15,$P456,1)</f>
        <v>2.6497703635329706E-4</v>
      </c>
      <c r="I456">
        <f ca="1">BINOMDIST(Worksheet!$A$26,Worksheet!$B$15,$P456,1)</f>
        <v>1.0964446514999777E-3</v>
      </c>
      <c r="J456">
        <f ca="1">BINOMDIST(Worksheet!$A$27,Worksheet!$B$15,$P456,1)</f>
        <v>3.627597446780755E-3</v>
      </c>
      <c r="K456">
        <f ca="1">BINOMDIST(Worksheet!$A$28,Worksheet!$B$15,$P456,1)</f>
        <v>1.0004424378537864E-2</v>
      </c>
      <c r="L456">
        <f ca="1">BINOMDIST(Worksheet!$A$29,Worksheet!$B$15,$P456,1)</f>
        <v>2.3679119543166146E-2</v>
      </c>
      <c r="M456">
        <f ca="1">BINOMDIST(Worksheet!$A$30,Worksheet!$B$15,$P456,1)</f>
        <v>4.9158627522563281E-2</v>
      </c>
      <c r="N456">
        <f ca="1">BINOMDIST(Worksheet!$A$31,Worksheet!$B$15,$P456,1)</f>
        <v>9.1061391105623543E-2</v>
      </c>
      <c r="O456">
        <f ca="1">BINOMDIST(Worksheet!$A$32,Worksheet!$B$15,$P456,1)</f>
        <v>0.15264224808404342</v>
      </c>
      <c r="P456">
        <v>9.5000000000000001E-2</v>
      </c>
    </row>
    <row r="457" spans="5:16" x14ac:dyDescent="0.2">
      <c r="E457">
        <f ca="1">BINOMDIST(Worksheet!$A$22,Worksheet!$B$15,$P457,1)</f>
        <v>4.0935627668922345E-7</v>
      </c>
      <c r="F457">
        <f ca="1">BINOMDIST(Worksheet!$A$23,Worksheet!$B$15,$P457,1)</f>
        <v>6.7376609249334473E-6</v>
      </c>
      <c r="G457">
        <f ca="1">BINOMDIST(Worksheet!$A$24,Worksheet!$B$15,$P457,1)</f>
        <v>5.5324512065316216E-5</v>
      </c>
      <c r="H457">
        <f ca="1">BINOMDIST(Worksheet!$A$25,Worksheet!$B$15,$P457,1)</f>
        <v>3.0233448596443647E-4</v>
      </c>
      <c r="I457">
        <f ca="1">BINOMDIST(Worksheet!$A$26,Worksheet!$B$15,$P457,1)</f>
        <v>1.2377552590857202E-3</v>
      </c>
      <c r="J457">
        <f ca="1">BINOMDIST(Worksheet!$A$27,Worksheet!$B$15,$P457,1)</f>
        <v>4.0522773645256952E-3</v>
      </c>
      <c r="K457">
        <f ca="1">BINOMDIST(Worksheet!$A$28,Worksheet!$B$15,$P457,1)</f>
        <v>1.1060623799263631E-2</v>
      </c>
      <c r="L457">
        <f ca="1">BINOMDIST(Worksheet!$A$29,Worksheet!$B$15,$P457,1)</f>
        <v>2.5914958831705737E-2</v>
      </c>
      <c r="M457">
        <f ca="1">BINOMDIST(Worksheet!$A$30,Worksheet!$B$15,$P457,1)</f>
        <v>5.3270872740789156E-2</v>
      </c>
      <c r="N457">
        <f ca="1">BINOMDIST(Worksheet!$A$31,Worksheet!$B$15,$P457,1)</f>
        <v>9.773681374532571E-2</v>
      </c>
      <c r="O457">
        <f ca="1">BINOMDIST(Worksheet!$A$32,Worksheet!$B$15,$P457,1)</f>
        <v>0.16232531083359308</v>
      </c>
      <c r="P457">
        <v>9.4E-2</v>
      </c>
    </row>
    <row r="458" spans="5:16" x14ac:dyDescent="0.2">
      <c r="E458">
        <f ca="1">BINOMDIST(Worksheet!$A$22,Worksheet!$B$15,$P458,1)</f>
        <v>4.8248717290043233E-7</v>
      </c>
      <c r="F458">
        <f ca="1">BINOMDIST(Worksheet!$A$23,Worksheet!$B$15,$P458,1)</f>
        <v>7.853848534401293E-6</v>
      </c>
      <c r="G458">
        <f ca="1">BINOMDIST(Worksheet!$A$24,Worksheet!$B$15,$P458,1)</f>
        <v>6.3785170353418912E-5</v>
      </c>
      <c r="H458">
        <f ca="1">BINOMDIST(Worksheet!$A$25,Worksheet!$B$15,$P458,1)</f>
        <v>3.4479843775062183E-4</v>
      </c>
      <c r="I458">
        <f ca="1">BINOMDIST(Worksheet!$A$26,Worksheet!$B$15,$P458,1)</f>
        <v>1.3965068569124813E-3</v>
      </c>
      <c r="J458">
        <f ca="1">BINOMDIST(Worksheet!$A$27,Worksheet!$B$15,$P458,1)</f>
        <v>4.5238030051809866E-3</v>
      </c>
      <c r="K458">
        <f ca="1">BINOMDIST(Worksheet!$A$28,Worksheet!$B$15,$P458,1)</f>
        <v>1.2219640935649888E-2</v>
      </c>
      <c r="L458">
        <f ca="1">BINOMDIST(Worksheet!$A$29,Worksheet!$B$15,$P458,1)</f>
        <v>2.833980925149587E-2</v>
      </c>
      <c r="M458">
        <f ca="1">BINOMDIST(Worksheet!$A$30,Worksheet!$B$15,$P458,1)</f>
        <v>5.7678693316967435E-2</v>
      </c>
      <c r="N458">
        <f ca="1">BINOMDIST(Worksheet!$A$31,Worksheet!$B$15,$P458,1)</f>
        <v>0.10480852141332042</v>
      </c>
      <c r="O458">
        <f ca="1">BINOMDIST(Worksheet!$A$32,Worksheet!$B$15,$P458,1)</f>
        <v>0.17246346758912134</v>
      </c>
      <c r="P458">
        <v>9.2999999999999999E-2</v>
      </c>
    </row>
    <row r="459" spans="5:16" x14ac:dyDescent="0.2">
      <c r="E459">
        <f ca="1">BINOMDIST(Worksheet!$A$22,Worksheet!$B$15,$P459,1)</f>
        <v>5.6857980424605339E-7</v>
      </c>
      <c r="F459">
        <f ca="1">BINOMDIST(Worksheet!$A$23,Worksheet!$B$15,$P459,1)</f>
        <v>9.1523815185686174E-6</v>
      </c>
      <c r="G459">
        <f ca="1">BINOMDIST(Worksheet!$A$24,Worksheet!$B$15,$P459,1)</f>
        <v>7.3511987323753646E-5</v>
      </c>
      <c r="H459">
        <f ca="1">BINOMDIST(Worksheet!$A$25,Worksheet!$B$15,$P459,1)</f>
        <v>3.930418364094081E-4</v>
      </c>
      <c r="I459">
        <f ca="1">BINOMDIST(Worksheet!$A$26,Worksheet!$B$15,$P459,1)</f>
        <v>1.5747392298341076E-3</v>
      </c>
      <c r="J459">
        <f ca="1">BINOMDIST(Worksheet!$A$27,Worksheet!$B$15,$P459,1)</f>
        <v>5.0469513946547057E-3</v>
      </c>
      <c r="K459">
        <f ca="1">BINOMDIST(Worksheet!$A$28,Worksheet!$B$15,$P459,1)</f>
        <v>1.3490392429813161E-2</v>
      </c>
      <c r="L459">
        <f ca="1">BINOMDIST(Worksheet!$A$29,Worksheet!$B$15,$P459,1)</f>
        <v>3.0967093225682363E-2</v>
      </c>
      <c r="M459">
        <f ca="1">BINOMDIST(Worksheet!$A$30,Worksheet!$B$15,$P459,1)</f>
        <v>6.2398208203275345E-2</v>
      </c>
      <c r="N459">
        <f ca="1">BINOMDIST(Worksheet!$A$31,Worksheet!$B$15,$P459,1)</f>
        <v>0.11229106472424136</v>
      </c>
      <c r="O459">
        <f ca="1">BINOMDIST(Worksheet!$A$32,Worksheet!$B$15,$P459,1)</f>
        <v>0.18306419159539167</v>
      </c>
      <c r="P459">
        <v>9.1999999999999998E-2</v>
      </c>
    </row>
    <row r="460" spans="5:16" x14ac:dyDescent="0.2">
      <c r="E460">
        <f ca="1">BINOMDIST(Worksheet!$A$22,Worksheet!$B$15,$P460,1)</f>
        <v>6.6991330001721002E-7</v>
      </c>
      <c r="F460">
        <f ca="1">BINOMDIST(Worksheet!$A$23,Worksheet!$B$15,$P460,1)</f>
        <v>1.0662602447358626E-5</v>
      </c>
      <c r="G460">
        <f ca="1">BINOMDIST(Worksheet!$A$24,Worksheet!$B$15,$P460,1)</f>
        <v>8.4689850762206874E-5</v>
      </c>
      <c r="H460">
        <f ca="1">BINOMDIST(Worksheet!$A$25,Worksheet!$B$15,$P460,1)</f>
        <v>4.4782241427805756E-4</v>
      </c>
      <c r="I460">
        <f ca="1">BINOMDIST(Worksheet!$A$26,Worksheet!$B$15,$P460,1)</f>
        <v>1.7747143941657338E-3</v>
      </c>
      <c r="J460">
        <f ca="1">BINOMDIST(Worksheet!$A$27,Worksheet!$B$15,$P460,1)</f>
        <v>5.6269343445767093E-3</v>
      </c>
      <c r="K460">
        <f ca="1">BINOMDIST(Worksheet!$A$28,Worksheet!$B$15,$P460,1)</f>
        <v>1.4882433103319905E-2</v>
      </c>
      <c r="L460">
        <f ca="1">BINOMDIST(Worksheet!$A$29,Worksheet!$B$15,$P460,1)</f>
        <v>3.3810895361299741E-2</v>
      </c>
      <c r="M460">
        <f ca="1">BINOMDIST(Worksheet!$A$30,Worksheet!$B$15,$P460,1)</f>
        <v>6.7445877387924402E-2</v>
      </c>
      <c r="N460">
        <f ca="1">BINOMDIST(Worksheet!$A$31,Worksheet!$B$15,$P460,1)</f>
        <v>0.12019865264567059</v>
      </c>
      <c r="O460">
        <f ca="1">BINOMDIST(Worksheet!$A$32,Worksheet!$B$15,$P460,1)</f>
        <v>0.19413378540515211</v>
      </c>
      <c r="P460">
        <v>9.0999999999999998E-2</v>
      </c>
    </row>
    <row r="461" spans="5:16" x14ac:dyDescent="0.2">
      <c r="E461">
        <f ca="1">BINOMDIST(Worksheet!$A$22,Worksheet!$B$15,$P461,1)</f>
        <v>7.8916434599869996E-7</v>
      </c>
      <c r="F461">
        <f ca="1">BINOMDIST(Worksheet!$A$23,Worksheet!$B$15,$P461,1)</f>
        <v>1.2418498279891628E-5</v>
      </c>
      <c r="G461">
        <f ca="1">BINOMDIST(Worksheet!$A$24,Worksheet!$B$15,$P461,1)</f>
        <v>9.7529887290580372E-5</v>
      </c>
      <c r="H461">
        <f ca="1">BINOMDIST(Worksheet!$A$25,Worksheet!$B$15,$P461,1)</f>
        <v>5.0999277249622629E-4</v>
      </c>
      <c r="I461">
        <f ca="1">BINOMDIST(Worksheet!$A$26,Worksheet!$B$15,$P461,1)</f>
        <v>1.9989384624968234E-3</v>
      </c>
      <c r="J461">
        <f ca="1">BINOMDIST(Worksheet!$A$27,Worksheet!$B$15,$P461,1)</f>
        <v>6.2694310459051406E-3</v>
      </c>
      <c r="K461">
        <f ca="1">BINOMDIST(Worksheet!$A$28,Worksheet!$B$15,$P461,1)</f>
        <v>1.6405984870258947E-2</v>
      </c>
      <c r="L461">
        <f ca="1">BINOMDIST(Worksheet!$A$29,Worksheet!$B$15,$P461,1)</f>
        <v>3.6885960964361482E-2</v>
      </c>
      <c r="M461">
        <f ca="1">BINOMDIST(Worksheet!$A$30,Worksheet!$B$15,$P461,1)</f>
        <v>7.2838446470217408E-2</v>
      </c>
      <c r="N461">
        <f ca="1">BINOMDIST(Worksheet!$A$31,Worksheet!$B$15,$P461,1)</f>
        <v>0.12854504489137861</v>
      </c>
      <c r="O461">
        <f ca="1">BINOMDIST(Worksheet!$A$32,Worksheet!$B$15,$P461,1)</f>
        <v>0.20567725808990975</v>
      </c>
      <c r="P461">
        <v>0.09</v>
      </c>
    </row>
    <row r="462" spans="5:16" x14ac:dyDescent="0.2">
      <c r="E462">
        <f ca="1">BINOMDIST(Worksheet!$A$22,Worksheet!$B$15,$P462,1)</f>
        <v>9.2947597569155152E-7</v>
      </c>
      <c r="F462">
        <f ca="1">BINOMDIST(Worksheet!$A$23,Worksheet!$B$15,$P462,1)</f>
        <v>1.4459422093853637E-5</v>
      </c>
      <c r="G462">
        <f ca="1">BINOMDIST(Worksheet!$A$24,Worksheet!$B$15,$P462,1)</f>
        <v>1.1227306109957864E-4</v>
      </c>
      <c r="H462">
        <f ca="1">BINOMDIST(Worksheet!$A$25,Worksheet!$B$15,$P462,1)</f>
        <v>5.80511567909641E-4</v>
      </c>
      <c r="I462">
        <f ca="1">BINOMDIST(Worksheet!$A$26,Worksheet!$B$15,$P462,1)</f>
        <v>2.2501853213371783E-3</v>
      </c>
      <c r="J462">
        <f ca="1">BINOMDIST(Worksheet!$A$27,Worksheet!$B$15,$P462,1)</f>
        <v>6.9806221573377007E-3</v>
      </c>
      <c r="K462">
        <f ca="1">BINOMDIST(Worksheet!$A$28,Worksheet!$B$15,$P462,1)</f>
        <v>1.8071964727806533E-2</v>
      </c>
      <c r="L462">
        <f ca="1">BINOMDIST(Worksheet!$A$29,Worksheet!$B$15,$P462,1)</f>
        <v>4.0207689503462318E-2</v>
      </c>
      <c r="M462">
        <f ca="1">BINOMDIST(Worksheet!$A$30,Worksheet!$B$15,$P462,1)</f>
        <v>7.8592882933036567E-2</v>
      </c>
      <c r="N462">
        <f ca="1">BINOMDIST(Worksheet!$A$31,Worksheet!$B$15,$P462,1)</f>
        <v>0.13734343694544399</v>
      </c>
      <c r="O462">
        <f ca="1">BINOMDIST(Worksheet!$A$32,Worksheet!$B$15,$P462,1)</f>
        <v>0.21769820126976852</v>
      </c>
      <c r="P462">
        <v>8.8999999999999996E-2</v>
      </c>
    </row>
    <row r="463" spans="5:16" x14ac:dyDescent="0.2">
      <c r="E463">
        <f ca="1">BINOMDIST(Worksheet!$A$22,Worksheet!$B$15,$P463,1)</f>
        <v>1.0945381688580533E-6</v>
      </c>
      <c r="F463">
        <f ca="1">BINOMDIST(Worksheet!$A$23,Worksheet!$B$15,$P463,1)</f>
        <v>1.6830924649194454E-5</v>
      </c>
      <c r="G463">
        <f ca="1">BINOMDIST(Worksheet!$A$24,Worksheet!$B$15,$P463,1)</f>
        <v>1.2919424565791226E-4</v>
      </c>
      <c r="H463">
        <f ca="1">BINOMDIST(Worksheet!$A$25,Worksheet!$B$15,$P463,1)</f>
        <v>6.6045591253246388E-4</v>
      </c>
      <c r="I463">
        <f ca="1">BINOMDIST(Worksheet!$A$26,Worksheet!$B$15,$P463,1)</f>
        <v>2.5315222217441526E-3</v>
      </c>
      <c r="J463">
        <f ca="1">BINOMDIST(Worksheet!$A$27,Worksheet!$B$15,$P463,1)</f>
        <v>7.7672253150645821E-3</v>
      </c>
      <c r="K463">
        <f ca="1">BINOMDIST(Worksheet!$A$28,Worksheet!$B$15,$P463,1)</f>
        <v>1.9892011425911862E-2</v>
      </c>
      <c r="L463">
        <f ca="1">BINOMDIST(Worksheet!$A$29,Worksheet!$B$15,$P463,1)</f>
        <v>4.3792122393785028E-2</v>
      </c>
      <c r="M463">
        <f ca="1">BINOMDIST(Worksheet!$A$30,Worksheet!$B$15,$P463,1)</f>
        <v>8.4726303678673023E-2</v>
      </c>
      <c r="N463">
        <f ca="1">BINOMDIST(Worksheet!$A$31,Worksheet!$B$15,$P463,1)</f>
        <v>0.1466063379602143</v>
      </c>
      <c r="O463">
        <f ca="1">BINOMDIST(Worksheet!$A$32,Worksheet!$B$15,$P463,1)</f>
        <v>0.23019866497212094</v>
      </c>
      <c r="P463">
        <v>8.7999999999999995E-2</v>
      </c>
    </row>
    <row r="464" spans="5:16" x14ac:dyDescent="0.2">
      <c r="E464">
        <f ca="1">BINOMDIST(Worksheet!$A$22,Worksheet!$B$15,$P464,1)</f>
        <v>1.2886822675635397E-6</v>
      </c>
      <c r="F464">
        <f ca="1">BINOMDIST(Worksheet!$A$23,Worksheet!$B$15,$P464,1)</f>
        <v>1.9585712097165041E-5</v>
      </c>
      <c r="G464">
        <f ca="1">BINOMDIST(Worksheet!$A$24,Worksheet!$B$15,$P464,1)</f>
        <v>1.4860682714971086E-4</v>
      </c>
      <c r="H464">
        <f ca="1">BINOMDIST(Worksheet!$A$25,Worksheet!$B$15,$P464,1)</f>
        <v>7.5103510039067727E-4</v>
      </c>
      <c r="I464">
        <f ca="1">BINOMDIST(Worksheet!$A$26,Worksheet!$B$15,$P464,1)</f>
        <v>2.8463373804308643E-3</v>
      </c>
      <c r="J464">
        <f ca="1">BINOMDIST(Worksheet!$A$27,Worksheet!$B$15,$P464,1)</f>
        <v>8.6365319615276763E-3</v>
      </c>
      <c r="K464">
        <f ca="1">BINOMDIST(Worksheet!$A$28,Worksheet!$B$15,$P464,1)</f>
        <v>2.1878510368241979E-2</v>
      </c>
      <c r="L464">
        <f ca="1">BINOMDIST(Worksheet!$A$29,Worksheet!$B$15,$P464,1)</f>
        <v>4.7655924443962876E-2</v>
      </c>
      <c r="M464">
        <f ca="1">BINOMDIST(Worksheet!$A$30,Worksheet!$B$15,$P464,1)</f>
        <v>9.1255893432387894E-2</v>
      </c>
      <c r="N464">
        <f ca="1">BINOMDIST(Worksheet!$A$31,Worksheet!$B$15,$P464,1)</f>
        <v>0.15634544187841559</v>
      </c>
      <c r="O464">
        <f ca="1">BINOMDIST(Worksheet!$A$32,Worksheet!$B$15,$P464,1)</f>
        <v>0.24317903443839539</v>
      </c>
      <c r="P464">
        <v>8.6999999999999994E-2</v>
      </c>
    </row>
    <row r="465" spans="5:16" x14ac:dyDescent="0.2">
      <c r="E465">
        <f ca="1">BINOMDIST(Worksheet!$A$22,Worksheet!$B$15,$P465,1)</f>
        <v>1.5169915593259696E-6</v>
      </c>
      <c r="F465">
        <f ca="1">BINOMDIST(Worksheet!$A$23,Worksheet!$B$15,$P465,1)</f>
        <v>2.278474849718481E-5</v>
      </c>
      <c r="G465">
        <f ca="1">BINOMDIST(Worksheet!$A$24,Worksheet!$B$15,$P465,1)</f>
        <v>1.7086790511921303E-4</v>
      </c>
      <c r="H465">
        <f ca="1">BINOMDIST(Worksheet!$A$25,Worksheet!$B$15,$P465,1)</f>
        <v>8.5360578477482174E-4</v>
      </c>
      <c r="I465">
        <f ca="1">BINOMDIST(Worksheet!$A$26,Worksheet!$B$15,$P465,1)</f>
        <v>3.198369684379808E-3</v>
      </c>
      <c r="J465">
        <f ca="1">BINOMDIST(Worksheet!$A$27,Worksheet!$B$15,$P465,1)</f>
        <v>9.596445357919009E-3</v>
      </c>
      <c r="K465">
        <f ca="1">BINOMDIST(Worksheet!$A$28,Worksheet!$B$15,$P465,1)</f>
        <v>2.4044616244335733E-2</v>
      </c>
      <c r="L465">
        <f ca="1">BINOMDIST(Worksheet!$A$29,Worksheet!$B$15,$P465,1)</f>
        <v>5.181635828265295E-2</v>
      </c>
      <c r="M465">
        <f ca="1">BINOMDIST(Worksheet!$A$30,Worksheet!$B$15,$P465,1)</f>
        <v>9.8198813667216445E-2</v>
      </c>
      <c r="N465">
        <f ca="1">BINOMDIST(Worksheet!$A$31,Worksheet!$B$15,$P465,1)</f>
        <v>0.16657149224650403</v>
      </c>
      <c r="O465">
        <f ca="1">BINOMDIST(Worksheet!$A$32,Worksheet!$B$15,$P465,1)</f>
        <v>0.2566379091058717</v>
      </c>
      <c r="P465">
        <v>8.5999999999999993E-2</v>
      </c>
    </row>
    <row r="466" spans="5:16" x14ac:dyDescent="0.2">
      <c r="E466">
        <f ca="1">BINOMDIST(Worksheet!$A$22,Worksheet!$B$15,$P466,1)</f>
        <v>1.7854307732685662E-6</v>
      </c>
      <c r="F466">
        <f ca="1">BINOMDIST(Worksheet!$A$23,Worksheet!$B$15,$P466,1)</f>
        <v>2.6498524481953158E-5</v>
      </c>
      <c r="G466">
        <f ca="1">BINOMDIST(Worksheet!$A$24,Worksheet!$B$15,$P466,1)</f>
        <v>1.9638416320067015E-4</v>
      </c>
      <c r="H466">
        <f ca="1">BINOMDIST(Worksheet!$A$25,Worksheet!$B$15,$P466,1)</f>
        <v>9.6968873725909277E-4</v>
      </c>
      <c r="I466">
        <f ca="1">BINOMDIST(Worksheet!$A$26,Worksheet!$B$15,$P466,1)</f>
        <v>3.5917405853642895E-3</v>
      </c>
      <c r="J466">
        <f ca="1">BINOMDIST(Worksheet!$A$27,Worksheet!$B$15,$P466,1)</f>
        <v>1.0655519607855345E-2</v>
      </c>
      <c r="K466">
        <f ca="1">BINOMDIST(Worksheet!$A$28,Worksheet!$B$15,$P466,1)</f>
        <v>2.6404272838327199E-2</v>
      </c>
      <c r="L466">
        <f ca="1">BINOMDIST(Worksheet!$A$29,Worksheet!$B$15,$P466,1)</f>
        <v>5.6291251061025935E-2</v>
      </c>
      <c r="M466">
        <f ca="1">BINOMDIST(Worksheet!$A$30,Worksheet!$B$15,$P466,1)</f>
        <v>0.10557210176430114</v>
      </c>
      <c r="N466">
        <f ca="1">BINOMDIST(Worksheet!$A$31,Worksheet!$B$15,$P466,1)</f>
        <v>0.17729414131241916</v>
      </c>
      <c r="O466">
        <f ca="1">BINOMDIST(Worksheet!$A$32,Worksheet!$B$15,$P466,1)</f>
        <v>0.27057198509631036</v>
      </c>
      <c r="P466">
        <v>8.5000000000000006E-2</v>
      </c>
    </row>
    <row r="467" spans="5:16" x14ac:dyDescent="0.2">
      <c r="E467">
        <f ca="1">BINOMDIST(Worksheet!$A$22,Worksheet!$B$15,$P467,1)</f>
        <v>2.1009976977431087E-6</v>
      </c>
      <c r="F467">
        <f ca="1">BINOMDIST(Worksheet!$A$23,Worksheet!$B$15,$P467,1)</f>
        <v>3.0808516458608566E-5</v>
      </c>
      <c r="G467">
        <f ca="1">BINOMDIST(Worksheet!$A$24,Worksheet!$B$15,$P467,1)</f>
        <v>2.2561849093190515E-4</v>
      </c>
      <c r="H467">
        <f ca="1">BINOMDIST(Worksheet!$A$25,Worksheet!$B$15,$P467,1)</f>
        <v>1.1009873281940111E-3</v>
      </c>
      <c r="I467">
        <f ca="1">BINOMDIST(Worksheet!$A$26,Worksheet!$B$15,$P467,1)</f>
        <v>4.0309882616499249E-3</v>
      </c>
      <c r="J467">
        <f ca="1">BINOMDIST(Worksheet!$A$27,Worksheet!$B$15,$P467,1)</f>
        <v>1.1822999477696421E-2</v>
      </c>
      <c r="K467">
        <f ca="1">BINOMDIST(Worksheet!$A$28,Worksheet!$B$15,$P467,1)</f>
        <v>2.897222940296906E-2</v>
      </c>
      <c r="L467">
        <f ca="1">BINOMDIST(Worksheet!$A$29,Worksheet!$B$15,$P467,1)</f>
        <v>6.1098952712759357E-2</v>
      </c>
      <c r="M467">
        <f ca="1">BINOMDIST(Worksheet!$A$30,Worksheet!$B$15,$P467,1)</f>
        <v>0.1133925601962717</v>
      </c>
      <c r="N467">
        <f ca="1">BINOMDIST(Worksheet!$A$31,Worksheet!$B$15,$P467,1)</f>
        <v>0.18852180413546626</v>
      </c>
      <c r="O467">
        <f ca="1">BINOMDIST(Worksheet!$A$32,Worksheet!$B$15,$P467,1)</f>
        <v>0.28497594264255449</v>
      </c>
      <c r="P467">
        <v>8.4000000000000005E-2</v>
      </c>
    </row>
    <row r="468" spans="5:16" x14ac:dyDescent="0.2">
      <c r="E468">
        <f ca="1">BINOMDIST(Worksheet!$A$22,Worksheet!$B$15,$P468,1)</f>
        <v>2.4719006677501438E-6</v>
      </c>
      <c r="F468">
        <f ca="1">BINOMDIST(Worksheet!$A$23,Worksheet!$B$15,$P468,1)</f>
        <v>3.5808864198901757E-5</v>
      </c>
      <c r="G468">
        <f ca="1">BINOMDIST(Worksheet!$A$24,Worksheet!$B$15,$P468,1)</f>
        <v>2.5909744654168602E-4</v>
      </c>
      <c r="H468">
        <f ca="1">BINOMDIST(Worksheet!$A$25,Worksheet!$B$15,$P468,1)</f>
        <v>1.2494078766268595E-3</v>
      </c>
      <c r="I468">
        <f ca="1">BINOMDIST(Worksheet!$A$26,Worksheet!$B$15,$P468,1)</f>
        <v>4.5211041121154425E-3</v>
      </c>
      <c r="J468">
        <f ca="1">BINOMDIST(Worksheet!$A$27,Worksheet!$B$15,$P468,1)</f>
        <v>1.3108860752051133E-2</v>
      </c>
      <c r="K468">
        <f ca="1">BINOMDIST(Worksheet!$A$28,Worksheet!$B$15,$P468,1)</f>
        <v>3.176405292953411E-2</v>
      </c>
      <c r="L468">
        <f ca="1">BINOMDIST(Worksheet!$A$29,Worksheet!$B$15,$P468,1)</f>
        <v>6.6258285045836557E-2</v>
      </c>
      <c r="M468">
        <f ca="1">BINOMDIST(Worksheet!$A$30,Worksheet!$B$15,$P468,1)</f>
        <v>0.12167663560782421</v>
      </c>
      <c r="N468">
        <f ca="1">BINOMDIST(Worksheet!$A$31,Worksheet!$B$15,$P468,1)</f>
        <v>0.20026150857849423</v>
      </c>
      <c r="O468">
        <f ca="1">BINOMDIST(Worksheet!$A$32,Worksheet!$B$15,$P468,1)</f>
        <v>0.29984233997644238</v>
      </c>
      <c r="P468">
        <v>8.3000000000000004E-2</v>
      </c>
    </row>
    <row r="469" spans="5:16" x14ac:dyDescent="0.2">
      <c r="E469">
        <f ca="1">BINOMDIST(Worksheet!$A$22,Worksheet!$B$15,$P469,1)</f>
        <v>2.9077663004325307E-6</v>
      </c>
      <c r="F469">
        <f ca="1">BINOMDIST(Worksheet!$A$23,Worksheet!$B$15,$P469,1)</f>
        <v>4.1608298608367869E-5</v>
      </c>
      <c r="G469">
        <f ca="1">BINOMDIST(Worksheet!$A$24,Worksheet!$B$15,$P469,1)</f>
        <v>2.9741966031267248E-4</v>
      </c>
      <c r="H469">
        <f ca="1">BINOMDIST(Worksheet!$A$25,Worksheet!$B$15,$P469,1)</f>
        <v>1.4170820255936056E-3</v>
      </c>
      <c r="I469">
        <f ca="1">BINOMDIST(Worksheet!$A$26,Worksheet!$B$15,$P469,1)</f>
        <v>5.0675716326587872E-3</v>
      </c>
      <c r="J469">
        <f ca="1">BINOMDIST(Worksheet!$A$27,Worksheet!$B$15,$P469,1)</f>
        <v>1.4523850810873382E-2</v>
      </c>
      <c r="K469">
        <f ca="1">BINOMDIST(Worksheet!$A$28,Worksheet!$B$15,$P469,1)</f>
        <v>3.4796135585085007E-2</v>
      </c>
      <c r="L469">
        <f ca="1">BINOMDIST(Worksheet!$A$29,Worksheet!$B$15,$P469,1)</f>
        <v>7.1788480941824273E-2</v>
      </c>
      <c r="M469">
        <f ca="1">BINOMDIST(Worksheet!$A$30,Worksheet!$B$15,$P469,1)</f>
        <v>0.1304402877683318</v>
      </c>
      <c r="N469">
        <f ca="1">BINOMDIST(Worksheet!$A$31,Worksheet!$B$15,$P469,1)</f>
        <v>0.21251874220165062</v>
      </c>
      <c r="O469">
        <f ca="1">BINOMDIST(Worksheet!$A$32,Worksheet!$B$15,$P469,1)</f>
        <v>0.31516151528383968</v>
      </c>
      <c r="P469">
        <v>8.2000000000000003E-2</v>
      </c>
    </row>
    <row r="470" spans="5:16" x14ac:dyDescent="0.2">
      <c r="E470">
        <f ca="1">BINOMDIST(Worksheet!$A$22,Worksheet!$B$15,$P470,1)</f>
        <v>3.4198825918719426E-6</v>
      </c>
      <c r="F470">
        <f ca="1">BINOMDIST(Worksheet!$A$23,Worksheet!$B$15,$P470,1)</f>
        <v>4.8332355933876805E-5</v>
      </c>
      <c r="G470">
        <f ca="1">BINOMDIST(Worksheet!$A$24,Worksheet!$B$15,$P470,1)</f>
        <v>3.4126528869990171E-4</v>
      </c>
      <c r="H470">
        <f ca="1">BINOMDIST(Worksheet!$A$25,Worksheet!$B$15,$P470,1)</f>
        <v>1.60639130627156E-3</v>
      </c>
      <c r="I470">
        <f ca="1">BINOMDIST(Worksheet!$A$26,Worksheet!$B$15,$P470,1)</f>
        <v>5.6764077055649377E-3</v>
      </c>
      <c r="J470">
        <f ca="1">BINOMDIST(Worksheet!$A$27,Worksheet!$B$15,$P470,1)</f>
        <v>1.6079529056968772E-2</v>
      </c>
      <c r="K470">
        <f ca="1">BINOMDIST(Worksheet!$A$28,Worksheet!$B$15,$P470,1)</f>
        <v>3.8085696529361682E-2</v>
      </c>
      <c r="L470">
        <f ca="1">BINOMDIST(Worksheet!$A$29,Worksheet!$B$15,$P470,1)</f>
        <v>7.7709112949807355E-2</v>
      </c>
      <c r="M470">
        <f ca="1">BINOMDIST(Worksheet!$A$30,Worksheet!$B$15,$P470,1)</f>
        <v>0.13969884848679945</v>
      </c>
      <c r="N470">
        <f ca="1">BINOMDIST(Worksheet!$A$31,Worksheet!$B$15,$P470,1)</f>
        <v>0.22529729723156861</v>
      </c>
      <c r="O470">
        <f ca="1">BINOMDIST(Worksheet!$A$32,Worksheet!$B$15,$P470,1)</f>
        <v>0.33092149840302526</v>
      </c>
      <c r="P470">
        <v>8.1000000000000003E-2</v>
      </c>
    </row>
    <row r="471" spans="5:16" x14ac:dyDescent="0.2">
      <c r="E471">
        <f ca="1">BINOMDIST(Worksheet!$A$22,Worksheet!$B$15,$P471,1)</f>
        <v>4.0214833457308967E-6</v>
      </c>
      <c r="F471">
        <f ca="1">BINOMDIST(Worksheet!$A$23,Worksheet!$B$15,$P471,1)</f>
        <v>5.6125919738244294E-5</v>
      </c>
      <c r="G471">
        <f ca="1">BINOMDIST(Worksheet!$A$24,Worksheet!$B$15,$P471,1)</f>
        <v>3.9140664087267818E-4</v>
      </c>
      <c r="H471">
        <f ca="1">BINOMDIST(Worksheet!$A$25,Worksheet!$B$15,$P471,1)</f>
        <v>1.8199940613585275E-3</v>
      </c>
      <c r="I471">
        <f ca="1">BINOMDIST(Worksheet!$A$26,Worksheet!$B$15,$P471,1)</f>
        <v>6.3542063089875173E-3</v>
      </c>
      <c r="J471">
        <f ca="1">BINOMDIST(Worksheet!$A$27,Worksheet!$B$15,$P471,1)</f>
        <v>1.7788306759530192E-2</v>
      </c>
      <c r="K471">
        <f ca="1">BINOMDIST(Worksheet!$A$28,Worksheet!$B$15,$P471,1)</f>
        <v>4.1650777265010583E-2</v>
      </c>
      <c r="L471">
        <f ca="1">BINOMDIST(Worksheet!$A$29,Worksheet!$B$15,$P471,1)</f>
        <v>8.4040010585304956E-2</v>
      </c>
      <c r="M471">
        <f ca="1">BINOMDIST(Worksheet!$A$30,Worksheet!$B$15,$P471,1)</f>
        <v>0.14946687071010714</v>
      </c>
      <c r="N471">
        <f ca="1">BINOMDIST(Worksheet!$A$31,Worksheet!$B$15,$P471,1)</f>
        <v>0.23859911493809854</v>
      </c>
      <c r="O471">
        <f ca="1">BINOMDIST(Worksheet!$A$32,Worksheet!$B$15,$P471,1)</f>
        <v>0.3471079339982614</v>
      </c>
      <c r="P471">
        <v>0.08</v>
      </c>
    </row>
    <row r="472" spans="5:16" x14ac:dyDescent="0.2">
      <c r="E472">
        <f ca="1">BINOMDIST(Worksheet!$A$22,Worksheet!$B$15,$P472,1)</f>
        <v>4.7280809041610013E-6</v>
      </c>
      <c r="F472">
        <f ca="1">BINOMDIST(Worksheet!$A$23,Worksheet!$B$15,$P472,1)</f>
        <v>6.5156137715104698E-5</v>
      </c>
      <c r="G472">
        <f ca="1">BINOMDIST(Worksheet!$A$24,Worksheet!$B$15,$P472,1)</f>
        <v>4.4872011178326629E-4</v>
      </c>
      <c r="H472">
        <f ca="1">BINOMDIST(Worksheet!$A$25,Worksheet!$B$15,$P472,1)</f>
        <v>2.0608549039850591E-3</v>
      </c>
      <c r="I472">
        <f ca="1">BINOMDIST(Worksheet!$A$26,Worksheet!$B$15,$P472,1)</f>
        <v>7.1081846252813415E-3</v>
      </c>
      <c r="J472">
        <f ca="1">BINOMDIST(Worksheet!$A$27,Worksheet!$B$15,$P472,1)</f>
        <v>1.9663485810395117E-2</v>
      </c>
      <c r="K472">
        <f ca="1">BINOMDIST(Worksheet!$A$28,Worksheet!$B$15,$P472,1)</f>
        <v>4.5510229618186272E-2</v>
      </c>
      <c r="L472">
        <f ca="1">BINOMDIST(Worksheet!$A$29,Worksheet!$B$15,$P472,1)</f>
        <v>9.0801165680946927E-2</v>
      </c>
      <c r="M472">
        <f ca="1">BINOMDIST(Worksheet!$A$30,Worksheet!$B$15,$P472,1)</f>
        <v>0.15975796817172405</v>
      </c>
      <c r="N472">
        <f ca="1">BINOMDIST(Worksheet!$A$31,Worksheet!$B$15,$P472,1)</f>
        <v>0.25242413091086868</v>
      </c>
      <c r="O472">
        <f ca="1">BINOMDIST(Worksheet!$A$32,Worksheet!$B$15,$P472,1)</f>
        <v>0.36370401797872337</v>
      </c>
      <c r="P472">
        <v>7.9000000000000001E-2</v>
      </c>
    </row>
    <row r="473" spans="5:16" x14ac:dyDescent="0.2">
      <c r="E473">
        <f ca="1">BINOMDIST(Worksheet!$A$22,Worksheet!$B$15,$P473,1)</f>
        <v>5.5578553173501035E-6</v>
      </c>
      <c r="F473">
        <f ca="1">BINOMDIST(Worksheet!$A$23,Worksheet!$B$15,$P473,1)</f>
        <v>7.5615766920650399E-5</v>
      </c>
      <c r="G473">
        <f ca="1">BINOMDIST(Worksheet!$A$24,Worksheet!$B$15,$P473,1)</f>
        <v>5.1419956927883849E-4</v>
      </c>
      <c r="H473">
        <f ca="1">BINOMDIST(Worksheet!$A$25,Worksheet!$B$15,$P473,1)</f>
        <v>2.3322768931541061E-3</v>
      </c>
      <c r="I473">
        <f ca="1">BINOMDIST(Worksheet!$A$26,Worksheet!$B$15,$P473,1)</f>
        <v>7.9462314930162248E-3</v>
      </c>
      <c r="J473">
        <f ca="1">BINOMDIST(Worksheet!$A$27,Worksheet!$B$15,$P473,1)</f>
        <v>2.171929581502071E-2</v>
      </c>
      <c r="K473">
        <f ca="1">BINOMDIST(Worksheet!$A$28,Worksheet!$B$15,$P473,1)</f>
        <v>4.968369539288664E-2</v>
      </c>
      <c r="L473">
        <f ca="1">BINOMDIST(Worksheet!$A$29,Worksheet!$B$15,$P473,1)</f>
        <v>9.8012625187048008E-2</v>
      </c>
      <c r="M473">
        <f ca="1">BINOMDIST(Worksheet!$A$30,Worksheet!$B$15,$P473,1)</f>
        <v>0.17058464611982041</v>
      </c>
      <c r="N473">
        <f ca="1">BINOMDIST(Worksheet!$A$31,Worksheet!$B$15,$P473,1)</f>
        <v>0.26677012288755142</v>
      </c>
      <c r="O473">
        <f ca="1">BINOMDIST(Worksheet!$A$32,Worksheet!$B$15,$P473,1)</f>
        <v>0.38069044895085113</v>
      </c>
      <c r="P473">
        <v>7.8E-2</v>
      </c>
    </row>
    <row r="474" spans="5:16" x14ac:dyDescent="0.2">
      <c r="E474">
        <f ca="1">BINOMDIST(Worksheet!$A$22,Worksheet!$B$15,$P474,1)</f>
        <v>6.5321094474680134E-6</v>
      </c>
      <c r="F474">
        <f ca="1">BINOMDIST(Worksheet!$A$23,Worksheet!$B$15,$P474,1)</f>
        <v>8.772700835407753E-5</v>
      </c>
      <c r="G474">
        <f ca="1">BINOMDIST(Worksheet!$A$24,Worksheet!$B$15,$P474,1)</f>
        <v>5.889713571838297E-4</v>
      </c>
      <c r="H474">
        <f ca="1">BINOMDIST(Worksheet!$A$25,Worksheet!$B$15,$P474,1)</f>
        <v>2.6379366097674197E-3</v>
      </c>
      <c r="I474">
        <f ca="1">BINOMDIST(Worksheet!$A$26,Worksheet!$B$15,$P474,1)</f>
        <v>8.876958107477264E-3</v>
      </c>
      <c r="J474">
        <f ca="1">BINOMDIST(Worksheet!$A$27,Worksheet!$B$15,$P474,1)</f>
        <v>2.3970928859791539E-2</v>
      </c>
      <c r="K474">
        <f ca="1">BINOMDIST(Worksheet!$A$28,Worksheet!$B$15,$P474,1)</f>
        <v>5.4191576693244127E-2</v>
      </c>
      <c r="L474">
        <f ca="1">BINOMDIST(Worksheet!$A$29,Worksheet!$B$15,$P474,1)</f>
        <v>0.10569437088828318</v>
      </c>
      <c r="M474">
        <f ca="1">BINOMDIST(Worksheet!$A$30,Worksheet!$B$15,$P474,1)</f>
        <v>0.18195812383093699</v>
      </c>
      <c r="N474">
        <f ca="1">BINOMDIST(Worksheet!$A$31,Worksheet!$B$15,$P474,1)</f>
        <v>0.2816325629423363</v>
      </c>
      <c r="O474">
        <f ca="1">BINOMDIST(Worksheet!$A$32,Worksheet!$B$15,$P474,1)</f>
        <v>0.39804539648739401</v>
      </c>
      <c r="P474">
        <v>7.6999999999999999E-2</v>
      </c>
    </row>
    <row r="475" spans="5:16" x14ac:dyDescent="0.2">
      <c r="E475">
        <f ca="1">BINOMDIST(Worksheet!$A$22,Worksheet!$B$15,$P475,1)</f>
        <v>7.6758010874144402E-6</v>
      </c>
      <c r="F475">
        <f ca="1">BINOMDIST(Worksheet!$A$23,Worksheet!$B$15,$P475,1)</f>
        <v>1.017459001284113E-4</v>
      </c>
      <c r="G475">
        <f ca="1">BINOMDIST(Worksheet!$A$24,Worksheet!$B$15,$P475,1)</f>
        <v>6.7431109169395899E-4</v>
      </c>
      <c r="H475">
        <f ca="1">BINOMDIST(Worksheet!$A$25,Worksheet!$B$15,$P475,1)</f>
        <v>2.9819223183066203E-3</v>
      </c>
      <c r="I475">
        <f ca="1">BINOMDIST(Worksheet!$A$26,Worksheet!$B$15,$P475,1)</f>
        <v>9.9097508276394294E-3</v>
      </c>
      <c r="J475">
        <f ca="1">BINOMDIST(Worksheet!$A$27,Worksheet!$B$15,$P475,1)</f>
        <v>2.6434571211372684E-2</v>
      </c>
      <c r="K475">
        <f ca="1">BINOMDIST(Worksheet!$A$28,Worksheet!$B$15,$P475,1)</f>
        <v>5.9054995864975972E-2</v>
      </c>
      <c r="L475">
        <f ca="1">BINOMDIST(Worksheet!$A$29,Worksheet!$B$15,$P475,1)</f>
        <v>0.11386618558905763</v>
      </c>
      <c r="M475">
        <f ca="1">BINOMDIST(Worksheet!$A$30,Worksheet!$B$15,$P475,1)</f>
        <v>0.19388814980744112</v>
      </c>
      <c r="N475">
        <f ca="1">BINOMDIST(Worksheet!$A$31,Worksheet!$B$15,$P475,1)</f>
        <v>0.29700447599361168</v>
      </c>
      <c r="O475">
        <f ca="1">BINOMDIST(Worksheet!$A$32,Worksheet!$B$15,$P475,1)</f>
        <v>0.41574448796556562</v>
      </c>
      <c r="P475">
        <v>7.5999999999999998E-2</v>
      </c>
    </row>
    <row r="476" spans="5:16" x14ac:dyDescent="0.2">
      <c r="E476">
        <f ca="1">BINOMDIST(Worksheet!$A$22,Worksheet!$B$15,$P476,1)</f>
        <v>9.0181650216962903E-6</v>
      </c>
      <c r="F476">
        <f ca="1">BINOMDIST(Worksheet!$A$23,Worksheet!$B$15,$P476,1)</f>
        <v>1.1796734785137855E-4</v>
      </c>
      <c r="G476">
        <f ca="1">BINOMDIST(Worksheet!$A$24,Worksheet!$B$15,$P476,1)</f>
        <v>7.7166244482947176E-4</v>
      </c>
      <c r="H476">
        <f ca="1">BINOMDIST(Worksheet!$A$25,Worksheet!$B$15,$P476,1)</f>
        <v>3.3687753976883827E-3</v>
      </c>
      <c r="I476">
        <f ca="1">BINOMDIST(Worksheet!$A$26,Worksheet!$B$15,$P476,1)</f>
        <v>1.1054825893311374E-2</v>
      </c>
      <c r="J476">
        <f ca="1">BINOMDIST(Worksheet!$A$27,Worksheet!$B$15,$P476,1)</f>
        <v>2.9127431112749236E-2</v>
      </c>
      <c r="K476">
        <f ca="1">BINOMDIST(Worksheet!$A$28,Worksheet!$B$15,$P476,1)</f>
        <v>6.4295743972195826E-2</v>
      </c>
      <c r="L476">
        <f ca="1">BINOMDIST(Worksheet!$A$29,Worksheet!$B$15,$P476,1)</f>
        <v>0.12254750542664611</v>
      </c>
      <c r="M476">
        <f ca="1">BINOMDIST(Worksheet!$A$30,Worksheet!$B$15,$P476,1)</f>
        <v>0.20638281076311832</v>
      </c>
      <c r="N476">
        <f ca="1">BINOMDIST(Worksheet!$A$31,Worksheet!$B$15,$P476,1)</f>
        <v>0.31287630673106948</v>
      </c>
      <c r="O476">
        <f ca="1">BINOMDIST(Worksheet!$A$32,Worksheet!$B$15,$P476,1)</f>
        <v>0.43376081566766267</v>
      </c>
      <c r="P476">
        <v>7.4999999999999997E-2</v>
      </c>
    </row>
    <row r="477" spans="5:16" x14ac:dyDescent="0.2">
      <c r="E477">
        <f ca="1">BINOMDIST(Worksheet!$A$22,Worksheet!$B$15,$P477,1)</f>
        <v>1.0593440109015892E-5</v>
      </c>
      <c r="F477">
        <f ca="1">BINOMDIST(Worksheet!$A$23,Worksheet!$B$15,$P477,1)</f>
        <v>1.3673088140708198E-4</v>
      </c>
      <c r="G477">
        <f ca="1">BINOMDIST(Worksheet!$A$24,Worksheet!$B$15,$P477,1)</f>
        <v>8.8265812605957557E-4</v>
      </c>
      <c r="H477">
        <f ca="1">BINOMDIST(Worksheet!$A$25,Worksheet!$B$15,$P477,1)</f>
        <v>3.8035352201307919E-3</v>
      </c>
      <c r="I477">
        <f ca="1">BINOMDIST(Worksheet!$A$26,Worksheet!$B$15,$P477,1)</f>
        <v>1.2323285793658163E-2</v>
      </c>
      <c r="J477">
        <f ca="1">BINOMDIST(Worksheet!$A$27,Worksheet!$B$15,$P477,1)</f>
        <v>3.2067761744834986E-2</v>
      </c>
      <c r="K477">
        <f ca="1">BINOMDIST(Worksheet!$A$28,Worksheet!$B$15,$P477,1)</f>
        <v>6.9936216700871676E-2</v>
      </c>
      <c r="L477">
        <f ca="1">BINOMDIST(Worksheet!$A$29,Worksheet!$B$15,$P477,1)</f>
        <v>0.13175725809932604</v>
      </c>
      <c r="M477">
        <f ca="1">BINOMDIST(Worksheet!$A$30,Worksheet!$B$15,$P477,1)</f>
        <v>0.21944833572013592</v>
      </c>
      <c r="N477">
        <f ca="1">BINOMDIST(Worksheet!$A$31,Worksheet!$B$15,$P477,1)</f>
        <v>0.32923579719068147</v>
      </c>
      <c r="O477">
        <f ca="1">BINOMDIST(Worksheet!$A$32,Worksheet!$B$15,$P477,1)</f>
        <v>0.45206496574736099</v>
      </c>
      <c r="P477">
        <v>7.3999999999999996E-2</v>
      </c>
    </row>
    <row r="478" spans="5:16" x14ac:dyDescent="0.2">
      <c r="E478">
        <f ca="1">BINOMDIST(Worksheet!$A$22,Worksheet!$B$15,$P478,1)</f>
        <v>1.2441718973796826E-5</v>
      </c>
      <c r="F478">
        <f ca="1">BINOMDIST(Worksheet!$A$23,Worksheet!$B$15,$P478,1)</f>
        <v>1.5842723923052614E-4</v>
      </c>
      <c r="G478">
        <f ca="1">BINOMDIST(Worksheet!$A$24,Worksheet!$B$15,$P478,1)</f>
        <v>1.0091432914709261E-3</v>
      </c>
      <c r="H478">
        <f ca="1">BINOMDIST(Worksheet!$A$25,Worksheet!$B$15,$P478,1)</f>
        <v>4.2917876483899277E-3</v>
      </c>
      <c r="I478">
        <f ca="1">BINOMDIST(Worksheet!$A$26,Worksheet!$B$15,$P478,1)</f>
        <v>1.3727176956923567E-2</v>
      </c>
      <c r="J478">
        <f ca="1">BINOMDIST(Worksheet!$A$27,Worksheet!$B$15,$P478,1)</f>
        <v>3.5274878322798096E-2</v>
      </c>
      <c r="K478">
        <f ca="1">BINOMDIST(Worksheet!$A$28,Worksheet!$B$15,$P478,1)</f>
        <v>7.5999336567687217E-2</v>
      </c>
      <c r="L478">
        <f ca="1">BINOMDIST(Worksheet!$A$29,Worksheet!$B$15,$P478,1)</f>
        <v>0.14151368694808433</v>
      </c>
      <c r="M478">
        <f ca="1">BINOMDIST(Worksheet!$A$30,Worksheet!$B$15,$P478,1)</f>
        <v>0.23308889677052197</v>
      </c>
      <c r="N478">
        <f ca="1">BINOMDIST(Worksheet!$A$31,Worksheet!$B$15,$P478,1)</f>
        <v>0.34606787731736927</v>
      </c>
      <c r="O478">
        <f ca="1">BINOMDIST(Worksheet!$A$32,Worksheet!$B$15,$P478,1)</f>
        <v>0.47062507054161784</v>
      </c>
      <c r="P478">
        <v>7.2999999999999995E-2</v>
      </c>
    </row>
    <row r="479" spans="5:16" x14ac:dyDescent="0.2">
      <c r="E479">
        <f ca="1">BINOMDIST(Worksheet!$A$22,Worksheet!$B$15,$P479,1)</f>
        <v>1.460994081511405E-5</v>
      </c>
      <c r="F479">
        <f ca="1">BINOMDIST(Worksheet!$A$23,Worksheet!$B$15,$P479,1)</f>
        <v>1.8350589454845868E-4</v>
      </c>
      <c r="G479">
        <f ca="1">BINOMDIST(Worksheet!$A$24,Worksheet!$B$15,$P479,1)</f>
        <v>1.1532016289140382E-3</v>
      </c>
      <c r="H479">
        <f ca="1">BINOMDIST(Worksheet!$A$25,Worksheet!$B$15,$P479,1)</f>
        <v>4.8397173087004267E-3</v>
      </c>
      <c r="I479">
        <f ca="1">BINOMDIST(Worksheet!$A$26,Worksheet!$B$15,$P479,1)</f>
        <v>1.5279548350164471E-2</v>
      </c>
      <c r="J479">
        <f ca="1">BINOMDIST(Worksheet!$A$27,Worksheet!$B$15,$P479,1)</f>
        <v>3.8769168193458575E-2</v>
      </c>
      <c r="K479">
        <f ca="1">BINOMDIST(Worksheet!$A$28,Worksheet!$B$15,$P479,1)</f>
        <v>8.2508460315454335E-2</v>
      </c>
      <c r="L479">
        <f ca="1">BINOMDIST(Worksheet!$A$29,Worksheet!$B$15,$P479,1)</f>
        <v>0.15183416100635189</v>
      </c>
      <c r="M479">
        <f ca="1">BINOMDIST(Worksheet!$A$30,Worksheet!$B$15,$P479,1)</f>
        <v>0.24730640829403169</v>
      </c>
      <c r="N479">
        <f ca="1">BINOMDIST(Worksheet!$A$31,Worksheet!$B$15,$P479,1)</f>
        <v>0.36335457094543533</v>
      </c>
      <c r="O479">
        <f ca="1">BINOMDIST(Worksheet!$A$32,Worksheet!$B$15,$P479,1)</f>
        <v>0.48940688554954703</v>
      </c>
      <c r="P479">
        <v>7.1999999999999995E-2</v>
      </c>
    </row>
    <row r="480" spans="5:16" x14ac:dyDescent="0.2">
      <c r="E480">
        <f ca="1">BINOMDIST(Worksheet!$A$22,Worksheet!$B$15,$P480,1)</f>
        <v>1.7153051243979749E-5</v>
      </c>
      <c r="F480">
        <f ca="1">BINOMDIST(Worksheet!$A$23,Worksheet!$B$15,$P480,1)</f>
        <v>2.1248365308473524E-4</v>
      </c>
      <c r="G480">
        <f ca="1">BINOMDIST(Worksheet!$A$24,Worksheet!$B$15,$P480,1)</f>
        <v>1.3171843872842267E-3</v>
      </c>
      <c r="H480">
        <f ca="1">BINOMDIST(Worksheet!$A$25,Worksheet!$B$15,$P480,1)</f>
        <v>5.4541637783283997E-3</v>
      </c>
      <c r="I480">
        <f ca="1">BINOMDIST(Worksheet!$A$26,Worksheet!$B$15,$P480,1)</f>
        <v>1.6994510486499512E-2</v>
      </c>
      <c r="J480">
        <f ca="1">BINOMDIST(Worksheet!$A$27,Worksheet!$B$15,$P480,1)</f>
        <v>4.2572092695459987E-2</v>
      </c>
      <c r="K480">
        <f ca="1">BINOMDIST(Worksheet!$A$28,Worksheet!$B$15,$P480,1)</f>
        <v>8.9487270396287455E-2</v>
      </c>
      <c r="L480">
        <f ca="1">BINOMDIST(Worksheet!$A$29,Worksheet!$B$15,$P480,1)</f>
        <v>0.16273497133377801</v>
      </c>
      <c r="M480">
        <f ca="1">BINOMDIST(Worksheet!$A$30,Worksheet!$B$15,$P480,1)</f>
        <v>0.26210032666905542</v>
      </c>
      <c r="N480">
        <f ca="1">BINOMDIST(Worksheet!$A$31,Worksheet!$B$15,$P480,1)</f>
        <v>0.38107491969159535</v>
      </c>
      <c r="O480">
        <f ca="1">BINOMDIST(Worksheet!$A$32,Worksheet!$B$15,$P480,1)</f>
        <v>0.50837389220441009</v>
      </c>
      <c r="P480">
        <v>7.0999999999999994E-2</v>
      </c>
    </row>
    <row r="481" spans="5:16" x14ac:dyDescent="0.2">
      <c r="E481">
        <f ca="1">BINOMDIST(Worksheet!$A$22,Worksheet!$B$15,$P481,1)</f>
        <v>2.0135357022294235E-5</v>
      </c>
      <c r="F481">
        <f ca="1">BINOMDIST(Worksheet!$A$23,Worksheet!$B$15,$P481,1)</f>
        <v>2.4595446857340029E-4</v>
      </c>
      <c r="G481">
        <f ca="1">BINOMDIST(Worksheet!$A$24,Worksheet!$B$15,$P481,1)</f>
        <v>1.5037426382881647E-3</v>
      </c>
      <c r="H481">
        <f ca="1">BINOMDIST(Worksheet!$A$25,Worksheet!$B$15,$P481,1)</f>
        <v>6.1426818018598256E-3</v>
      </c>
      <c r="I481">
        <f ca="1">BINOMDIST(Worksheet!$A$26,Worksheet!$B$15,$P481,1)</f>
        <v>1.8887294235113154E-2</v>
      </c>
      <c r="J481">
        <f ca="1">BINOMDIST(Worksheet!$A$27,Worksheet!$B$15,$P481,1)</f>
        <v>4.6706179438881182E-2</v>
      </c>
      <c r="K481">
        <f ca="1">BINOMDIST(Worksheet!$A$28,Worksheet!$B$15,$P481,1)</f>
        <v>9.6959649484397545E-2</v>
      </c>
      <c r="L481">
        <f ca="1">BINOMDIST(Worksheet!$A$29,Worksheet!$B$15,$P481,1)</f>
        <v>0.1742311141780413</v>
      </c>
      <c r="M481">
        <f ca="1">BINOMDIST(Worksheet!$A$30,Worksheet!$B$15,$P481,1)</f>
        <v>0.27746745276067797</v>
      </c>
      <c r="N481">
        <f ca="1">BINOMDIST(Worksheet!$A$31,Worksheet!$B$15,$P481,1)</f>
        <v>0.39920492729002366</v>
      </c>
      <c r="O481">
        <f ca="1">BINOMDIST(Worksheet!$A$32,Worksheet!$B$15,$P481,1)</f>
        <v>0.52748742733170018</v>
      </c>
      <c r="P481">
        <v>7.0000000000000007E-2</v>
      </c>
    </row>
    <row r="482" spans="5:16" x14ac:dyDescent="0.2">
      <c r="E482">
        <f ca="1">BINOMDIST(Worksheet!$A$22,Worksheet!$B$15,$P482,1)</f>
        <v>2.3632108190375275E-5</v>
      </c>
      <c r="F482">
        <f ca="1">BINOMDIST(Worksheet!$A$23,Worksheet!$B$15,$P482,1)</f>
        <v>2.8460064127871923E-4</v>
      </c>
      <c r="G482">
        <f ca="1">BINOMDIST(Worksheet!$A$24,Worksheet!$B$15,$P482,1)</f>
        <v>1.7158630794624815E-3</v>
      </c>
      <c r="H482">
        <f ca="1">BINOMDIST(Worksheet!$A$25,Worksheet!$B$15,$P482,1)</f>
        <v>6.9136056181298405E-3</v>
      </c>
      <c r="I482">
        <f ca="1">BINOMDIST(Worksheet!$A$26,Worksheet!$B$15,$P482,1)</f>
        <v>2.0974308715480786E-2</v>
      </c>
      <c r="J482">
        <f ca="1">BINOMDIST(Worksheet!$A$27,Worksheet!$B$15,$P482,1)</f>
        <v>5.1195003557370403E-2</v>
      </c>
      <c r="K482">
        <f ca="1">BINOMDIST(Worksheet!$A$28,Worksheet!$B$15,$P482,1)</f>
        <v>0.10494953702479162</v>
      </c>
      <c r="L482">
        <f ca="1">BINOMDIST(Worksheet!$A$29,Worksheet!$B$15,$P482,1)</f>
        <v>0.18633606176363562</v>
      </c>
      <c r="M482">
        <f ca="1">BINOMDIST(Worksheet!$A$30,Worksheet!$B$15,$P482,1)</f>
        <v>0.29340173971626643</v>
      </c>
      <c r="N482">
        <f ca="1">BINOMDIST(Worksheet!$A$31,Worksheet!$B$15,$P482,1)</f>
        <v>0.417717526898644</v>
      </c>
      <c r="O482">
        <f ca="1">BINOMDIST(Worksheet!$A$32,Worksheet!$B$15,$P482,1)</f>
        <v>0.54670683991494629</v>
      </c>
      <c r="P482">
        <v>6.9000000000000006E-2</v>
      </c>
    </row>
    <row r="483" spans="5:16" x14ac:dyDescent="0.2">
      <c r="E483">
        <f ca="1">BINOMDIST(Worksheet!$A$22,Worksheet!$B$15,$P483,1)</f>
        <v>2.7731345440973094E-5</v>
      </c>
      <c r="F483">
        <f ca="1">BINOMDIST(Worksheet!$A$23,Worksheet!$B$15,$P483,1)</f>
        <v>3.2920558579283899E-4</v>
      </c>
      <c r="G483">
        <f ca="1">BINOMDIST(Worksheet!$A$24,Worksheet!$B$15,$P483,1)</f>
        <v>1.9569077075209424E-3</v>
      </c>
      <c r="H483">
        <f ca="1">BINOMDIST(Worksheet!$A$25,Worksheet!$B$15,$P483,1)</f>
        <v>7.7761174388493058E-3</v>
      </c>
      <c r="I483">
        <f ca="1">BINOMDIST(Worksheet!$A$26,Worksheet!$B$15,$P483,1)</f>
        <v>2.3273197431507058E-2</v>
      </c>
      <c r="J483">
        <f ca="1">BINOMDIST(Worksheet!$A$27,Worksheet!$B$15,$P483,1)</f>
        <v>5.6063156385928764E-2</v>
      </c>
      <c r="K483">
        <f ca="1">BINOMDIST(Worksheet!$A$28,Worksheet!$B$15,$P483,1)</f>
        <v>0.11348076691555999</v>
      </c>
      <c r="L483">
        <f ca="1">BINOMDIST(Worksheet!$A$29,Worksheet!$B$15,$P483,1)</f>
        <v>0.19906152178835793</v>
      </c>
      <c r="M483">
        <f ca="1">BINOMDIST(Worksheet!$A$30,Worksheet!$B$15,$P483,1)</f>
        <v>0.30989410883928847</v>
      </c>
      <c r="N483">
        <f ca="1">BINOMDIST(Worksheet!$A$31,Worksheet!$B$15,$P483,1)</f>
        <v>0.43658257386603105</v>
      </c>
      <c r="O483">
        <f ca="1">BINOMDIST(Worksheet!$A$32,Worksheet!$B$15,$P483,1)</f>
        <v>0.5659896754813315</v>
      </c>
      <c r="P483">
        <v>6.8000000000000005E-2</v>
      </c>
    </row>
    <row r="484" spans="5:16" x14ac:dyDescent="0.2">
      <c r="E484">
        <f ca="1">BINOMDIST(Worksheet!$A$22,Worksheet!$B$15,$P484,1)</f>
        <v>3.2536056849394212E-5</v>
      </c>
      <c r="F484">
        <f ca="1">BINOMDIST(Worksheet!$A$23,Worksheet!$B$15,$P484,1)</f>
        <v>3.8066837788637434E-4</v>
      </c>
      <c r="G484">
        <f ca="1">BINOMDIST(Worksheet!$A$24,Worksheet!$B$15,$P484,1)</f>
        <v>2.2306577108996057E-3</v>
      </c>
      <c r="H484">
        <f ca="1">BINOMDIST(Worksheet!$A$25,Worksheet!$B$15,$P484,1)</f>
        <v>8.7403200691873358E-3</v>
      </c>
      <c r="I484">
        <f ca="1">BINOMDIST(Worksheet!$A$26,Worksheet!$B$15,$P484,1)</f>
        <v>2.5802891663177306E-2</v>
      </c>
      <c r="J484">
        <f ca="1">BINOMDIST(Worksheet!$A$27,Worksheet!$B$15,$P484,1)</f>
        <v>6.133619992375873E-2</v>
      </c>
      <c r="K484">
        <f ca="1">BINOMDIST(Worksheet!$A$28,Worksheet!$B$15,$P484,1)</f>
        <v>0.12257688554328158</v>
      </c>
      <c r="L484">
        <f ca="1">BINOMDIST(Worksheet!$A$29,Worksheet!$B$15,$P484,1)</f>
        <v>0.21241718701635623</v>
      </c>
      <c r="M484">
        <f ca="1">BINOMDIST(Worksheet!$A$30,Worksheet!$B$15,$P484,1)</f>
        <v>0.32693227654138762</v>
      </c>
      <c r="N484">
        <f ca="1">BINOMDIST(Worksheet!$A$31,Worksheet!$B$15,$P484,1)</f>
        <v>0.45576686636429642</v>
      </c>
      <c r="O484">
        <f ca="1">BINOMDIST(Worksheet!$A$32,Worksheet!$B$15,$P484,1)</f>
        <v>0.58529188807264543</v>
      </c>
      <c r="P484">
        <v>6.7000000000000004E-2</v>
      </c>
    </row>
    <row r="485" spans="5:16" x14ac:dyDescent="0.2">
      <c r="E485">
        <f ca="1">BINOMDIST(Worksheet!$A$22,Worksheet!$B$15,$P485,1)</f>
        <v>3.8166695345004618E-5</v>
      </c>
      <c r="F485">
        <f ca="1">BINOMDIST(Worksheet!$A$23,Worksheet!$B$15,$P485,1)</f>
        <v>4.4002031635440004E-4</v>
      </c>
      <c r="G485">
        <f ca="1">BINOMDIST(Worksheet!$A$24,Worksheet!$B$15,$P485,1)</f>
        <v>2.5413619491272983E-3</v>
      </c>
      <c r="H485">
        <f ca="1">BINOMDIST(Worksheet!$A$25,Worksheet!$B$15,$P485,1)</f>
        <v>9.8173135983645049E-3</v>
      </c>
      <c r="I485">
        <f ca="1">BINOMDIST(Worksheet!$A$26,Worksheet!$B$15,$P485,1)</f>
        <v>2.858365998274616E-2</v>
      </c>
      <c r="J485">
        <f ca="1">BINOMDIST(Worksheet!$A$27,Worksheet!$B$15,$P485,1)</f>
        <v>6.7040605357164204E-2</v>
      </c>
      <c r="K485">
        <f ca="1">BINOMDIST(Worksheet!$A$28,Worksheet!$B$15,$P485,1)</f>
        <v>0.13226094954675527</v>
      </c>
      <c r="L485">
        <f ca="1">BINOMDIST(Worksheet!$A$29,Worksheet!$B$15,$P485,1)</f>
        <v>0.22641047668982064</v>
      </c>
      <c r="M485">
        <f ca="1">BINOMDIST(Worksheet!$A$30,Worksheet!$B$15,$P485,1)</f>
        <v>0.34450059558500401</v>
      </c>
      <c r="N485">
        <f ca="1">BINOMDIST(Worksheet!$A$31,Worksheet!$B$15,$P485,1)</f>
        <v>0.47523419616061413</v>
      </c>
      <c r="O485">
        <f ca="1">BINOMDIST(Worksheet!$A$32,Worksheet!$B$15,$P485,1)</f>
        <v>0.60456807938530766</v>
      </c>
      <c r="P485">
        <v>6.6000000000000003E-2</v>
      </c>
    </row>
    <row r="486" spans="5:16" x14ac:dyDescent="0.2">
      <c r="E486">
        <f ca="1">BINOMDIST(Worksheet!$A$22,Worksheet!$B$15,$P486,1)</f>
        <v>4.4764116775302332E-5</v>
      </c>
      <c r="F486">
        <f ca="1">BINOMDIST(Worksheet!$A$23,Worksheet!$B$15,$P486,1)</f>
        <v>5.0844376487027955E-4</v>
      </c>
      <c r="G486">
        <f ca="1">BINOMDIST(Worksheet!$A$24,Worksheet!$B$15,$P486,1)</f>
        <v>2.8937904037332055E-3</v>
      </c>
      <c r="H486">
        <f ca="1">BINOMDIST(Worksheet!$A$25,Worksheet!$B$15,$P486,1)</f>
        <v>1.1019276013121887E-2</v>
      </c>
      <c r="I486">
        <f ca="1">BINOMDIST(Worksheet!$A$26,Worksheet!$B$15,$P486,1)</f>
        <v>3.1637152599511942E-2</v>
      </c>
      <c r="J486">
        <f ca="1">BINOMDIST(Worksheet!$A$27,Worksheet!$B$15,$P486,1)</f>
        <v>7.3203673845870398E-2</v>
      </c>
      <c r="K486">
        <f ca="1">BINOMDIST(Worksheet!$A$28,Worksheet!$B$15,$P486,1)</f>
        <v>0.1425553028772277</v>
      </c>
      <c r="L486">
        <f ca="1">BINOMDIST(Worksheet!$A$29,Worksheet!$B$15,$P486,1)</f>
        <v>0.2410462718377275</v>
      </c>
      <c r="M486">
        <f ca="1">BINOMDIST(Worksheet!$A$30,Worksheet!$B$15,$P486,1)</f>
        <v>0.36257991401759465</v>
      </c>
      <c r="N486">
        <f ca="1">BINOMDIST(Worksheet!$A$31,Worksheet!$B$15,$P486,1)</f>
        <v>0.49494543161456328</v>
      </c>
      <c r="O486">
        <f ca="1">BINOMDIST(Worksheet!$A$32,Worksheet!$B$15,$P486,1)</f>
        <v>0.62377176424904501</v>
      </c>
      <c r="P486">
        <v>6.5000000000000002E-2</v>
      </c>
    </row>
    <row r="487" spans="5:16" x14ac:dyDescent="0.2">
      <c r="E487">
        <f ca="1">BINOMDIST(Worksheet!$A$22,Worksheet!$B$15,$P487,1)</f>
        <v>5.2493008263055191E-5</v>
      </c>
      <c r="F487">
        <f ca="1">BINOMDIST(Worksheet!$A$23,Worksheet!$B$15,$P487,1)</f>
        <v>5.8729357107982212E-4</v>
      </c>
      <c r="G487">
        <f ca="1">BINOMDIST(Worksheet!$A$24,Worksheet!$B$15,$P487,1)</f>
        <v>3.2932930000330362E-3</v>
      </c>
      <c r="H487">
        <f ca="1">BINOMDIST(Worksheet!$A$25,Worksheet!$B$15,$P487,1)</f>
        <v>1.2359547497038671E-2</v>
      </c>
      <c r="I487">
        <f ca="1">BINOMDIST(Worksheet!$A$26,Worksheet!$B$15,$P487,1)</f>
        <v>3.4986439062215151E-2</v>
      </c>
      <c r="J487">
        <f ca="1">BINOMDIST(Worksheet!$A$27,Worksheet!$B$15,$P487,1)</f>
        <v>7.9853437721368478E-2</v>
      </c>
      <c r="K487">
        <f ca="1">BINOMDIST(Worksheet!$A$28,Worksheet!$B$15,$P487,1)</f>
        <v>0.15348133295690236</v>
      </c>
      <c r="L487">
        <f ca="1">BINOMDIST(Worksheet!$A$29,Worksheet!$B$15,$P487,1)</f>
        <v>0.25632664693669527</v>
      </c>
      <c r="M487">
        <f ca="1">BINOMDIST(Worksheet!$A$30,Worksheet!$B$15,$P487,1)</f>
        <v>0.38114745535661498</v>
      </c>
      <c r="N487">
        <f ca="1">BINOMDIST(Worksheet!$A$31,Worksheet!$B$15,$P487,1)</f>
        <v>0.51485863474661464</v>
      </c>
      <c r="O487">
        <f ca="1">BINOMDIST(Worksheet!$A$32,Worksheet!$B$15,$P487,1)</f>
        <v>0.64285566117122972</v>
      </c>
      <c r="P487">
        <v>6.4000000000000001E-2</v>
      </c>
    </row>
    <row r="488" spans="5:16" x14ac:dyDescent="0.2">
      <c r="E488">
        <f ca="1">BINOMDIST(Worksheet!$A$22,Worksheet!$B$15,$P488,1)</f>
        <v>6.1545888013885659E-5</v>
      </c>
      <c r="F488">
        <f ca="1">BINOMDIST(Worksheet!$A$23,Worksheet!$B$15,$P488,1)</f>
        <v>6.7812139579013424E-4</v>
      </c>
      <c r="G488">
        <f ca="1">BINOMDIST(Worksheet!$A$24,Worksheet!$B$15,$P488,1)</f>
        <v>3.7458642103609659E-3</v>
      </c>
      <c r="H488">
        <f ca="1">BINOMDIST(Worksheet!$A$25,Worksheet!$B$15,$P488,1)</f>
        <v>1.385271807223947E-2</v>
      </c>
      <c r="I488">
        <f ca="1">BINOMDIST(Worksheet!$A$26,Worksheet!$B$15,$P488,1)</f>
        <v>3.8656037661769456E-2</v>
      </c>
      <c r="J488">
        <f ca="1">BINOMDIST(Worksheet!$A$27,Worksheet!$B$15,$P488,1)</f>
        <v>8.7018540212539297E-2</v>
      </c>
      <c r="K488">
        <f ca="1">BINOMDIST(Worksheet!$A$28,Worksheet!$B$15,$P488,1)</f>
        <v>0.16505920601484875</v>
      </c>
      <c r="L488">
        <f ca="1">BINOMDIST(Worksheet!$A$29,Worksheet!$B$15,$P488,1)</f>
        <v>0.27225060077212959</v>
      </c>
      <c r="M488">
        <f ca="1">BINOMDIST(Worksheet!$A$30,Worksheet!$B$15,$P488,1)</f>
        <v>0.40017672370417801</v>
      </c>
      <c r="N488">
        <f ca="1">BINOMDIST(Worksheet!$A$31,Worksheet!$B$15,$P488,1)</f>
        <v>0.53492921392182147</v>
      </c>
      <c r="O488">
        <f ca="1">BINOMDIST(Worksheet!$A$32,Worksheet!$B$15,$P488,1)</f>
        <v>0.66177200620779963</v>
      </c>
      <c r="P488">
        <v>6.3E-2</v>
      </c>
    </row>
    <row r="489" spans="5:16" x14ac:dyDescent="0.2">
      <c r="E489">
        <f ca="1">BINOMDIST(Worksheet!$A$22,Worksheet!$B$15,$P489,1)</f>
        <v>7.2147771056388591E-5</v>
      </c>
      <c r="F489">
        <f ca="1">BINOMDIST(Worksheet!$A$23,Worksheet!$B$15,$P489,1)</f>
        <v>7.8270332438145989E-4</v>
      </c>
      <c r="G489">
        <f ca="1">BINOMDIST(Worksheet!$A$24,Worksheet!$B$15,$P489,1)</f>
        <v>4.2582138559970522E-3</v>
      </c>
      <c r="H489">
        <f ca="1">BINOMDIST(Worksheet!$A$25,Worksheet!$B$15,$P489,1)</f>
        <v>1.5514718115110253E-2</v>
      </c>
      <c r="I489">
        <f ca="1">BINOMDIST(Worksheet!$A$26,Worksheet!$B$15,$P489,1)</f>
        <v>4.2671934680540112E-2</v>
      </c>
      <c r="J489">
        <f ca="1">BINOMDIST(Worksheet!$A$27,Worksheet!$B$15,$P489,1)</f>
        <v>9.4728091807024933E-2</v>
      </c>
      <c r="K489">
        <f ca="1">BINOMDIST(Worksheet!$A$28,Worksheet!$B$15,$P489,1)</f>
        <v>0.17730758200341035</v>
      </c>
      <c r="L489">
        <f ca="1">BINOMDIST(Worksheet!$A$29,Worksheet!$B$15,$P489,1)</f>
        <v>0.28881378975259597</v>
      </c>
      <c r="M489">
        <f ca="1">BINOMDIST(Worksheet!$A$30,Worksheet!$B$15,$P489,1)</f>
        <v>0.4196374375436181</v>
      </c>
      <c r="N489">
        <f ca="1">BINOMDIST(Worksheet!$A$31,Worksheet!$B$15,$P489,1)</f>
        <v>0.55511011333005833</v>
      </c>
      <c r="O489">
        <f ca="1">BINOMDIST(Worksheet!$A$32,Worksheet!$B$15,$P489,1)</f>
        <v>0.68047288793840488</v>
      </c>
      <c r="P489">
        <v>6.2E-2</v>
      </c>
    </row>
    <row r="490" spans="5:16" x14ac:dyDescent="0.2">
      <c r="E490">
        <f ca="1">BINOMDIST(Worksheet!$A$22,Worksheet!$B$15,$P490,1)</f>
        <v>8.4561610891380849E-5</v>
      </c>
      <c r="F490">
        <f ca="1">BINOMDIST(Worksheet!$A$23,Worksheet!$B$15,$P490,1)</f>
        <v>9.0307117573883622E-4</v>
      </c>
      <c r="G490">
        <f ca="1">BINOMDIST(Worksheet!$A$24,Worksheet!$B$15,$P490,1)</f>
        <v>4.8378445258148838E-3</v>
      </c>
      <c r="H490">
        <f ca="1">BINOMDIST(Worksheet!$A$25,Worksheet!$B$15,$P490,1)</f>
        <v>1.736291113218049E-2</v>
      </c>
      <c r="I490">
        <f ca="1">BINOMDIST(Worksheet!$A$26,Worksheet!$B$15,$P490,1)</f>
        <v>4.7061591429382932E-2</v>
      </c>
      <c r="J490">
        <f ca="1">BINOMDIST(Worksheet!$A$27,Worksheet!$B$15,$P490,1)</f>
        <v>0.10301150138225944</v>
      </c>
      <c r="K490">
        <f ca="1">BINOMDIST(Worksheet!$A$28,Worksheet!$B$15,$P490,1)</f>
        <v>0.19024330987108917</v>
      </c>
      <c r="L490">
        <f ca="1">BINOMDIST(Worksheet!$A$29,Worksheet!$B$15,$P490,1)</f>
        <v>0.30600826734074743</v>
      </c>
      <c r="M490">
        <f ca="1">BINOMDIST(Worksheet!$A$30,Worksheet!$B$15,$P490,1)</f>
        <v>0.43949549598853449</v>
      </c>
      <c r="N490">
        <f ca="1">BINOMDIST(Worksheet!$A$31,Worksheet!$B$15,$P490,1)</f>
        <v>0.57535204001878093</v>
      </c>
      <c r="O490">
        <f ca="1">BINOMDIST(Worksheet!$A$32,Worksheet!$B$15,$P490,1)</f>
        <v>0.69891060083010292</v>
      </c>
      <c r="P490">
        <v>6.0999999999999999E-2</v>
      </c>
    </row>
    <row r="491" spans="5:16" x14ac:dyDescent="0.2">
      <c r="E491">
        <f ca="1">BINOMDIST(Worksheet!$A$22,Worksheet!$B$15,$P491,1)</f>
        <v>9.9094645041645013E-5</v>
      </c>
      <c r="F491">
        <f ca="1">BINOMDIST(Worksheet!$A$23,Worksheet!$B$15,$P491,1)</f>
        <v>1.0415479712887791E-3</v>
      </c>
      <c r="G491">
        <f ca="1">BINOMDIST(Worksheet!$A$24,Worksheet!$B$15,$P491,1)</f>
        <v>5.4931360229241808E-3</v>
      </c>
      <c r="H491">
        <f ca="1">BINOMDIST(Worksheet!$A$25,Worksheet!$B$15,$P491,1)</f>
        <v>1.9416188014209371E-2</v>
      </c>
      <c r="I491">
        <f ca="1">BINOMDIST(Worksheet!$A$26,Worksheet!$B$15,$P491,1)</f>
        <v>5.1853936802416296E-2</v>
      </c>
      <c r="J491">
        <f ca="1">BINOMDIST(Worksheet!$A$27,Worksheet!$B$15,$P491,1)</f>
        <v>0.11189828030399109</v>
      </c>
      <c r="K491">
        <f ca="1">BINOMDIST(Worksheet!$A$28,Worksheet!$B$15,$P491,1)</f>
        <v>0.20388110439150975</v>
      </c>
      <c r="L491">
        <f ca="1">BINOMDIST(Worksheet!$A$29,Worksheet!$B$15,$P491,1)</f>
        <v>0.32382223367280272</v>
      </c>
      <c r="M491">
        <f ca="1">BINOMDIST(Worksheet!$A$30,Worksheet!$B$15,$P491,1)</f>
        <v>0.4597129812095877</v>
      </c>
      <c r="N491">
        <f ca="1">BINOMDIST(Worksheet!$A$31,Worksheet!$B$15,$P491,1)</f>
        <v>0.59560372874637246</v>
      </c>
      <c r="O491">
        <f ca="1">BINOMDIST(Worksheet!$A$32,Worksheet!$B$15,$P491,1)</f>
        <v>0.71703801377924348</v>
      </c>
      <c r="P491">
        <v>0.06</v>
      </c>
    </row>
    <row r="492" spans="5:16" x14ac:dyDescent="0.2">
      <c r="E492">
        <f ca="1">BINOMDIST(Worksheet!$A$22,Worksheet!$B$15,$P492,1)</f>
        <v>1.161057934351114E-4</v>
      </c>
      <c r="F492">
        <f ca="1">BINOMDIST(Worksheet!$A$23,Worksheet!$B$15,$P492,1)</f>
        <v>1.2007880783320988E-3</v>
      </c>
      <c r="G492">
        <f ca="1">BINOMDIST(Worksheet!$A$24,Worksheet!$B$15,$P492,1)</f>
        <v>6.2334372344003712E-3</v>
      </c>
      <c r="H492">
        <f ca="1">BINOMDIST(Worksheet!$A$25,Worksheet!$B$15,$P492,1)</f>
        <v>2.1695061793585685E-2</v>
      </c>
      <c r="I492">
        <f ca="1">BINOMDIST(Worksheet!$A$26,Worksheet!$B$15,$P492,1)</f>
        <v>5.7079342865005017E-2</v>
      </c>
      <c r="J492">
        <f ca="1">BINOMDIST(Worksheet!$A$27,Worksheet!$B$15,$P492,1)</f>
        <v>0.12141781779932856</v>
      </c>
      <c r="K492">
        <f ca="1">BINOMDIST(Worksheet!$A$28,Worksheet!$B$15,$P492,1)</f>
        <v>0.21823320622334769</v>
      </c>
      <c r="L492">
        <f ca="1">BINOMDIST(Worksheet!$A$29,Worksheet!$B$15,$P492,1)</f>
        <v>0.34223979983704939</v>
      </c>
      <c r="M492">
        <f ca="1">BINOMDIST(Worksheet!$A$30,Worksheet!$B$15,$P492,1)</f>
        <v>0.48024820064677076</v>
      </c>
      <c r="N492">
        <f ca="1">BINOMDIST(Worksheet!$A$31,Worksheet!$B$15,$P492,1)</f>
        <v>0.61581224437520177</v>
      </c>
      <c r="O492">
        <f ca="1">BINOMDIST(Worksheet!$A$32,Worksheet!$B$15,$P492,1)</f>
        <v>0.73480895013469549</v>
      </c>
      <c r="P492">
        <v>5.8999999999999997E-2</v>
      </c>
    </row>
    <row r="493" spans="5:16" x14ac:dyDescent="0.2">
      <c r="E493">
        <f ca="1">BINOMDIST(Worksheet!$A$22,Worksheet!$B$15,$P493,1)</f>
        <v>1.3601428289438538E-4</v>
      </c>
      <c r="F493">
        <f ca="1">BINOMDIST(Worksheet!$A$23,Worksheet!$B$15,$P493,1)</f>
        <v>1.3838225979403262E-3</v>
      </c>
      <c r="G493">
        <f ca="1">BINOMDIST(Worksheet!$A$24,Worksheet!$B$15,$P493,1)</f>
        <v>7.0691657913343675E-3</v>
      </c>
      <c r="H493">
        <f ca="1">BINOMDIST(Worksheet!$A$25,Worksheet!$B$15,$P493,1)</f>
        <v>2.4221761710257767E-2</v>
      </c>
      <c r="I493">
        <f ca="1">BINOMDIST(Worksheet!$A$26,Worksheet!$B$15,$P493,1)</f>
        <v>6.276958077645832E-2</v>
      </c>
      <c r="J493">
        <f ca="1">BINOMDIST(Worksheet!$A$27,Worksheet!$B$15,$P493,1)</f>
        <v>0.1315991260730075</v>
      </c>
      <c r="K493">
        <f ca="1">BINOMDIST(Worksheet!$A$28,Worksheet!$B$15,$P493,1)</f>
        <v>0.2333090274029396</v>
      </c>
      <c r="L493">
        <f ca="1">BINOMDIST(Worksheet!$A$29,Worksheet!$B$15,$P493,1)</f>
        <v>0.36124077165991003</v>
      </c>
      <c r="M493">
        <f ca="1">BINOMDIST(Worksheet!$A$30,Worksheet!$B$15,$P493,1)</f>
        <v>0.50105577241633303</v>
      </c>
      <c r="N493">
        <f ca="1">BINOMDIST(Worksheet!$A$31,Worksheet!$B$15,$P493,1)</f>
        <v>0.63592332091669057</v>
      </c>
      <c r="O493">
        <f ca="1">BINOMDIST(Worksheet!$A$32,Worksheet!$B$15,$P493,1)</f>
        <v>0.75217857503801755</v>
      </c>
      <c r="P493">
        <v>5.8000000000000003E-2</v>
      </c>
    </row>
    <row r="494" spans="5:16" x14ac:dyDescent="0.2">
      <c r="E494">
        <f ca="1">BINOMDIST(Worksheet!$A$22,Worksheet!$B$15,$P494,1)</f>
        <v>1.5930969929090445E-4</v>
      </c>
      <c r="F494">
        <f ca="1">BINOMDIST(Worksheet!$A$23,Worksheet!$B$15,$P494,1)</f>
        <v>1.594110628323406E-3</v>
      </c>
      <c r="G494">
        <f ca="1">BINOMDIST(Worksheet!$A$24,Worksheet!$B$15,$P494,1)</f>
        <v>8.0119158442927604E-3</v>
      </c>
      <c r="H494">
        <f ca="1">BINOMDIST(Worksheet!$A$25,Worksheet!$B$15,$P494,1)</f>
        <v>2.7020325142492516E-2</v>
      </c>
      <c r="I494">
        <f ca="1">BINOMDIST(Worksheet!$A$26,Worksheet!$B$15,$P494,1)</f>
        <v>6.8957754140270527E-2</v>
      </c>
      <c r="J494">
        <f ca="1">BINOMDIST(Worksheet!$A$27,Worksheet!$B$15,$P494,1)</f>
        <v>0.14247055385747845</v>
      </c>
      <c r="K494">
        <f ca="1">BINOMDIST(Worksheet!$A$28,Worksheet!$B$15,$P494,1)</f>
        <v>0.24911478504850754</v>
      </c>
      <c r="L494">
        <f ca="1">BINOMDIST(Worksheet!$A$29,Worksheet!$B$15,$P494,1)</f>
        <v>0.3808004581947092</v>
      </c>
      <c r="M494">
        <f ca="1">BINOMDIST(Worksheet!$A$30,Worksheet!$B$15,$P494,1)</f>
        <v>0.52208675703423124</v>
      </c>
      <c r="N494">
        <f ca="1">BINOMDIST(Worksheet!$A$31,Worksheet!$B$15,$P494,1)</f>
        <v>0.65588173568077823</v>
      </c>
      <c r="O494">
        <f ca="1">BINOMDIST(Worksheet!$A$32,Worksheet!$B$15,$P494,1)</f>
        <v>0.76910378547923486</v>
      </c>
      <c r="P494">
        <v>5.7000000000000002E-2</v>
      </c>
    </row>
    <row r="495" spans="5:16" x14ac:dyDescent="0.2">
      <c r="E495">
        <f ca="1">BINOMDIST(Worksheet!$A$22,Worksheet!$B$15,$P495,1)</f>
        <v>1.8656370178698464E-4</v>
      </c>
      <c r="F495">
        <f ca="1">BINOMDIST(Worksheet!$A$23,Worksheet!$B$15,$P495,1)</f>
        <v>1.8355970997854995E-3</v>
      </c>
      <c r="G495">
        <f ca="1">BINOMDIST(Worksheet!$A$24,Worksheet!$B$15,$P495,1)</f>
        <v>9.0745742198128868E-3</v>
      </c>
      <c r="H495">
        <f ca="1">BINOMDIST(Worksheet!$A$25,Worksheet!$B$15,$P495,1)</f>
        <v>3.0116685678875554E-2</v>
      </c>
      <c r="I495">
        <f ca="1">BINOMDIST(Worksheet!$A$26,Worksheet!$B$15,$P495,1)</f>
        <v>7.5678206677100221E-2</v>
      </c>
      <c r="J495">
        <f ca="1">BINOMDIST(Worksheet!$A$27,Worksheet!$B$15,$P495,1)</f>
        <v>0.15405946737743598</v>
      </c>
      <c r="K495">
        <f ca="1">BINOMDIST(Worksheet!$A$28,Worksheet!$B$15,$P495,1)</f>
        <v>0.26565312667960872</v>
      </c>
      <c r="L495">
        <f ca="1">BINOMDIST(Worksheet!$A$29,Worksheet!$B$15,$P495,1)</f>
        <v>0.40088951041020804</v>
      </c>
      <c r="M495">
        <f ca="1">BINOMDIST(Worksheet!$A$30,Worksheet!$B$15,$P495,1)</f>
        <v>0.54328883819433527</v>
      </c>
      <c r="N495">
        <f ca="1">BINOMDIST(Worksheet!$A$31,Worksheet!$B$15,$P495,1)</f>
        <v>0.67563171627619334</v>
      </c>
      <c r="O495">
        <f ca="1">BINOMDIST(Worksheet!$A$32,Worksheet!$B$15,$P495,1)</f>
        <v>0.78554359807299079</v>
      </c>
      <c r="P495">
        <v>5.6000000000000001E-2</v>
      </c>
    </row>
    <row r="496" spans="5:16" x14ac:dyDescent="0.2">
      <c r="E496">
        <f ca="1">BINOMDIST(Worksheet!$A$22,Worksheet!$B$15,$P496,1)</f>
        <v>2.1844367176906572E-4</v>
      </c>
      <c r="F496">
        <f ca="1">BINOMDIST(Worksheet!$A$23,Worksheet!$B$15,$P496,1)</f>
        <v>2.1127779470574174E-3</v>
      </c>
      <c r="G496">
        <f ca="1">BINOMDIST(Worksheet!$A$24,Worksheet!$B$15,$P496,1)</f>
        <v>1.027144514327287E-2</v>
      </c>
      <c r="H496">
        <f ca="1">BINOMDIST(Worksheet!$A$25,Worksheet!$B$15,$P496,1)</f>
        <v>3.3538755295442889E-2</v>
      </c>
      <c r="I496">
        <f ca="1">BINOMDIST(Worksheet!$A$26,Worksheet!$B$15,$P496,1)</f>
        <v>8.2966400936163712E-2</v>
      </c>
      <c r="J496">
        <f ca="1">BINOMDIST(Worksheet!$A$27,Worksheet!$B$15,$P496,1)</f>
        <v>0.16639189807579316</v>
      </c>
      <c r="K496">
        <f ca="1">BINOMDIST(Worksheet!$A$28,Worksheet!$B$15,$P496,1)</f>
        <v>0.28292275122321203</v>
      </c>
      <c r="L496">
        <f ca="1">BINOMDIST(Worksheet!$A$29,Worksheet!$B$15,$P496,1)</f>
        <v>0.42147379581950123</v>
      </c>
      <c r="M496">
        <f ca="1">BINOMDIST(Worksheet!$A$30,Worksheet!$B$15,$P496,1)</f>
        <v>0.56460655485349698</v>
      </c>
      <c r="N496">
        <f ca="1">BINOMDIST(Worksheet!$A$31,Worksheet!$B$15,$P496,1)</f>
        <v>0.695117377464743</v>
      </c>
      <c r="O496">
        <f ca="1">BINOMDIST(Worksheet!$A$32,Worksheet!$B$15,$P496,1)</f>
        <v>0.8014595292220541</v>
      </c>
      <c r="P496">
        <v>5.5E-2</v>
      </c>
    </row>
    <row r="497" spans="5:16" x14ac:dyDescent="0.2">
      <c r="E497">
        <f ca="1">BINOMDIST(Worksheet!$A$22,Worksheet!$B$15,$P497,1)</f>
        <v>2.5572861342301268E-4</v>
      </c>
      <c r="F497">
        <f ca="1">BINOMDIST(Worksheet!$A$23,Worksheet!$B$15,$P497,1)</f>
        <v>2.4307734586677871E-3</v>
      </c>
      <c r="G497">
        <f ca="1">BINOMDIST(Worksheet!$A$24,Worksheet!$B$15,$P497,1)</f>
        <v>1.1618383608348689E-2</v>
      </c>
      <c r="H497">
        <f ca="1">BINOMDIST(Worksheet!$A$25,Worksheet!$B$15,$P497,1)</f>
        <v>3.7316498255341994E-2</v>
      </c>
      <c r="I497">
        <f ca="1">BINOMDIST(Worksheet!$A$26,Worksheet!$B$15,$P497,1)</f>
        <v>9.0858764607586989E-2</v>
      </c>
      <c r="J497">
        <f ca="1">BINOMDIST(Worksheet!$A$27,Worksheet!$B$15,$P497,1)</f>
        <v>0.17949215689893558</v>
      </c>
      <c r="K497">
        <f ca="1">BINOMDIST(Worksheet!$A$28,Worksheet!$B$15,$P497,1)</f>
        <v>0.30091803048200921</v>
      </c>
      <c r="L497">
        <f ca="1">BINOMDIST(Worksheet!$A$29,Worksheet!$B$15,$P497,1)</f>
        <v>0.44251431495928123</v>
      </c>
      <c r="M497">
        <f ca="1">BINOMDIST(Worksheet!$A$30,Worksheet!$B$15,$P497,1)</f>
        <v>0.58598158628218289</v>
      </c>
      <c r="N497">
        <f ca="1">BINOMDIST(Worksheet!$A$31,Worksheet!$B$15,$P497,1)</f>
        <v>0.71428318410372094</v>
      </c>
      <c r="O497">
        <f ca="1">BINOMDIST(Worksheet!$A$32,Worksheet!$B$15,$P497,1)</f>
        <v>0.81681596206681073</v>
      </c>
      <c r="P497">
        <v>5.3999999999999999E-2</v>
      </c>
    </row>
    <row r="498" spans="5:16" x14ac:dyDescent="0.2">
      <c r="E498">
        <f ca="1">BINOMDIST(Worksheet!$A$22,Worksheet!$B$15,$P498,1)</f>
        <v>2.9932767440557365E-4</v>
      </c>
      <c r="F498">
        <f ca="1">BINOMDIST(Worksheet!$A$23,Worksheet!$B$15,$P498,1)</f>
        <v>2.795410720636631E-3</v>
      </c>
      <c r="G498">
        <f ca="1">BINOMDIST(Worksheet!$A$24,Worksheet!$B$15,$P498,1)</f>
        <v>1.3132937338712895E-2</v>
      </c>
      <c r="H498">
        <f ca="1">BINOMDIST(Worksheet!$A$25,Worksheet!$B$15,$P498,1)</f>
        <v>4.1481993967164905E-2</v>
      </c>
      <c r="I498">
        <f ca="1">BINOMDIST(Worksheet!$A$26,Worksheet!$B$15,$P498,1)</f>
        <v>9.9392500881357551E-2</v>
      </c>
      <c r="J498">
        <f ca="1">BINOMDIST(Worksheet!$A$27,Worksheet!$B$15,$P498,1)</f>
        <v>0.19338241548232266</v>
      </c>
      <c r="K498">
        <f ca="1">BINOMDIST(Worksheet!$A$28,Worksheet!$B$15,$P498,1)</f>
        <v>0.31962863657253143</v>
      </c>
      <c r="L498">
        <f ca="1">BINOMDIST(Worksheet!$A$29,Worksheet!$B$15,$P498,1)</f>
        <v>0.46396716570855379</v>
      </c>
      <c r="M498">
        <f ca="1">BINOMDIST(Worksheet!$A$30,Worksheet!$B$15,$P498,1)</f>
        <v>0.60735309103560042</v>
      </c>
      <c r="N498">
        <f ca="1">BINOMDIST(Worksheet!$A$31,Worksheet!$B$15,$P498,1)</f>
        <v>0.73307443562893848</v>
      </c>
      <c r="O498">
        <f ca="1">BINOMDIST(Worksheet!$A$32,Worksheet!$B$15,$P498,1)</f>
        <v>0.83158049443385573</v>
      </c>
      <c r="P498">
        <v>5.2999999999999999E-2</v>
      </c>
    </row>
    <row r="499" spans="5:16" x14ac:dyDescent="0.2">
      <c r="E499">
        <f ca="1">BINOMDIST(Worksheet!$A$22,Worksheet!$B$15,$P499,1)</f>
        <v>3.5030171487005521E-4</v>
      </c>
      <c r="F499">
        <f ca="1">BINOMDIST(Worksheet!$A$23,Worksheet!$B$15,$P499,1)</f>
        <v>3.2133161524367025E-3</v>
      </c>
      <c r="G499">
        <f ca="1">BINOMDIST(Worksheet!$A$24,Worksheet!$B$15,$P499,1)</f>
        <v>1.4834497118424545E-2</v>
      </c>
      <c r="H499">
        <f ca="1">BINOMDIST(Worksheet!$A$25,Worksheet!$B$15,$P499,1)</f>
        <v>4.6069485621944621E-2</v>
      </c>
      <c r="I499">
        <f ca="1">BINOMDIST(Worksheet!$A$26,Worksheet!$B$15,$P499,1)</f>
        <v>0.10860535922920317</v>
      </c>
      <c r="J499">
        <f ca="1">BINOMDIST(Worksheet!$A$27,Worksheet!$B$15,$P499,1)</f>
        <v>0.20808225522049636</v>
      </c>
      <c r="K499">
        <f ca="1">BINOMDIST(Worksheet!$A$28,Worksheet!$B$15,$P499,1)</f>
        <v>0.33903918158878094</v>
      </c>
      <c r="L499">
        <f ca="1">BINOMDIST(Worksheet!$A$29,Worksheet!$B$15,$P499,1)</f>
        <v>0.4857835614071303</v>
      </c>
      <c r="M499">
        <f ca="1">BINOMDIST(Worksheet!$A$30,Worksheet!$B$15,$P499,1)</f>
        <v>0.62865809998554389</v>
      </c>
      <c r="N499">
        <f ca="1">BINOMDIST(Worksheet!$A$31,Worksheet!$B$15,$P499,1)</f>
        <v>0.75143776675264773</v>
      </c>
      <c r="O499">
        <f ca="1">BINOMDIST(Worksheet!$A$32,Worksheet!$B$15,$P499,1)</f>
        <v>0.84572426190713246</v>
      </c>
      <c r="P499">
        <v>5.1999999999999998E-2</v>
      </c>
    </row>
    <row r="500" spans="5:16" x14ac:dyDescent="0.2">
      <c r="E500">
        <f ca="1">BINOMDIST(Worksheet!$A$22,Worksheet!$B$15,$P500,1)</f>
        <v>4.0988842253587783E-4</v>
      </c>
      <c r="F500">
        <f ca="1">BINOMDIST(Worksheet!$A$23,Worksheet!$B$15,$P500,1)</f>
        <v>3.6920192158447613E-3</v>
      </c>
      <c r="G500">
        <f ca="1">BINOMDIST(Worksheet!$A$24,Worksheet!$B$15,$P500,1)</f>
        <v>1.6744455057728581E-2</v>
      </c>
      <c r="H500">
        <f ca="1">BINOMDIST(Worksheet!$A$25,Worksheet!$B$15,$P500,1)</f>
        <v>5.1115410978558547E-2</v>
      </c>
      <c r="I500">
        <f ca="1">BINOMDIST(Worksheet!$A$26,Worksheet!$B$15,$P500,1)</f>
        <v>0.11853536297710961</v>
      </c>
      <c r="J500">
        <f ca="1">BINOMDIST(Worksheet!$A$27,Worksheet!$B$15,$P500,1)</f>
        <v>0.22360818595483062</v>
      </c>
      <c r="K500">
        <f ca="1">BINOMDIST(Worksheet!$A$28,Worksheet!$B$15,$P500,1)</f>
        <v>0.35912887649722292</v>
      </c>
      <c r="L500">
        <f ca="1">BINOMDIST(Worksheet!$A$29,Worksheet!$B$15,$P500,1)</f>
        <v>0.50790990857996698</v>
      </c>
      <c r="M500">
        <f ca="1">BINOMDIST(Worksheet!$A$30,Worksheet!$B$15,$P500,1)</f>
        <v>0.64983196262939136</v>
      </c>
      <c r="N500">
        <f ca="1">BINOMDIST(Worksheet!$A$31,Worksheet!$B$15,$P500,1)</f>
        <v>0.76932165829376453</v>
      </c>
      <c r="O500">
        <f ca="1">BINOMDIST(Worksheet!$A$32,Worksheet!$B$15,$P500,1)</f>
        <v>0.85922223016348265</v>
      </c>
      <c r="P500">
        <v>5.0999999999999997E-2</v>
      </c>
    </row>
    <row r="501" spans="5:16" x14ac:dyDescent="0.2">
      <c r="E501">
        <f ca="1">BINOMDIST(Worksheet!$A$22,Worksheet!$B$15,$P501,1)</f>
        <v>4.7953155208806347E-4</v>
      </c>
      <c r="F501">
        <f ca="1">BINOMDIST(Worksheet!$A$23,Worksheet!$B$15,$P501,1)</f>
        <v>4.2400684605681362E-3</v>
      </c>
      <c r="G501">
        <f ca="1">BINOMDIST(Worksheet!$A$24,Worksheet!$B$15,$P501,1)</f>
        <v>1.8886370104122113E-2</v>
      </c>
      <c r="H501">
        <f ca="1">BINOMDIST(Worksheet!$A$25,Worksheet!$B$15,$P501,1)</f>
        <v>5.6658411184866628E-2</v>
      </c>
      <c r="I501">
        <f ca="1">BINOMDIST(Worksheet!$A$26,Worksheet!$B$15,$P501,1)</f>
        <v>0.12922049010313885</v>
      </c>
      <c r="J501">
        <f ca="1">BINOMDIST(Worksheet!$A$27,Worksheet!$B$15,$P501,1)</f>
        <v>0.2399731368731334</v>
      </c>
      <c r="K501">
        <f ca="1">BINOMDIST(Worksheet!$A$28,Worksheet!$B$15,$P501,1)</f>
        <v>0.37987121700365295</v>
      </c>
      <c r="L501">
        <f ca="1">BINOMDIST(Worksheet!$A$29,Worksheet!$B$15,$P501,1)</f>
        <v>0.53028794977556504</v>
      </c>
      <c r="M501">
        <f ca="1">BINOMDIST(Worksheet!$A$30,Worksheet!$B$15,$P501,1)</f>
        <v>0.67080884486511438</v>
      </c>
      <c r="N501">
        <f ca="1">BINOMDIST(Worksheet!$A$31,Worksheet!$B$15,$P501,1)</f>
        <v>0.78667695134246196</v>
      </c>
      <c r="O501">
        <f ca="1">BINOMDIST(Worksheet!$A$32,Worksheet!$B$15,$P501,1)</f>
        <v>0.87205345085208652</v>
      </c>
      <c r="P501">
        <v>0.05</v>
      </c>
    </row>
    <row r="502" spans="5:16" x14ac:dyDescent="0.2">
      <c r="E502">
        <f ca="1">BINOMDIST(Worksheet!$A$22,Worksheet!$B$15,$P502,1)</f>
        <v>5.6091496073449709E-4</v>
      </c>
      <c r="F502">
        <f ca="1">BINOMDIST(Worksheet!$A$23,Worksheet!$B$15,$P502,1)</f>
        <v>4.867161152451175E-3</v>
      </c>
      <c r="G502">
        <f ca="1">BINOMDIST(Worksheet!$A$24,Worksheet!$B$15,$P502,1)</f>
        <v>2.1286139797208992E-2</v>
      </c>
      <c r="H502">
        <f ca="1">BINOMDIST(Worksheet!$A$25,Worksheet!$B$15,$P502,1)</f>
        <v>6.2739313010735306E-2</v>
      </c>
      <c r="I502">
        <f ca="1">BINOMDIST(Worksheet!$A$26,Worksheet!$B$15,$P502,1)</f>
        <v>0.14069830385447016</v>
      </c>
      <c r="J502">
        <f ca="1">BINOMDIST(Worksheet!$A$27,Worksheet!$B$15,$P502,1)</f>
        <v>0.25718592319090261</v>
      </c>
      <c r="K502">
        <f ca="1">BINOMDIST(Worksheet!$A$28,Worksheet!$B$15,$P502,1)</f>
        <v>0.40123370483090715</v>
      </c>
      <c r="L502">
        <f ca="1">BINOMDIST(Worksheet!$A$29,Worksheet!$B$15,$P502,1)</f>
        <v>0.5528549765676527</v>
      </c>
      <c r="M502">
        <f ca="1">BINOMDIST(Worksheet!$A$30,Worksheet!$B$15,$P502,1)</f>
        <v>0.69152227529849797</v>
      </c>
      <c r="N502">
        <f ca="1">BINOMDIST(Worksheet!$A$31,Worksheet!$B$15,$P502,1)</f>
        <v>0.80345735730941215</v>
      </c>
      <c r="O502">
        <f ca="1">BINOMDIST(Worksheet!$A$32,Worksheet!$B$15,$P502,1)</f>
        <v>0.8842012755633416</v>
      </c>
      <c r="P502">
        <v>4.9000000000000002E-2</v>
      </c>
    </row>
    <row r="503" spans="5:16" x14ac:dyDescent="0.2">
      <c r="E503">
        <f ca="1">BINOMDIST(Worksheet!$A$22,Worksheet!$B$15,$P503,1)</f>
        <v>6.5600222029820615E-4</v>
      </c>
      <c r="F503">
        <f ca="1">BINOMDIST(Worksheet!$A$23,Worksheet!$B$15,$P503,1)</f>
        <v>5.5842878080847192E-3</v>
      </c>
      <c r="G503">
        <f ca="1">BINOMDIST(Worksheet!$A$24,Worksheet!$B$15,$P503,1)</f>
        <v>2.3972176891926864E-2</v>
      </c>
      <c r="H503">
        <f ca="1">BINOMDIST(Worksheet!$A$25,Worksheet!$B$15,$P503,1)</f>
        <v>6.9401079334360419E-2</v>
      </c>
      <c r="I503">
        <f ca="1">BINOMDIST(Worksheet!$A$26,Worksheet!$B$15,$P503,1)</f>
        <v>0.15300553004774653</v>
      </c>
      <c r="J503">
        <f ca="1">BINOMDIST(Worksheet!$A$27,Worksheet!$B$15,$P503,1)</f>
        <v>0.27525069327572288</v>
      </c>
      <c r="K503">
        <f ca="1">BINOMDIST(Worksheet!$A$28,Worksheet!$B$15,$P503,1)</f>
        <v>0.42317761348436617</v>
      </c>
      <c r="L503">
        <f ca="1">BINOMDIST(Worksheet!$A$29,Worksheet!$B$15,$P503,1)</f>
        <v>0.57554411713264542</v>
      </c>
      <c r="M503">
        <f ca="1">BINOMDIST(Worksheet!$A$30,Worksheet!$B$15,$P503,1)</f>
        <v>0.71190573594392004</v>
      </c>
      <c r="N503">
        <f ca="1">BINOMDIST(Worksheet!$A$31,Worksheet!$B$15,$P503,1)</f>
        <v>0.81961995584526304</v>
      </c>
      <c r="O503">
        <f ca="1">BINOMDIST(Worksheet!$A$32,Worksheet!$B$15,$P503,1)</f>
        <v>0.89565352283444655</v>
      </c>
      <c r="P503">
        <v>4.8000000000000001E-2</v>
      </c>
    </row>
    <row r="504" spans="5:16" x14ac:dyDescent="0.2">
      <c r="E504">
        <f ca="1">BINOMDIST(Worksheet!$A$22,Worksheet!$B$15,$P504,1)</f>
        <v>7.670827121669839E-4</v>
      </c>
      <c r="F504">
        <f ca="1">BINOMDIST(Worksheet!$A$23,Worksheet!$B$15,$P504,1)</f>
        <v>6.4038930304307629E-3</v>
      </c>
      <c r="G504">
        <f ca="1">BINOMDIST(Worksheet!$A$24,Worksheet!$B$15,$P504,1)</f>
        <v>2.6975589029299023E-2</v>
      </c>
      <c r="H504">
        <f ca="1">BINOMDIST(Worksheet!$A$25,Worksheet!$B$15,$P504,1)</f>
        <v>7.6688722172419288E-2</v>
      </c>
      <c r="I504">
        <f ca="1">BINOMDIST(Worksheet!$A$26,Worksheet!$B$15,$P504,1)</f>
        <v>0.16617757831829835</v>
      </c>
      <c r="J504">
        <f ca="1">BINOMDIST(Worksheet!$A$27,Worksheet!$B$15,$P504,1)</f>
        <v>0.29416636208202696</v>
      </c>
      <c r="K504">
        <f ca="1">BINOMDIST(Worksheet!$A$28,Worksheet!$B$15,$P504,1)</f>
        <v>0.44565780813185429</v>
      </c>
      <c r="L504">
        <f ca="1">BINOMDIST(Worksheet!$A$29,Worksheet!$B$15,$P504,1)</f>
        <v>0.59828470198598271</v>
      </c>
      <c r="M504">
        <f ca="1">BINOMDIST(Worksheet!$A$30,Worksheet!$B$15,$P504,1)</f>
        <v>0.73189329191022878</v>
      </c>
      <c r="N504">
        <f ca="1">BINOMDIST(Worksheet!$A$31,Worksheet!$B$15,$P504,1)</f>
        <v>0.83512567216299516</v>
      </c>
      <c r="O504">
        <f ca="1">BINOMDIST(Worksheet!$A$32,Worksheet!$B$15,$P504,1)</f>
        <v>0.90640259368064546</v>
      </c>
      <c r="P504">
        <v>4.7E-2</v>
      </c>
    </row>
    <row r="505" spans="5:16" x14ac:dyDescent="0.2">
      <c r="E505">
        <f ca="1">BINOMDIST(Worksheet!$A$22,Worksheet!$B$15,$P505,1)</f>
        <v>8.9682525752828621E-4</v>
      </c>
      <c r="F505">
        <f ca="1">BINOMDIST(Worksheet!$A$23,Worksheet!$B$15,$P505,1)</f>
        <v>7.3400540993509948E-3</v>
      </c>
      <c r="G505">
        <f ca="1">BINOMDIST(Worksheet!$A$24,Worksheet!$B$15,$P505,1)</f>
        <v>3.0330359107280269E-2</v>
      </c>
      <c r="H505">
        <f ca="1">BINOMDIST(Worksheet!$A$25,Worksheet!$B$15,$P505,1)</f>
        <v>8.4649171987649874E-2</v>
      </c>
      <c r="I505">
        <f ca="1">BINOMDIST(Worksheet!$A$26,Worksheet!$B$15,$P505,1)</f>
        <v>0.18024800513874042</v>
      </c>
      <c r="J505">
        <f ca="1">BINOMDIST(Worksheet!$A$27,Worksheet!$B$15,$P505,1)</f>
        <v>0.31392603807747738</v>
      </c>
      <c r="K505">
        <f ca="1">BINOMDIST(Worksheet!$A$28,Worksheet!$B$15,$P505,1)</f>
        <v>0.46862262965438062</v>
      </c>
      <c r="L505">
        <f ca="1">BINOMDIST(Worksheet!$A$29,Worksheet!$B$15,$P505,1)</f>
        <v>0.62100271042599919</v>
      </c>
      <c r="M505">
        <f ca="1">BINOMDIST(Worksheet!$A$30,Worksheet!$B$15,$P505,1)</f>
        <v>0.75142025335055551</v>
      </c>
      <c r="N505">
        <f ca="1">BINOMDIST(Worksheet!$A$31,Worksheet!$B$15,$P505,1)</f>
        <v>0.84993972497979731</v>
      </c>
      <c r="O505">
        <f ca="1">BINOMDIST(Worksheet!$A$32,Worksheet!$B$15,$P505,1)</f>
        <v>0.91644553182385602</v>
      </c>
      <c r="P505">
        <v>4.5999999999999999E-2</v>
      </c>
    </row>
    <row r="506" spans="5:16" x14ac:dyDescent="0.2">
      <c r="E506">
        <f ca="1">BINOMDIST(Worksheet!$A$22,Worksheet!$B$15,$P506,1)</f>
        <v>1.0483405047841902E-3</v>
      </c>
      <c r="F506">
        <f ca="1">BINOMDIST(Worksheet!$A$23,Worksheet!$B$15,$P506,1)</f>
        <v>8.4086788132428144E-3</v>
      </c>
      <c r="G506">
        <f ca="1">BINOMDIST(Worksheet!$A$24,Worksheet!$B$15,$P506,1)</f>
        <v>3.4073523386192801E-2</v>
      </c>
      <c r="H506">
        <f ca="1">BINOMDIST(Worksheet!$A$25,Worksheet!$B$15,$P506,1)</f>
        <v>9.3331096457768492E-2</v>
      </c>
      <c r="I506">
        <f ca="1">BINOMDIST(Worksheet!$A$26,Worksheet!$B$15,$P506,1)</f>
        <v>0.19524791715940509</v>
      </c>
      <c r="J506">
        <f ca="1">BINOMDIST(Worksheet!$A$27,Worksheet!$B$15,$P506,1)</f>
        <v>0.33451645225431192</v>
      </c>
      <c r="K506">
        <f ca="1">BINOMDIST(Worksheet!$A$28,Worksheet!$B$15,$P506,1)</f>
        <v>0.49201385319933655</v>
      </c>
      <c r="L506">
        <f ca="1">BINOMDIST(Worksheet!$A$29,Worksheet!$B$15,$P506,1)</f>
        <v>0.64362129898561005</v>
      </c>
      <c r="M506">
        <f ca="1">BINOMDIST(Worksheet!$A$30,Worksheet!$B$15,$P506,1)</f>
        <v>0.77042386162622345</v>
      </c>
      <c r="N506">
        <f ca="1">BINOMDIST(Worksheet!$A$31,Worksheet!$B$15,$P506,1)</f>
        <v>0.86403203614102175</v>
      </c>
      <c r="O506">
        <f ca="1">BINOMDIST(Worksheet!$A$32,Worksheet!$B$15,$P506,1)</f>
        <v>0.92578402561151696</v>
      </c>
      <c r="P506">
        <v>4.4999999999999998E-2</v>
      </c>
    </row>
    <row r="507" spans="5:16" x14ac:dyDescent="0.2">
      <c r="E507">
        <f ca="1">BINOMDIST(Worksheet!$A$22,Worksheet!$B$15,$P507,1)</f>
        <v>1.2252534925739614E-3</v>
      </c>
      <c r="F507">
        <f ca="1">BINOMDIST(Worksheet!$A$23,Worksheet!$B$15,$P507,1)</f>
        <v>9.6277240964598217E-3</v>
      </c>
      <c r="G507">
        <f ca="1">BINOMDIST(Worksheet!$A$24,Worksheet!$B$15,$P507,1)</f>
        <v>3.8245343642748904E-2</v>
      </c>
      <c r="H507">
        <f ca="1">BINOMDIST(Worksheet!$A$25,Worksheet!$B$15,$P507,1)</f>
        <v>0.10278466136429627</v>
      </c>
      <c r="I507">
        <f ca="1">BINOMDIST(Worksheet!$A$26,Worksheet!$B$15,$P507,1)</f>
        <v>0.2112053143567702</v>
      </c>
      <c r="J507">
        <f ca="1">BINOMDIST(Worksheet!$A$27,Worksheet!$B$15,$P507,1)</f>
        <v>0.35591739931325223</v>
      </c>
      <c r="K507">
        <f ca="1">BINOMDIST(Worksheet!$A$28,Worksheet!$B$15,$P507,1)</f>
        <v>0.51576673165012044</v>
      </c>
      <c r="L507">
        <f ca="1">BINOMDIST(Worksheet!$A$29,Worksheet!$B$15,$P507,1)</f>
        <v>0.66606141172536915</v>
      </c>
      <c r="M507">
        <f ca="1">BINOMDIST(Worksheet!$A$30,Worksheet!$B$15,$P507,1)</f>
        <v>0.78884399032240871</v>
      </c>
      <c r="N507">
        <f ca="1">BINOMDIST(Worksheet!$A$31,Worksheet!$B$15,$P507,1)</f>
        <v>0.8773775930206924</v>
      </c>
      <c r="O507">
        <f ca="1">BINOMDIST(Worksheet!$A$32,Worksheet!$B$15,$P507,1)</f>
        <v>0.93442434957105092</v>
      </c>
      <c r="P507">
        <v>4.3999999999999997E-2</v>
      </c>
    </row>
    <row r="508" spans="5:16" x14ac:dyDescent="0.2">
      <c r="E508">
        <f ca="1">BINOMDIST(Worksheet!$A$22,Worksheet!$B$15,$P508,1)</f>
        <v>1.4317880347178287E-3</v>
      </c>
      <c r="F508">
        <f ca="1">BINOMDIST(Worksheet!$A$23,Worksheet!$B$15,$P508,1)</f>
        <v>1.1017436873210112E-2</v>
      </c>
      <c r="G508">
        <f ca="1">BINOMDIST(Worksheet!$A$24,Worksheet!$B$15,$P508,1)</f>
        <v>4.2889468852397632E-2</v>
      </c>
      <c r="H508">
        <f ca="1">BINOMDIST(Worksheet!$A$25,Worksheet!$B$15,$P508,1)</f>
        <v>0.11306122578045205</v>
      </c>
      <c r="I508">
        <f ca="1">BINOMDIST(Worksheet!$A$26,Worksheet!$B$15,$P508,1)</f>
        <v>0.22814437363685908</v>
      </c>
      <c r="J508">
        <f ca="1">BINOMDIST(Worksheet!$A$27,Worksheet!$B$15,$P508,1)</f>
        <v>0.37810120266187419</v>
      </c>
      <c r="K508">
        <f ca="1">BINOMDIST(Worksheet!$A$28,Worksheet!$B$15,$P508,1)</f>
        <v>0.53981013427505709</v>
      </c>
      <c r="L508">
        <f ca="1">BINOMDIST(Worksheet!$A$29,Worksheet!$B$15,$P508,1)</f>
        <v>0.68824247051769882</v>
      </c>
      <c r="M508">
        <f ca="1">BINOMDIST(Worksheet!$A$30,Worksheet!$B$15,$P508,1)</f>
        <v>0.80662385049387053</v>
      </c>
      <c r="N508">
        <f ca="1">BINOMDIST(Worksheet!$A$31,Worksheet!$B$15,$P508,1)</f>
        <v>0.88995675503300098</v>
      </c>
      <c r="O508">
        <f ca="1">BINOMDIST(Worksheet!$A$32,Worksheet!$B$15,$P508,1)</f>
        <v>0.94237724461769967</v>
      </c>
      <c r="P508">
        <v>4.2999999999999997E-2</v>
      </c>
    </row>
    <row r="509" spans="5:16" x14ac:dyDescent="0.2">
      <c r="E509">
        <f ca="1">BINOMDIST(Worksheet!$A$22,Worksheet!$B$15,$P509,1)</f>
        <v>1.6728648375955095E-3</v>
      </c>
      <c r="F509">
        <f ca="1">BINOMDIST(Worksheet!$A$23,Worksheet!$B$15,$P509,1)</f>
        <v>1.2600618651450088E-2</v>
      </c>
      <c r="G509">
        <f ca="1">BINOMDIST(Worksheet!$A$24,Worksheet!$B$15,$P509,1)</f>
        <v>4.8053080920197541E-2</v>
      </c>
      <c r="H509">
        <f ca="1">BINOMDIST(Worksheet!$A$25,Worksheet!$B$15,$P509,1)</f>
        <v>0.12421296333051304</v>
      </c>
      <c r="I509">
        <f ca="1">BINOMDIST(Worksheet!$A$26,Worksheet!$B$15,$P509,1)</f>
        <v>0.24608467495370054</v>
      </c>
      <c r="J509">
        <f ca="1">BINOMDIST(Worksheet!$A$27,Worksheet!$B$15,$P509,1)</f>
        <v>0.40103221645374498</v>
      </c>
      <c r="K509">
        <f ca="1">BINOMDIST(Worksheet!$A$28,Worksheet!$B$15,$P509,1)</f>
        <v>0.56406679039116114</v>
      </c>
      <c r="L509">
        <f ca="1">BINOMDIST(Worksheet!$A$29,Worksheet!$B$15,$P509,1)</f>
        <v>0.71008314157936869</v>
      </c>
      <c r="M509">
        <f ca="1">BINOMDIST(Worksheet!$A$30,Worksheet!$B$15,$P509,1)</f>
        <v>0.82371068835474337</v>
      </c>
      <c r="N509">
        <f ca="1">BINOMDIST(Worksheet!$A$31,Worksheet!$B$15,$P509,1)</f>
        <v>0.90175549605640992</v>
      </c>
      <c r="O509">
        <f ca="1">BINOMDIST(Worksheet!$A$32,Worksheet!$B$15,$P509,1)</f>
        <v>0.94965773710920742</v>
      </c>
      <c r="P509">
        <v>4.2000000000000003E-2</v>
      </c>
    </row>
    <row r="510" spans="5:16" x14ac:dyDescent="0.2">
      <c r="E510">
        <f ca="1">BINOMDIST(Worksheet!$A$22,Worksheet!$B$15,$P510,1)</f>
        <v>1.9542155667265572E-3</v>
      </c>
      <c r="F510">
        <f ca="1">BINOMDIST(Worksheet!$A$23,Worksheet!$B$15,$P510,1)</f>
        <v>1.4402915146635336E-2</v>
      </c>
      <c r="G510">
        <f ca="1">BINOMDIST(Worksheet!$A$24,Worksheet!$B$15,$P510,1)</f>
        <v>5.3787017884323857E-2</v>
      </c>
      <c r="H510">
        <f ca="1">BINOMDIST(Worksheet!$A$25,Worksheet!$B$15,$P510,1)</f>
        <v>0.13629240099174439</v>
      </c>
      <c r="I510">
        <f ca="1">BINOMDIST(Worksheet!$A$26,Worksheet!$B$15,$P510,1)</f>
        <v>0.26504037369273992</v>
      </c>
      <c r="J510">
        <f ca="1">BINOMDIST(Worksheet!$A$27,Worksheet!$B$15,$P510,1)</f>
        <v>0.42466637947113817</v>
      </c>
      <c r="K510">
        <f ca="1">BINOMDIST(Worksheet!$A$28,Worksheet!$B$15,$P510,1)</f>
        <v>0.58845364713114168</v>
      </c>
      <c r="L510">
        <f ca="1">BINOMDIST(Worksheet!$A$29,Worksheet!$B$15,$P510,1)</f>
        <v>0.73150217242394733</v>
      </c>
      <c r="M510">
        <f ca="1">BINOMDIST(Worksheet!$A$30,Worksheet!$B$15,$P510,1)</f>
        <v>0.84005646260313271</v>
      </c>
      <c r="N510">
        <f ca="1">BINOMDIST(Worksheet!$A$31,Worksheet!$B$15,$P510,1)</f>
        <v>0.91276557528137081</v>
      </c>
      <c r="O510">
        <f ca="1">BINOMDIST(Worksheet!$A$32,Worksheet!$B$15,$P510,1)</f>
        <v>0.95628489819827256</v>
      </c>
      <c r="P510">
        <v>4.1000000000000002E-2</v>
      </c>
    </row>
    <row r="511" spans="5:16" x14ac:dyDescent="0.2">
      <c r="E511">
        <f ca="1">BINOMDIST(Worksheet!$A$22,Worksheet!$B$15,$P511,1)</f>
        <v>2.2825154342649952E-3</v>
      </c>
      <c r="F511">
        <f ca="1">BINOMDIST(Worksheet!$A$23,Worksheet!$B$15,$P511,1)</f>
        <v>1.6453132088660158E-2</v>
      </c>
      <c r="G511">
        <f ca="1">BINOMDIST(Worksheet!$A$24,Worksheet!$B$15,$P511,1)</f>
        <v>6.0145866773045321E-2</v>
      </c>
      <c r="H511">
        <f ca="1">BINOMDIST(Worksheet!$A$25,Worksheet!$B$15,$P511,1)</f>
        <v>0.14935186675366502</v>
      </c>
      <c r="I511">
        <f ca="1">BINOMDIST(Worksheet!$A$26,Worksheet!$B$15,$P511,1)</f>
        <v>0.28501932505752414</v>
      </c>
      <c r="J511">
        <f ca="1">BINOMDIST(Worksheet!$A$27,Worksheet!$B$15,$P511,1)</f>
        <v>0.44895083717468709</v>
      </c>
      <c r="K511">
        <f ca="1">BINOMDIST(Worksheet!$A$28,Worksheet!$B$15,$P511,1)</f>
        <v>0.6128823492918507</v>
      </c>
      <c r="L511">
        <f ca="1">BINOMDIST(Worksheet!$A$29,Worksheet!$B$15,$P511,1)</f>
        <v>0.75241929115348316</v>
      </c>
      <c r="M511">
        <f ca="1">BINOMDIST(Worksheet!$A$30,Worksheet!$B$15,$P511,1)</f>
        <v>0.85561848773864924</v>
      </c>
      <c r="N511">
        <f ca="1">BINOMDIST(Worksheet!$A$31,Worksheet!$B$15,$P511,1)</f>
        <v>0.92298462995396591</v>
      </c>
      <c r="O511">
        <f ca="1">BINOMDIST(Worksheet!$A$32,Worksheet!$B$15,$P511,1)</f>
        <v>0.96228154624623408</v>
      </c>
      <c r="P511">
        <v>0.04</v>
      </c>
    </row>
    <row r="512" spans="5:16" x14ac:dyDescent="0.2">
      <c r="E512">
        <f ca="1">BINOMDIST(Worksheet!$A$22,Worksheet!$B$15,$P512,1)</f>
        <v>2.665537290436901E-3</v>
      </c>
      <c r="F512">
        <f ca="1">BINOMDIST(Worksheet!$A$23,Worksheet!$B$15,$P512,1)</f>
        <v>1.8783578075794671E-2</v>
      </c>
      <c r="G512">
        <f ca="1">BINOMDIST(Worksheet!$A$24,Worksheet!$B$15,$P512,1)</f>
        <v>6.7188016896338437E-2</v>
      </c>
      <c r="H512">
        <f ca="1">BINOMDIST(Worksheet!$A$25,Worksheet!$B$15,$P512,1)</f>
        <v>0.16344283748536981</v>
      </c>
      <c r="I512">
        <f ca="1">BINOMDIST(Worksheet!$A$26,Worksheet!$B$15,$P512,1)</f>
        <v>0.30602216850356562</v>
      </c>
      <c r="J512">
        <f ca="1">BINOMDIST(Worksheet!$A$27,Worksheet!$B$15,$P512,1)</f>
        <v>0.47382364964985024</v>
      </c>
      <c r="K512">
        <f ca="1">BINOMDIST(Worksheet!$A$28,Worksheet!$B$15,$P512,1)</f>
        <v>0.63725984772781341</v>
      </c>
      <c r="L512">
        <f ca="1">BINOMDIST(Worksheet!$A$29,Worksheet!$B$15,$P512,1)</f>
        <v>0.77275615762536076</v>
      </c>
      <c r="M512">
        <f ca="1">BINOMDIST(Worksheet!$A$30,Worksheet!$B$15,$P512,1)</f>
        <v>0.87036002914104948</v>
      </c>
      <c r="N512">
        <f ca="1">BINOMDIST(Worksheet!$A$31,Worksheet!$B$15,$P512,1)</f>
        <v>0.93241618470409415</v>
      </c>
      <c r="O512">
        <f ca="1">BINOMDIST(Worksheet!$A$32,Worksheet!$B$15,$P512,1)</f>
        <v>0.96767389639756174</v>
      </c>
      <c r="P512">
        <v>3.9E-2</v>
      </c>
    </row>
    <row r="513" spans="5:16" x14ac:dyDescent="0.2">
      <c r="E513">
        <f ca="1">BINOMDIST(Worksheet!$A$22,Worksheet!$B$15,$P513,1)</f>
        <v>3.1123306785150809E-3</v>
      </c>
      <c r="F513">
        <f ca="1">BINOMDIST(Worksheet!$A$23,Worksheet!$B$15,$P513,1)</f>
        <v>2.1430434942290917E-2</v>
      </c>
      <c r="G513">
        <f ca="1">BINOMDIST(Worksheet!$A$24,Worksheet!$B$15,$P513,1)</f>
        <v>7.4975662790251099E-2</v>
      </c>
      <c r="H513">
        <f ca="1">BINOMDIST(Worksheet!$A$25,Worksheet!$B$15,$P513,1)</f>
        <v>0.17861517864565862</v>
      </c>
      <c r="I513">
        <f ca="1">BINOMDIST(Worksheet!$A$26,Worksheet!$B$15,$P513,1)</f>
        <v>0.3280413828987252</v>
      </c>
      <c r="J513">
        <f ca="1">BINOMDIST(Worksheet!$A$27,Worksheet!$B$15,$P513,1)</f>
        <v>0.49921360440275775</v>
      </c>
      <c r="K513">
        <f ca="1">BINOMDIST(Worksheet!$A$28,Worksheet!$B$15,$P513,1)</f>
        <v>0.66148914079743315</v>
      </c>
      <c r="L513">
        <f ca="1">BINOMDIST(Worksheet!$A$29,Worksheet!$B$15,$P513,1)</f>
        <v>0.79243735356379275</v>
      </c>
      <c r="M513">
        <f ca="1">BINOMDIST(Worksheet!$A$30,Worksheet!$B$15,$P513,1)</f>
        <v>0.88425083538386506</v>
      </c>
      <c r="N513">
        <f ca="1">BINOMDIST(Worksheet!$A$31,Worksheet!$B$15,$P513,1)</f>
        <v>0.94106957361347332</v>
      </c>
      <c r="O513">
        <f ca="1">BINOMDIST(Worksheet!$A$32,Worksheet!$B$15,$P513,1)</f>
        <v>0.972491162738371</v>
      </c>
      <c r="P513">
        <v>3.7999999999999999E-2</v>
      </c>
    </row>
    <row r="514" spans="5:16" x14ac:dyDescent="0.2">
      <c r="E514">
        <f ca="1">BINOMDIST(Worksheet!$A$22,Worksheet!$B$15,$P514,1)</f>
        <v>3.6334298650063392E-3</v>
      </c>
      <c r="F514">
        <f ca="1">BINOMDIST(Worksheet!$A$23,Worksheet!$B$15,$P514,1)</f>
        <v>2.4434155561558694E-2</v>
      </c>
      <c r="G514">
        <f ca="1">BINOMDIST(Worksheet!$A$24,Worksheet!$B$15,$P514,1)</f>
        <v>8.3574744302119919E-2</v>
      </c>
      <c r="H514">
        <f ca="1">BINOMDIST(Worksheet!$A$25,Worksheet!$B$15,$P514,1)</f>
        <v>0.19491626806809853</v>
      </c>
      <c r="I514">
        <f ca="1">BINOMDIST(Worksheet!$A$26,Worksheet!$B$15,$P514,1)</f>
        <v>0.35106032605974369</v>
      </c>
      <c r="J514">
        <f ca="1">BINOMDIST(Worksheet!$A$27,Worksheet!$B$15,$P514,1)</f>
        <v>0.52504015391543923</v>
      </c>
      <c r="K514">
        <f ca="1">BINOMDIST(Worksheet!$A$28,Worksheet!$B$15,$P514,1)</f>
        <v>0.68547015094125241</v>
      </c>
      <c r="L514">
        <f ca="1">BINOMDIST(Worksheet!$A$29,Worksheet!$B$15,$P514,1)</f>
        <v>0.81139139619619616</v>
      </c>
      <c r="M514">
        <f ca="1">BINOMDIST(Worksheet!$A$30,Worksheet!$B$15,$P514,1)</f>
        <v>0.89726759331061401</v>
      </c>
      <c r="N514">
        <f ca="1">BINOMDIST(Worksheet!$A$31,Worksheet!$B$15,$P514,1)</f>
        <v>0.94895977288208244</v>
      </c>
      <c r="O514">
        <f ca="1">BINOMDIST(Worksheet!$A$32,Worksheet!$B$15,$P514,1)</f>
        <v>0.97676511973360969</v>
      </c>
      <c r="P514">
        <v>3.6999999999999998E-2</v>
      </c>
    </row>
    <row r="515" spans="5:16" x14ac:dyDescent="0.2">
      <c r="E515">
        <f ca="1">BINOMDIST(Worksheet!$A$22,Worksheet!$B$15,$P515,1)</f>
        <v>4.2410954961919194E-3</v>
      </c>
      <c r="F515">
        <f ca="1">BINOMDIST(Worksheet!$A$23,Worksheet!$B$15,$P515,1)</f>
        <v>2.7839888277907104E-2</v>
      </c>
      <c r="G515">
        <f ca="1">BINOMDIST(Worksheet!$A$24,Worksheet!$B$15,$P515,1)</f>
        <v>9.3054809409120059E-2</v>
      </c>
      <c r="H515">
        <f ca="1">BINOMDIST(Worksheet!$A$25,Worksheet!$B$15,$P515,1)</f>
        <v>0.21238999703926489</v>
      </c>
      <c r="I515">
        <f ca="1">BINOMDIST(Worksheet!$A$26,Worksheet!$B$15,$P515,1)</f>
        <v>0.37505227561396426</v>
      </c>
      <c r="J515">
        <f ca="1">BINOMDIST(Worksheet!$A$27,Worksheet!$B$15,$P515,1)</f>
        <v>0.55121349846872225</v>
      </c>
      <c r="K515">
        <f ca="1">BINOMDIST(Worksheet!$A$28,Worksheet!$B$15,$P515,1)</f>
        <v>0.70910073555016484</v>
      </c>
      <c r="L515">
        <f ca="1">BINOMDIST(Worksheet!$A$29,Worksheet!$B$15,$P515,1)</f>
        <v>0.82955175755598365</v>
      </c>
      <c r="M515">
        <f ca="1">BINOMDIST(Worksheet!$A$30,Worksheet!$B$15,$P515,1)</f>
        <v>0.90939429185237186</v>
      </c>
      <c r="N515">
        <f ca="1">BINOMDIST(Worksheet!$A$31,Worksheet!$B$15,$P515,1)</f>
        <v>0.95610714386810103</v>
      </c>
      <c r="O515">
        <f ca="1">BINOMDIST(Worksheet!$A$32,Worksheet!$B$15,$P515,1)</f>
        <v>0.98052963081408406</v>
      </c>
      <c r="P515">
        <v>3.5999999999999997E-2</v>
      </c>
    </row>
    <row r="516" spans="5:16" x14ac:dyDescent="0.2">
      <c r="E516">
        <f ca="1">BINOMDIST(Worksheet!$A$22,Worksheet!$B$15,$P516,1)</f>
        <v>4.9495952727282777E-3</v>
      </c>
      <c r="F516">
        <f ca="1">BINOMDIST(Worksheet!$A$23,Worksheet!$B$15,$P516,1)</f>
        <v>3.1697926202549971E-2</v>
      </c>
      <c r="G516">
        <f ca="1">BINOMDIST(Worksheet!$A$24,Worksheet!$B$15,$P516,1)</f>
        <v>0.10348878330953268</v>
      </c>
      <c r="H516">
        <f ca="1">BINOMDIST(Worksheet!$A$25,Worksheet!$B$15,$P516,1)</f>
        <v>0.23107564334940339</v>
      </c>
      <c r="I516">
        <f ca="1">BINOMDIST(Worksheet!$A$26,Worksheet!$B$15,$P516,1)</f>
        <v>0.39997949174415448</v>
      </c>
      <c r="J516">
        <f ca="1">BINOMDIST(Worksheet!$A$27,Worksheet!$B$15,$P516,1)</f>
        <v>0.57763483487438494</v>
      </c>
      <c r="K516">
        <f ca="1">BINOMDIST(Worksheet!$A$28,Worksheet!$B$15,$P516,1)</f>
        <v>0.73227782785821283</v>
      </c>
      <c r="L516">
        <f ca="1">BINOMDIST(Worksheet!$A$29,Worksheet!$B$15,$P516,1)</f>
        <v>0.84685786929182594</v>
      </c>
      <c r="M516">
        <f ca="1">BINOMDIST(Worksheet!$A$30,Worksheet!$B$15,$P516,1)</f>
        <v>0.92062248145828418</v>
      </c>
      <c r="N516">
        <f ca="1">BINOMDIST(Worksheet!$A$31,Worksheet!$B$15,$P516,1)</f>
        <v>0.96253708837152208</v>
      </c>
      <c r="O516">
        <f ca="1">BINOMDIST(Worksheet!$A$32,Worksheet!$B$15,$P516,1)</f>
        <v>0.9838201530217674</v>
      </c>
      <c r="P516">
        <v>3.5000000000000003E-2</v>
      </c>
    </row>
    <row r="517" spans="5:16" x14ac:dyDescent="0.2">
      <c r="E517">
        <f ca="1">BINOMDIST(Worksheet!$A$22,Worksheet!$B$15,$P517,1)</f>
        <v>5.7755298915374122E-3</v>
      </c>
      <c r="F517">
        <f ca="1">BINOMDIST(Worksheet!$A$23,Worksheet!$B$15,$P517,1)</f>
        <v>3.6064178370345354E-2</v>
      </c>
      <c r="G517">
        <f ca="1">BINOMDIST(Worksheet!$A$24,Worksheet!$B$15,$P517,1)</f>
        <v>0.11495262513295494</v>
      </c>
      <c r="H517">
        <f ca="1">BINOMDIST(Worksheet!$A$25,Worksheet!$B$15,$P517,1)</f>
        <v>0.2510066130278904</v>
      </c>
      <c r="I517">
        <f ca="1">BINOMDIST(Worksheet!$A$26,Worksheet!$B$15,$P517,1)</f>
        <v>0.42579232625523511</v>
      </c>
      <c r="J517">
        <f ca="1">BINOMDIST(Worksheet!$A$27,Worksheet!$B$15,$P517,1)</f>
        <v>0.60419679130923332</v>
      </c>
      <c r="K517">
        <f ca="1">BINOMDIST(Worksheet!$A$28,Worksheet!$B$15,$P517,1)</f>
        <v>0.75489869967782786</v>
      </c>
      <c r="L517">
        <f ca="1">BINOMDIST(Worksheet!$A$29,Worksheet!$B$15,$P517,1)</f>
        <v>0.86325609075858889</v>
      </c>
      <c r="M517">
        <f ca="1">BINOMDIST(Worksheet!$A$30,Worksheet!$B$15,$P517,1)</f>
        <v>0.93095141738098985</v>
      </c>
      <c r="N517">
        <f ca="1">BINOMDIST(Worksheet!$A$31,Worksheet!$B$15,$P517,1)</f>
        <v>0.96827962025973269</v>
      </c>
      <c r="O517">
        <f ca="1">BINOMDIST(Worksheet!$A$32,Worksheet!$B$15,$P517,1)</f>
        <v>0.98667322747534514</v>
      </c>
      <c r="P517">
        <v>3.4000000000000002E-2</v>
      </c>
    </row>
    <row r="518" spans="5:16" x14ac:dyDescent="0.2">
      <c r="E518">
        <f ca="1">BINOMDIST(Worksheet!$A$22,Worksheet!$B$15,$P518,1)</f>
        <v>6.7382114970122482E-3</v>
      </c>
      <c r="F518">
        <f ca="1">BINOMDIST(Worksheet!$A$23,Worksheet!$B$15,$P518,1)</f>
        <v>4.1000658167962827E-2</v>
      </c>
      <c r="G518">
        <f ca="1">BINOMDIST(Worksheet!$A$24,Worksheet!$B$15,$P518,1)</f>
        <v>0.12752485131218352</v>
      </c>
      <c r="H518">
        <f ca="1">BINOMDIST(Worksheet!$A$25,Worksheet!$B$15,$P518,1)</f>
        <v>0.27220905018933433</v>
      </c>
      <c r="I518">
        <f ca="1">BINOMDIST(Worksheet!$A$26,Worksheet!$B$15,$P518,1)</f>
        <v>0.45242840649494753</v>
      </c>
      <c r="J518">
        <f ca="1">BINOMDIST(Worksheet!$A$27,Worksheet!$B$15,$P518,1)</f>
        <v>0.63078406728550784</v>
      </c>
      <c r="K518">
        <f ca="1">BINOMDIST(Worksheet!$A$28,Worksheet!$B$15,$P518,1)</f>
        <v>0.7768623334138679</v>
      </c>
      <c r="L518">
        <f ca="1">BINOMDIST(Worksheet!$A$29,Worksheet!$B$15,$P518,1)</f>
        <v>0.87870061644824971</v>
      </c>
      <c r="M518">
        <f ca="1">BINOMDIST(Worksheet!$A$30,Worksheet!$B$15,$P518,1)</f>
        <v>0.94038807693158888</v>
      </c>
      <c r="N518">
        <f ca="1">BINOMDIST(Worksheet!$A$31,Worksheet!$B$15,$P518,1)</f>
        <v>0.97336885983736599</v>
      </c>
      <c r="O518">
        <f ca="1">BINOMDIST(Worksheet!$A$32,Worksheet!$B$15,$P518,1)</f>
        <v>0.98912596604467629</v>
      </c>
      <c r="P518">
        <v>3.3000000000000002E-2</v>
      </c>
    </row>
    <row r="519" spans="5:16" x14ac:dyDescent="0.2">
      <c r="E519">
        <f ca="1">BINOMDIST(Worksheet!$A$22,Worksheet!$B$15,$P519,1)</f>
        <v>7.8601030327981412E-3</v>
      </c>
      <c r="F519">
        <f ca="1">BINOMDIST(Worksheet!$A$23,Worksheet!$B$15,$P519,1)</f>
        <v>4.6575982434018705E-2</v>
      </c>
      <c r="G519">
        <f ca="1">BINOMDIST(Worksheet!$A$24,Worksheet!$B$15,$P519,1)</f>
        <v>0.14128590229155014</v>
      </c>
      <c r="H519">
        <f ca="1">BINOMDIST(Worksheet!$A$25,Worksheet!$B$15,$P519,1)</f>
        <v>0.29470031792854329</v>
      </c>
      <c r="I519">
        <f ca="1">BINOMDIST(Worksheet!$A$26,Worksheet!$B$15,$P519,1)</f>
        <v>0.4798119268789649</v>
      </c>
      <c r="J519">
        <f ca="1">BINOMDIST(Worksheet!$A$27,Worksheet!$B$15,$P519,1)</f>
        <v>0.65727429579011254</v>
      </c>
      <c r="K519">
        <f ca="1">BINOMDIST(Worksheet!$A$28,Worksheet!$B$15,$P519,1)</f>
        <v>0.79807088600061027</v>
      </c>
      <c r="L519">
        <f ca="1">BINOMDIST(Worksheet!$A$29,Worksheet!$B$15,$P519,1)</f>
        <v>0.89315429757133569</v>
      </c>
      <c r="M519">
        <f ca="1">BINOMDIST(Worksheet!$A$30,Worksheet!$B$15,$P519,1)</f>
        <v>0.9489470432037449</v>
      </c>
      <c r="N519">
        <f ca="1">BINOMDIST(Worksheet!$A$31,Worksheet!$B$15,$P519,1)</f>
        <v>0.97784245967452432</v>
      </c>
      <c r="O519">
        <f ca="1">BINOMDIST(Worksheet!$A$32,Worksheet!$B$15,$P519,1)</f>
        <v>0.99121554498331477</v>
      </c>
      <c r="P519">
        <v>3.2000000000000001E-2</v>
      </c>
    </row>
    <row r="520" spans="5:16" x14ac:dyDescent="0.2">
      <c r="E520">
        <f ca="1">BINOMDIST(Worksheet!$A$22,Worksheet!$B$15,$P520,1)</f>
        <v>9.1673282155356438E-3</v>
      </c>
      <c r="F520">
        <f ca="1">BINOMDIST(Worksheet!$A$23,Worksheet!$B$15,$P520,1)</f>
        <v>5.2865872103625505E-2</v>
      </c>
      <c r="G520">
        <f ca="1">BINOMDIST(Worksheet!$A$24,Worksheet!$B$15,$P520,1)</f>
        <v>0.15631732688100236</v>
      </c>
      <c r="H520">
        <f ca="1">BINOMDIST(Worksheet!$A$25,Worksheet!$B$15,$P520,1)</f>
        <v>0.31848735764141067</v>
      </c>
      <c r="I520">
        <f ca="1">BINOMDIST(Worksheet!$A$26,Worksheet!$B$15,$P520,1)</f>
        <v>0.50785308499476622</v>
      </c>
      <c r="J520">
        <f ca="1">BINOMDIST(Worksheet!$A$27,Worksheet!$B$15,$P520,1)</f>
        <v>0.68353914164148133</v>
      </c>
      <c r="K520">
        <f ca="1">BINOMDIST(Worksheet!$A$28,Worksheet!$B$15,$P520,1)</f>
        <v>0.81843122228663712</v>
      </c>
      <c r="L520">
        <f ca="1">BINOMDIST(Worksheet!$A$29,Worksheet!$B$15,$P520,1)</f>
        <v>0.90658935194902468</v>
      </c>
      <c r="M520">
        <f ca="1">BINOMDIST(Worksheet!$A$30,Worksheet!$B$15,$P520,1)</f>
        <v>0.95665025065565912</v>
      </c>
      <c r="N520">
        <f ca="1">BINOMDIST(Worksheet!$A$31,Worksheet!$B$15,$P520,1)</f>
        <v>0.98174097284883655</v>
      </c>
      <c r="O520">
        <f ca="1">BINOMDIST(Worksheet!$A$32,Worksheet!$B$15,$P520,1)</f>
        <v>0.99297871632854651</v>
      </c>
      <c r="P520">
        <v>3.1E-2</v>
      </c>
    </row>
    <row r="521" spans="5:16" x14ac:dyDescent="0.2">
      <c r="E521">
        <f ca="1">BINOMDIST(Worksheet!$A$22,Worksheet!$B$15,$P521,1)</f>
        <v>1.0690263391200194E-2</v>
      </c>
      <c r="F521">
        <f ca="1">BINOMDIST(Worksheet!$A$23,Worksheet!$B$15,$P521,1)</f>
        <v>5.9953642111473165E-2</v>
      </c>
      <c r="G521">
        <f ca="1">BINOMDIST(Worksheet!$A$24,Worksheet!$B$15,$P521,1)</f>
        <v>0.17270075629601553</v>
      </c>
      <c r="H521">
        <f ca="1">BINOMDIST(Worksheet!$A$25,Worksheet!$B$15,$P521,1)</f>
        <v>0.3435649396478479</v>
      </c>
      <c r="I521">
        <f ca="1">BINOMDIST(Worksheet!$A$26,Worksheet!$B$15,$P521,1)</f>
        <v>0.53644770332852465</v>
      </c>
      <c r="J521">
        <f ca="1">BINOMDIST(Worksheet!$A$27,Worksheet!$B$15,$P521,1)</f>
        <v>0.7094456460111932</v>
      </c>
      <c r="K521">
        <f ca="1">BINOMDIST(Worksheet!$A$28,Worksheet!$B$15,$P521,1)</f>
        <v>0.83785649006430829</v>
      </c>
      <c r="L521">
        <f ca="1">BINOMDIST(Worksheet!$A$29,Worksheet!$B$15,$P521,1)</f>
        <v>0.91898793645427346</v>
      </c>
      <c r="M521">
        <f ca="1">BINOMDIST(Worksheet!$A$30,Worksheet!$B$15,$P521,1)</f>
        <v>0.96352659130237284</v>
      </c>
      <c r="N521">
        <f ca="1">BINOMDIST(Worksheet!$A$31,Worksheet!$B$15,$P521,1)</f>
        <v>0.98510717664114256</v>
      </c>
      <c r="O521">
        <f ca="1">BINOMDIST(Worksheet!$A$32,Worksheet!$B$15,$P521,1)</f>
        <v>0.9944513476125687</v>
      </c>
      <c r="P521">
        <v>0.03</v>
      </c>
    </row>
    <row r="522" spans="5:16" x14ac:dyDescent="0.2">
      <c r="E522">
        <f ca="1">BINOMDIST(Worksheet!$A$22,Worksheet!$B$15,$P522,1)</f>
        <v>1.246422431566346E-2</v>
      </c>
      <c r="F522">
        <f ca="1">BINOMDIST(Worksheet!$A$23,Worksheet!$B$15,$P522,1)</f>
        <v>6.7930664344480904E-2</v>
      </c>
      <c r="G522">
        <f ca="1">BINOMDIST(Worksheet!$A$24,Worksheet!$B$15,$P522,1)</f>
        <v>0.19051663787881912</v>
      </c>
      <c r="H522">
        <f ca="1">BINOMDIST(Worksheet!$A$25,Worksheet!$B$15,$P522,1)</f>
        <v>0.3699138246885974</v>
      </c>
      <c r="I522">
        <f ca="1">BINOMDIST(Worksheet!$A$26,Worksheet!$B$15,$P522,1)</f>
        <v>0.56547708137052366</v>
      </c>
      <c r="J522">
        <f ca="1">BINOMDIST(Worksheet!$A$27,Worksheet!$B$15,$P522,1)</f>
        <v>0.73485782170986425</v>
      </c>
      <c r="K522">
        <f ca="1">BINOMDIST(Worksheet!$A$28,Worksheet!$B$15,$P522,1)</f>
        <v>0.85626770355969062</v>
      </c>
      <c r="L522">
        <f ca="1">BINOMDIST(Worksheet!$A$29,Worksheet!$B$15,$P522,1)</f>
        <v>0.93034255717617276</v>
      </c>
      <c r="M522">
        <f ca="1">BINOMDIST(Worksheet!$A$30,Worksheet!$B$15,$P522,1)</f>
        <v>0.96961138405473513</v>
      </c>
      <c r="N522">
        <f ca="1">BINOMDIST(Worksheet!$A$31,Worksheet!$B$15,$P522,1)</f>
        <v>0.98798536655919134</v>
      </c>
      <c r="O522">
        <f ca="1">BINOMDIST(Worksheet!$A$32,Worksheet!$B$15,$P522,1)</f>
        <v>0.99566799982058074</v>
      </c>
      <c r="P522">
        <v>2.9000000000000001E-2</v>
      </c>
    </row>
    <row r="523" spans="5:16" x14ac:dyDescent="0.2">
      <c r="E523">
        <f ca="1">BINOMDIST(Worksheet!$A$22,Worksheet!$B$15,$P523,1)</f>
        <v>1.4530262961480222E-2</v>
      </c>
      <c r="F523">
        <f ca="1">BINOMDIST(Worksheet!$A$23,Worksheet!$B$15,$P523,1)</f>
        <v>7.689678258626978E-2</v>
      </c>
      <c r="G523">
        <f ca="1">BINOMDIST(Worksheet!$A$24,Worksheet!$B$15,$P523,1)</f>
        <v>0.20984269684816698</v>
      </c>
      <c r="H523">
        <f ca="1">BINOMDIST(Worksheet!$A$25,Worksheet!$B$15,$P523,1)</f>
        <v>0.39749886389273792</v>
      </c>
      <c r="I523">
        <f ca="1">BINOMDIST(Worksheet!$A$26,Worksheet!$B$15,$P523,1)</f>
        <v>0.59480812594988997</v>
      </c>
      <c r="J523">
        <f ca="1">BINOMDIST(Worksheet!$A$27,Worksheet!$B$15,$P523,1)</f>
        <v>0.75963849713343623</v>
      </c>
      <c r="K523">
        <f ca="1">BINOMDIST(Worksheet!$A$28,Worksheet!$B$15,$P523,1)</f>
        <v>0.87359529696403637</v>
      </c>
      <c r="L523">
        <f ca="1">BINOMDIST(Worksheet!$A$29,Worksheet!$B$15,$P523,1)</f>
        <v>0.94065629439521259</v>
      </c>
      <c r="M523">
        <f ca="1">BINOMDIST(Worksheet!$A$30,Worksheet!$B$15,$P523,1)</f>
        <v>0.97494571386362261</v>
      </c>
      <c r="N523">
        <f ca="1">BINOMDIST(Worksheet!$A$31,Worksheet!$B$15,$P523,1)</f>
        <v>0.99042063705306971</v>
      </c>
      <c r="O523">
        <f ca="1">BINOMDIST(Worksheet!$A$32,Worksheet!$B$15,$P523,1)</f>
        <v>0.99666155257803191</v>
      </c>
      <c r="P523">
        <v>2.8000000000000001E-2</v>
      </c>
    </row>
    <row r="524" spans="5:16" x14ac:dyDescent="0.2">
      <c r="E524">
        <f ca="1">BINOMDIST(Worksheet!$A$22,Worksheet!$B$15,$P524,1)</f>
        <v>1.6936091836147749E-2</v>
      </c>
      <c r="F524">
        <f ca="1">BINOMDIST(Worksheet!$A$23,Worksheet!$B$15,$P524,1)</f>
        <v>8.6960652428976409E-2</v>
      </c>
      <c r="G524">
        <f ca="1">BINOMDIST(Worksheet!$A$24,Worksheet!$B$15,$P524,1)</f>
        <v>0.23075209339965663</v>
      </c>
      <c r="H524">
        <f ca="1">BINOMDIST(Worksheet!$A$25,Worksheet!$B$15,$P524,1)</f>
        <v>0.42626707428784766</v>
      </c>
      <c r="I524">
        <f ca="1">BINOMDIST(Worksheet!$A$26,Worksheet!$B$15,$P524,1)</f>
        <v>0.62429380981232074</v>
      </c>
      <c r="J524">
        <f ca="1">BINOMDIST(Worksheet!$A$27,Worksheet!$B$15,$P524,1)</f>
        <v>0.78365139862595146</v>
      </c>
      <c r="K524">
        <f ca="1">BINOMDIST(Worksheet!$A$28,Worksheet!$B$15,$P524,1)</f>
        <v>0.88978060474232601</v>
      </c>
      <c r="L524">
        <f ca="1">BINOMDIST(Worksheet!$A$29,Worksheet!$B$15,$P524,1)</f>
        <v>0.94994282245122663</v>
      </c>
      <c r="M524">
        <f ca="1">BINOMDIST(Worksheet!$A$30,Worksheet!$B$15,$P524,1)</f>
        <v>0.97957565167732197</v>
      </c>
      <c r="N524">
        <f ca="1">BINOMDIST(Worksheet!$A$31,Worksheet!$B$15,$P524,1)</f>
        <v>0.99245816633573747</v>
      </c>
      <c r="O524">
        <f ca="1">BINOMDIST(Worksheet!$A$32,Worksheet!$B$15,$P524,1)</f>
        <v>0.99746288426058949</v>
      </c>
      <c r="P524">
        <v>2.7E-2</v>
      </c>
    </row>
    <row r="525" spans="5:16" x14ac:dyDescent="0.2">
      <c r="E525">
        <f ca="1">BINOMDIST(Worksheet!$A$22,Worksheet!$B$15,$P525,1)</f>
        <v>1.9737156053368156E-2</v>
      </c>
      <c r="F525">
        <f ca="1">BINOMDIST(Worksheet!$A$23,Worksheet!$B$15,$P525,1)</f>
        <v>9.8239971813889854E-2</v>
      </c>
      <c r="G525">
        <f ca="1">BINOMDIST(Worksheet!$A$24,Worksheet!$B$15,$P525,1)</f>
        <v>0.25331124237163505</v>
      </c>
      <c r="H525">
        <f ca="1">BINOMDIST(Worksheet!$A$25,Worksheet!$B$15,$P525,1)</f>
        <v>0.45614573794716673</v>
      </c>
      <c r="I525">
        <f ca="1">BINOMDIST(Worksheet!$A$26,Worksheet!$B$15,$P525,1)</f>
        <v>0.65377400930361329</v>
      </c>
      <c r="J525">
        <f ca="1">BINOMDIST(Worksheet!$A$27,Worksheet!$B$15,$P525,1)</f>
        <v>0.80676345140090366</v>
      </c>
      <c r="K525">
        <f ca="1">BINOMDIST(Worksheet!$A$28,Worksheet!$B$15,$P525,1)</f>
        <v>0.90477722128664217</v>
      </c>
      <c r="L525">
        <f ca="1">BINOMDIST(Worksheet!$A$29,Worksheet!$B$15,$P525,1)</f>
        <v>0.95822620873679987</v>
      </c>
      <c r="M525">
        <f ca="1">BINOMDIST(Worksheet!$A$30,Worksheet!$B$15,$P525,1)</f>
        <v>0.98355137065491882</v>
      </c>
      <c r="N525">
        <f ca="1">BINOMDIST(Worksheet!$A$31,Worksheet!$B$15,$P525,1)</f>
        <v>0.99414252324353658</v>
      </c>
      <c r="O525">
        <f ca="1">BINOMDIST(Worksheet!$A$32,Worksheet!$B$15,$P525,1)</f>
        <v>0.99810061312265042</v>
      </c>
      <c r="P525">
        <v>2.5999999999999999E-2</v>
      </c>
    </row>
    <row r="526" spans="5:16" x14ac:dyDescent="0.2">
      <c r="E526">
        <f ca="1">BINOMDIST(Worksheet!$A$22,Worksheet!$B$15,$P526,1)</f>
        <v>2.2997876586082617E-2</v>
      </c>
      <c r="F526">
        <f ca="1">BINOMDIST(Worksheet!$A$23,Worksheet!$B$15,$P526,1)</f>
        <v>0.11086155892778272</v>
      </c>
      <c r="G526">
        <f ca="1">BINOMDIST(Worksheet!$A$24,Worksheet!$B$15,$P526,1)</f>
        <v>0.27757726388382931</v>
      </c>
      <c r="H526">
        <f ca="1">BINOMDIST(Worksheet!$A$25,Worksheet!$B$15,$P526,1)</f>
        <v>0.48704058549527274</v>
      </c>
      <c r="I526">
        <f ca="1">BINOMDIST(Worksheet!$A$26,Worksheet!$B$15,$P526,1)</f>
        <v>0.68307677110598242</v>
      </c>
      <c r="J526">
        <f ca="1">BINOMDIST(Worksheet!$A$27,Worksheet!$B$15,$P526,1)</f>
        <v>0.82884726809856124</v>
      </c>
      <c r="K526">
        <f ca="1">BINOMDIST(Worksheet!$A$28,Worksheet!$B$15,$P526,1)</f>
        <v>0.91855218932476368</v>
      </c>
      <c r="L526">
        <f ca="1">BINOMDIST(Worksheet!$A$29,Worksheet!$B$15,$P526,1)</f>
        <v>0.96554048139563164</v>
      </c>
      <c r="M526">
        <f ca="1">BINOMDIST(Worksheet!$A$30,Worksheet!$B$15,$P526,1)</f>
        <v>0.98692617842788566</v>
      </c>
      <c r="N526">
        <f ca="1">BINOMDIST(Worksheet!$A$31,Worksheet!$B$15,$P526,1)</f>
        <v>0.99551701398785097</v>
      </c>
      <c r="O526">
        <f ca="1">BINOMDIST(Worksheet!$A$32,Worksheet!$B$15,$P526,1)</f>
        <v>0.99860090367604371</v>
      </c>
      <c r="P526">
        <v>2.5000000000000001E-2</v>
      </c>
    </row>
    <row r="527" spans="5:16" x14ac:dyDescent="0.2">
      <c r="E527">
        <f ca="1">BINOMDIST(Worksheet!$A$22,Worksheet!$B$15,$P527,1)</f>
        <v>2.679309181506984E-2</v>
      </c>
      <c r="F527">
        <f ca="1">BINOMDIST(Worksheet!$A$23,Worksheet!$B$15,$P527,1)</f>
        <v>0.12496122330143215</v>
      </c>
      <c r="G527">
        <f ca="1">BINOMDIST(Worksheet!$A$24,Worksheet!$B$15,$P527,1)</f>
        <v>0.30359503633399332</v>
      </c>
      <c r="H527">
        <f ca="1">BINOMDIST(Worksheet!$A$25,Worksheet!$B$15,$P527,1)</f>
        <v>0.51883413892240748</v>
      </c>
      <c r="I527">
        <f ca="1">BINOMDIST(Worksheet!$A$26,Worksheet!$B$15,$P527,1)</f>
        <v>0.71202005477020514</v>
      </c>
      <c r="J527">
        <f ca="1">BINOMDIST(Worksheet!$A$27,Worksheet!$B$15,$P527,1)</f>
        <v>0.84978378164527402</v>
      </c>
      <c r="K527">
        <f ca="1">BINOMDIST(Worksheet!$A$28,Worksheet!$B$15,$P527,1)</f>
        <v>0.93108696471908514</v>
      </c>
      <c r="L527">
        <f ca="1">BINOMDIST(Worksheet!$A$29,Worksheet!$B$15,$P527,1)</f>
        <v>0.97192896183695987</v>
      </c>
      <c r="M527">
        <f ca="1">BINOMDIST(Worksheet!$A$30,Worksheet!$B$15,$P527,1)</f>
        <v>0.98975548926750756</v>
      </c>
      <c r="N527">
        <f ca="1">BINOMDIST(Worksheet!$A$31,Worksheet!$B$15,$P527,1)</f>
        <v>0.99662308590058746</v>
      </c>
      <c r="O527">
        <f ca="1">BINOMDIST(Worksheet!$A$32,Worksheet!$B$15,$P527,1)</f>
        <v>0.99898734047918869</v>
      </c>
      <c r="P527">
        <v>2.4E-2</v>
      </c>
    </row>
    <row r="528" spans="5:16" x14ac:dyDescent="0.2">
      <c r="E528">
        <f ca="1">BINOMDIST(Worksheet!$A$22,Worksheet!$B$15,$P528,1)</f>
        <v>3.1209728746818616E-2</v>
      </c>
      <c r="F528">
        <f ca="1">BINOMDIST(Worksheet!$A$23,Worksheet!$B$15,$P528,1)</f>
        <v>0.14068336274410342</v>
      </c>
      <c r="G528">
        <f ca="1">BINOMDIST(Worksheet!$A$24,Worksheet!$B$15,$P528,1)</f>
        <v>0.33139382852033578</v>
      </c>
      <c r="H528">
        <f ca="1">BINOMDIST(Worksheet!$A$25,Worksheet!$B$15,$P528,1)</f>
        <v>0.55138430439527331</v>
      </c>
      <c r="I528">
        <f ca="1">BINOMDIST(Worksheet!$A$26,Worksheet!$B$15,$P528,1)</f>
        <v>0.74041399170029876</v>
      </c>
      <c r="J528">
        <f ca="1">BINOMDIST(Worksheet!$A$27,Worksheet!$B$15,$P528,1)</f>
        <v>0.8694649655308534</v>
      </c>
      <c r="K528">
        <f ca="1">BINOMDIST(Worksheet!$A$28,Worksheet!$B$15,$P528,1)</f>
        <v>0.9423781053000102</v>
      </c>
      <c r="L528">
        <f ca="1">BINOMDIST(Worksheet!$A$29,Worksheet!$B$15,$P528,1)</f>
        <v>0.97744336582066482</v>
      </c>
      <c r="M528">
        <f ca="1">BINOMDIST(Worksheet!$A$30,Worksheet!$B$15,$P528,1)</f>
        <v>0.99209576357660878</v>
      </c>
      <c r="N528">
        <f ca="1">BINOMDIST(Worksheet!$A$31,Worksheet!$B$15,$P528,1)</f>
        <v>0.99749980382709513</v>
      </c>
      <c r="O528">
        <f ca="1">BINOMDIST(Worksheet!$A$32,Worksheet!$B$15,$P528,1)</f>
        <v>0.99928086929347848</v>
      </c>
      <c r="P528">
        <v>2.3E-2</v>
      </c>
    </row>
    <row r="529" spans="5:16" x14ac:dyDescent="0.2">
      <c r="E529">
        <f ca="1">BINOMDIST(Worksheet!$A$22,Worksheet!$B$15,$P529,1)</f>
        <v>3.6348740198150473E-2</v>
      </c>
      <c r="F529">
        <f ca="1">BINOMDIST(Worksheet!$A$23,Worksheet!$B$15,$P529,1)</f>
        <v>0.15818020274368941</v>
      </c>
      <c r="G529">
        <f ca="1">BINOMDIST(Worksheet!$A$24,Worksheet!$B$15,$P529,1)</f>
        <v>0.36098349622440268</v>
      </c>
      <c r="H529">
        <f ca="1">BINOMDIST(Worksheet!$A$25,Worksheet!$B$15,$P529,1)</f>
        <v>0.58452332278085384</v>
      </c>
      <c r="I529">
        <f ca="1">BINOMDIST(Worksheet!$A$26,Worksheet!$B$15,$P529,1)</f>
        <v>0.76806369162014854</v>
      </c>
      <c r="J529">
        <f ca="1">BINOMDIST(Worksheet!$A$27,Worksheet!$B$15,$P529,1)</f>
        <v>0.8877965702699131</v>
      </c>
      <c r="K529">
        <f ca="1">BINOMDIST(Worksheet!$A$28,Worksheet!$B$15,$P529,1)</f>
        <v>0.95243763359003142</v>
      </c>
      <c r="L529">
        <f ca="1">BINOMDIST(Worksheet!$A$29,Worksheet!$B$15,$P529,1)</f>
        <v>0.98214268547508721</v>
      </c>
      <c r="M529">
        <f ca="1">BINOMDIST(Worksheet!$A$30,Worksheet!$B$15,$P529,1)</f>
        <v>0.99400344494452941</v>
      </c>
      <c r="N529">
        <f ca="1">BINOMDIST(Worksheet!$A$31,Worksheet!$B$15,$P529,1)</f>
        <v>0.99818341266484389</v>
      </c>
      <c r="O529">
        <f ca="1">BINOMDIST(Worksheet!$A$32,Worksheet!$B$15,$P529,1)</f>
        <v>0.99949980331704935</v>
      </c>
      <c r="P529">
        <v>2.1999999999999999E-2</v>
      </c>
    </row>
    <row r="530" spans="5:16" x14ac:dyDescent="0.2">
      <c r="E530">
        <f ca="1">BINOMDIST(Worksheet!$A$22,Worksheet!$B$15,$P530,1)</f>
        <v>4.2327349935289853E-2</v>
      </c>
      <c r="F530">
        <f ca="1">BINOMDIST(Worksheet!$A$23,Worksheet!$B$15,$P530,1)</f>
        <v>0.17761057562223759</v>
      </c>
      <c r="G530">
        <f ca="1">BINOMDIST(Worksheet!$A$24,Worksheet!$B$15,$P530,1)</f>
        <v>0.39235024131939483</v>
      </c>
      <c r="H530">
        <f ca="1">BINOMDIST(Worksheet!$A$25,Worksheet!$B$15,$P530,1)</f>
        <v>0.61805720352815352</v>
      </c>
      <c r="I530">
        <f ca="1">BINOMDIST(Worksheet!$A$26,Worksheet!$B$15,$P530,1)</f>
        <v>0.79477261367423502</v>
      </c>
      <c r="J530">
        <f ca="1">BINOMDIST(Worksheet!$A$27,Worksheet!$B$15,$P530,1)</f>
        <v>0.90470079015938654</v>
      </c>
      <c r="K530">
        <f ca="1">BINOMDIST(Worksheet!$A$28,Worksheet!$B$15,$P530,1)</f>
        <v>0.96129302810475581</v>
      </c>
      <c r="L530">
        <f ca="1">BINOMDIST(Worksheet!$A$29,Worksheet!$B$15,$P530,1)</f>
        <v>0.98609187394598496</v>
      </c>
      <c r="M530">
        <f ca="1">BINOMDIST(Worksheet!$A$30,Worksheet!$B$15,$P530,1)</f>
        <v>0.99553392684416497</v>
      </c>
      <c r="N530">
        <f ca="1">BINOMDIST(Worksheet!$A$31,Worksheet!$B$15,$P530,1)</f>
        <v>0.99870699671495267</v>
      </c>
      <c r="O530">
        <f ca="1">BINOMDIST(Worksheet!$A$32,Worksheet!$B$15,$P530,1)</f>
        <v>0.99965989001629241</v>
      </c>
      <c r="P530">
        <v>2.1000000000000001E-2</v>
      </c>
    </row>
    <row r="531" spans="5:16" x14ac:dyDescent="0.2">
      <c r="E531">
        <f ca="1">BINOMDIST(Worksheet!$A$22,Worksheet!$B$15,$P531,1)</f>
        <v>4.9281654330089596E-2</v>
      </c>
      <c r="F531">
        <f ca="1">BINOMDIST(Worksheet!$A$23,Worksheet!$B$15,$P531,1)</f>
        <v>0.19913811341546389</v>
      </c>
      <c r="G531">
        <f ca="1">BINOMDIST(Worksheet!$A$24,Worksheet!$B$15,$P531,1)</f>
        <v>0.42545194958521326</v>
      </c>
      <c r="H531">
        <f ca="1">BINOMDIST(Worksheet!$A$25,Worksheet!$B$15,$P531,1)</f>
        <v>0.65176578575496258</v>
      </c>
      <c r="I531">
        <f ca="1">BINOMDIST(Worksheet!$A$26,Worksheet!$B$15,$P531,1)</f>
        <v>0.82034650045283719</v>
      </c>
      <c r="J531">
        <f ca="1">BINOMDIST(Worksheet!$A$27,Worksheet!$B$15,$P531,1)</f>
        <v>0.92011876017198713</v>
      </c>
      <c r="K531">
        <f ca="1">BINOMDIST(Worksheet!$A$28,Worksheet!$B$15,$P531,1)</f>
        <v>0.96898680574871388</v>
      </c>
      <c r="L531">
        <f ca="1">BINOMDIST(Worksheet!$A$29,Worksheet!$B$15,$P531,1)</f>
        <v>0.98936036410869022</v>
      </c>
      <c r="M531">
        <f ca="1">BINOMDIST(Worksheet!$A$30,Worksheet!$B$15,$P531,1)</f>
        <v>0.99674058167786539</v>
      </c>
      <c r="N531">
        <f ca="1">BINOMDIST(Worksheet!$A$31,Worksheet!$B$15,$P531,1)</f>
        <v>0.99910024307753353</v>
      </c>
      <c r="O531">
        <f ca="1">BINOMDIST(Worksheet!$A$32,Worksheet!$B$15,$P531,1)</f>
        <v>0.99977443204886729</v>
      </c>
      <c r="P531">
        <v>0.02</v>
      </c>
    </row>
    <row r="532" spans="5:16" x14ac:dyDescent="0.2">
      <c r="E532">
        <f ca="1">BINOMDIST(Worksheet!$A$22,Worksheet!$B$15,$P532,1)</f>
        <v>5.7369636692374978E-2</v>
      </c>
      <c r="F532">
        <f ca="1">BINOMDIST(Worksheet!$A$23,Worksheet!$B$15,$P532,1)</f>
        <v>0.22292870037852522</v>
      </c>
      <c r="G532">
        <f ca="1">BINOMDIST(Worksheet!$A$24,Worksheet!$B$15,$P532,1)</f>
        <v>0.46021314843431305</v>
      </c>
      <c r="H532">
        <f ca="1">BINOMDIST(Worksheet!$A$25,Worksheet!$B$15,$P532,1)</f>
        <v>0.68540358792456557</v>
      </c>
      <c r="I532">
        <f ca="1">BINOMDIST(Worksheet!$A$26,Worksheet!$B$15,$P532,1)</f>
        <v>0.84459784866512666</v>
      </c>
      <c r="J532">
        <f ca="1">BINOMDIST(Worksheet!$A$27,Worksheet!$B$15,$P532,1)</f>
        <v>0.93401276983541115</v>
      </c>
      <c r="K532">
        <f ca="1">BINOMDIST(Worksheet!$A$28,Worksheet!$B$15,$P532,1)</f>
        <v>0.97557566897266879</v>
      </c>
      <c r="L532">
        <f ca="1">BINOMDIST(Worksheet!$A$29,Worksheet!$B$15,$P532,1)</f>
        <v>0.99202046247142062</v>
      </c>
      <c r="M532">
        <f ca="1">BINOMDIST(Worksheet!$A$30,Worksheet!$B$15,$P532,1)</f>
        <v>0.99767388408962043</v>
      </c>
      <c r="N532">
        <f ca="1">BINOMDIST(Worksheet!$A$31,Worksheet!$B$15,$P532,1)</f>
        <v>0.99938931239578843</v>
      </c>
      <c r="O532">
        <f ca="1">BINOMDIST(Worksheet!$A$32,Worksheet!$B$15,$P532,1)</f>
        <v>0.99985445401601347</v>
      </c>
      <c r="P532">
        <v>1.9E-2</v>
      </c>
    </row>
    <row r="533" spans="5:16" x14ac:dyDescent="0.2">
      <c r="E533">
        <f ca="1">BINOMDIST(Worksheet!$A$22,Worksheet!$B$15,$P533,1)</f>
        <v>6.6774659212193763E-2</v>
      </c>
      <c r="F533">
        <f ca="1">BINOMDIST(Worksheet!$A$23,Worksheet!$B$15,$P533,1)</f>
        <v>0.24914699730496709</v>
      </c>
      <c r="G533">
        <f ca="1">BINOMDIST(Worksheet!$A$24,Worksheet!$B$15,$P533,1)</f>
        <v>0.49651965956522659</v>
      </c>
      <c r="H533">
        <f ca="1">BINOMDIST(Worksheet!$A$25,Worksheet!$B$15,$P533,1)</f>
        <v>0.71870162302097818</v>
      </c>
      <c r="I533">
        <f ca="1">BINOMDIST(Worksheet!$A$26,Worksheet!$B$15,$P533,1)</f>
        <v>0.86735085926377753</v>
      </c>
      <c r="J533">
        <f ca="1">BINOMDIST(Worksheet!$A$27,Worksheet!$B$15,$P533,1)</f>
        <v>0.94636807038265858</v>
      </c>
      <c r="K533">
        <f ca="1">BINOMDIST(Worksheet!$A$28,Worksheet!$B$15,$P533,1)</f>
        <v>0.98112920602762466</v>
      </c>
      <c r="L533">
        <f ca="1">BINOMDIST(Worksheet!$A$29,Worksheet!$B$15,$P533,1)</f>
        <v>0.99414566851673469</v>
      </c>
      <c r="M533">
        <f ca="1">BINOMDIST(Worksheet!$A$30,Worksheet!$B$15,$P533,1)</f>
        <v>0.99838065809440346</v>
      </c>
      <c r="N533">
        <f ca="1">BINOMDIST(Worksheet!$A$31,Worksheet!$B$15,$P533,1)</f>
        <v>0.99959681599756278</v>
      </c>
      <c r="O533">
        <f ca="1">BINOMDIST(Worksheet!$A$32,Worksheet!$B$15,$P533,1)</f>
        <v>0.99990890539837363</v>
      </c>
      <c r="P533">
        <v>1.7999999999999999E-2</v>
      </c>
    </row>
    <row r="534" spans="5:16" x14ac:dyDescent="0.2">
      <c r="E534">
        <f ca="1">BINOMDIST(Worksheet!$A$22,Worksheet!$B$15,$P534,1)</f>
        <v>7.7709507580518311E-2</v>
      </c>
      <c r="F534">
        <f ca="1">BINOMDIST(Worksheet!$A$23,Worksheet!$B$15,$P534,1)</f>
        <v>0.27795180941312525</v>
      </c>
      <c r="G534">
        <f ca="1">BINOMDIST(Worksheet!$A$24,Worksheet!$B$15,$P534,1)</f>
        <v>0.5342130664888326</v>
      </c>
      <c r="H534">
        <f ca="1">BINOMDIST(Worksheet!$A$25,Worksheet!$B$15,$P534,1)</f>
        <v>0.75137036775441113</v>
      </c>
      <c r="I534">
        <f ca="1">BINOMDIST(Worksheet!$A$26,Worksheet!$B$15,$P534,1)</f>
        <v>0.88844677206294786</v>
      </c>
      <c r="J534">
        <f ca="1">BINOMDIST(Worksheet!$A$27,Worksheet!$B$15,$P534,1)</f>
        <v>0.95719414472226472</v>
      </c>
      <c r="K534">
        <f ca="1">BINOMDIST(Worksheet!$A$28,Worksheet!$B$15,$P534,1)</f>
        <v>0.98572815087180832</v>
      </c>
      <c r="L534">
        <f ca="1">BINOMDIST(Worksheet!$A$29,Worksheet!$B$15,$P534,1)</f>
        <v>0.99580897763384002</v>
      </c>
      <c r="M534">
        <f ca="1">BINOMDIST(Worksheet!$A$30,Worksheet!$B$15,$P534,1)</f>
        <v>0.99890347353968245</v>
      </c>
      <c r="N534">
        <f ca="1">BINOMDIST(Worksheet!$A$31,Worksheet!$B$15,$P534,1)</f>
        <v>0.99974189409877634</v>
      </c>
      <c r="O534">
        <f ca="1">BINOMDIST(Worksheet!$A$32,Worksheet!$B$15,$P534,1)</f>
        <v>0.99994488910698021</v>
      </c>
      <c r="P534">
        <v>1.7000000000000001E-2</v>
      </c>
    </row>
    <row r="535" spans="5:16" x14ac:dyDescent="0.2">
      <c r="E535">
        <f ca="1">BINOMDIST(Worksheet!$A$22,Worksheet!$B$15,$P535,1)</f>
        <v>9.0421075060679049E-2</v>
      </c>
      <c r="F535">
        <f ca="1">BINOMDIST(Worksheet!$A$23,Worksheet!$B$15,$P535,1)</f>
        <v>0.30949002114264906</v>
      </c>
      <c r="G535">
        <f ca="1">BINOMDIST(Worksheet!$A$24,Worksheet!$B$15,$P535,1)</f>
        <v>0.57308517577786577</v>
      </c>
      <c r="H535">
        <f ca="1">BINOMDIST(Worksheet!$A$25,Worksheet!$B$15,$P535,1)</f>
        <v>0.78310407947096472</v>
      </c>
      <c r="I535">
        <f ca="1">BINOMDIST(Worksheet!$A$26,Worksheet!$B$15,$P535,1)</f>
        <v>0.90774944507743816</v>
      </c>
      <c r="J535">
        <f ca="1">BINOMDIST(Worksheet!$A$27,Worksheet!$B$15,$P535,1)</f>
        <v>0.9665253085341492</v>
      </c>
      <c r="K535">
        <f ca="1">BINOMDIST(Worksheet!$A$28,Worksheet!$B$15,$P535,1)</f>
        <v>0.98946223085871954</v>
      </c>
      <c r="L535">
        <f ca="1">BINOMDIST(Worksheet!$A$29,Worksheet!$B$15,$P535,1)</f>
        <v>0.9970812317702491</v>
      </c>
      <c r="M535">
        <f ca="1">BINOMDIST(Worksheet!$A$30,Worksheet!$B$15,$P535,1)</f>
        <v>0.99928021170812964</v>
      </c>
      <c r="N535">
        <f ca="1">BINOMDIST(Worksheet!$A$31,Worksheet!$B$15,$P535,1)</f>
        <v>0.99984038545924292</v>
      </c>
      <c r="O535">
        <f ca="1">BINOMDIST(Worksheet!$A$32,Worksheet!$B$15,$P535,1)</f>
        <v>0.99996790468713859</v>
      </c>
      <c r="P535">
        <v>1.6E-2</v>
      </c>
    </row>
    <row r="536" spans="5:16" x14ac:dyDescent="0.2">
      <c r="E536">
        <f ca="1">BINOMDIST(Worksheet!$A$22,Worksheet!$B$15,$P536,1)</f>
        <v>0.10519578629642862</v>
      </c>
      <c r="F536">
        <f ca="1">BINOMDIST(Worksheet!$A$23,Worksheet!$B$15,$P536,1)</f>
        <v>0.34388876332436535</v>
      </c>
      <c r="G536">
        <f ca="1">BINOMDIST(Worksheet!$A$24,Worksheet!$B$15,$P536,1)</f>
        <v>0.61287272728478182</v>
      </c>
      <c r="H536">
        <f ca="1">BINOMDIST(Worksheet!$A$25,Worksheet!$B$15,$P536,1)</f>
        <v>0.81358664963087912</v>
      </c>
      <c r="I536">
        <f ca="1">BINOMDIST(Worksheet!$A$26,Worksheet!$B$15,$P536,1)</f>
        <v>0.92515098717858302</v>
      </c>
      <c r="J536">
        <f ca="1">BINOMDIST(Worksheet!$A$27,Worksheet!$B$15,$P536,1)</f>
        <v>0.97442051695853349</v>
      </c>
      <c r="K536">
        <f ca="1">BINOMDIST(Worksheet!$A$28,Worksheet!$B$15,$P536,1)</f>
        <v>0.99242765474612959</v>
      </c>
      <c r="L536">
        <f ca="1">BINOMDIST(Worksheet!$A$29,Worksheet!$B$15,$P536,1)</f>
        <v>0.99802958521087126</v>
      </c>
      <c r="M536">
        <f ca="1">BINOMDIST(Worksheet!$A$30,Worksheet!$B$15,$P536,1)</f>
        <v>0.99954381260806668</v>
      </c>
      <c r="N536">
        <f ca="1">BINOMDIST(Worksheet!$A$31,Worksheet!$B$15,$P536,1)</f>
        <v>0.99990507498201686</v>
      </c>
      <c r="O536">
        <f ca="1">BINOMDIST(Worksheet!$A$32,Worksheet!$B$15,$P536,1)</f>
        <v>0.99998209538661542</v>
      </c>
      <c r="P536">
        <v>1.4999999999999999E-2</v>
      </c>
    </row>
    <row r="537" spans="5:16" x14ac:dyDescent="0.2">
      <c r="E537">
        <f ca="1">BINOMDIST(Worksheet!$A$22,Worksheet!$B$15,$P537,1)</f>
        <v>0.12236587674364612</v>
      </c>
      <c r="F537">
        <f ca="1">BINOMDIST(Worksheet!$A$23,Worksheet!$B$15,$P537,1)</f>
        <v>0.38124540908365168</v>
      </c>
      <c r="G537">
        <f ca="1">BINOMDIST(Worksheet!$A$24,Worksheet!$B$15,$P537,1)</f>
        <v>0.65325270675530112</v>
      </c>
      <c r="H537">
        <f ca="1">BINOMDIST(Worksheet!$A$25,Worksheet!$B$15,$P537,1)</f>
        <v>0.84249916335038344</v>
      </c>
      <c r="I537">
        <f ca="1">BINOMDIST(Worksheet!$A$26,Worksheet!$B$15,$P537,1)</f>
        <v>0.94057719511517779</v>
      </c>
      <c r="J537">
        <f ca="1">BINOMDIST(Worksheet!$A$27,Worksheet!$B$15,$P537,1)</f>
        <v>0.98096226701832845</v>
      </c>
      <c r="K537">
        <f ca="1">BINOMDIST(Worksheet!$A$28,Worksheet!$B$15,$P537,1)</f>
        <v>0.99472431991838783</v>
      </c>
      <c r="L537">
        <f ca="1">BINOMDIST(Worksheet!$A$29,Worksheet!$B$15,$P537,1)</f>
        <v>0.99871615270684311</v>
      </c>
      <c r="M537">
        <f ca="1">BINOMDIST(Worksheet!$A$30,Worksheet!$B$15,$P537,1)</f>
        <v>0.9997222079278687</v>
      </c>
      <c r="N537">
        <f ca="1">BINOMDIST(Worksheet!$A$31,Worksheet!$B$15,$P537,1)</f>
        <v>0.99994600249698129</v>
      </c>
      <c r="O537">
        <f ca="1">BINOMDIST(Worksheet!$A$32,Worksheet!$B$15,$P537,1)</f>
        <v>0.99999048904418819</v>
      </c>
      <c r="P537">
        <v>1.4E-2</v>
      </c>
    </row>
    <row r="538" spans="5:16" x14ac:dyDescent="0.2">
      <c r="E538">
        <f ca="1">BINOMDIST(Worksheet!$A$22,Worksheet!$B$15,$P538,1)</f>
        <v>0.14231666162110929</v>
      </c>
      <c r="F538">
        <f ca="1">BINOMDIST(Worksheet!$A$23,Worksheet!$B$15,$P538,1)</f>
        <v>0.42161491244186755</v>
      </c>
      <c r="G538">
        <f ca="1">BINOMDIST(Worksheet!$A$24,Worksheet!$B$15,$P538,1)</f>
        <v>0.6938387394829717</v>
      </c>
      <c r="H538">
        <f ca="1">BINOMDIST(Worksheet!$A$25,Worksheet!$B$15,$P538,1)</f>
        <v>0.86952929452368422</v>
      </c>
      <c r="I538">
        <f ca="1">BINOMDIST(Worksheet!$A$26,Worksheet!$B$15,$P538,1)</f>
        <v>0.95399248435835293</v>
      </c>
      <c r="J538">
        <f ca="1">BINOMDIST(Worksheet!$A$27,Worksheet!$B$15,$P538,1)</f>
        <v>0.98625451330229441</v>
      </c>
      <c r="K538">
        <f ca="1">BINOMDIST(Worksheet!$A$28,Worksheet!$B$15,$P538,1)</f>
        <v>0.99645284464019679</v>
      </c>
      <c r="L538">
        <f ca="1">BINOMDIST(Worksheet!$A$29,Worksheet!$B$15,$P538,1)</f>
        <v>0.99919690281897244</v>
      </c>
      <c r="M538">
        <f ca="1">BINOMDIST(Worksheet!$A$30,Worksheet!$B$15,$P538,1)</f>
        <v>0.99983843415104179</v>
      </c>
      <c r="N538">
        <f ca="1">BINOMDIST(Worksheet!$A$31,Worksheet!$B$15,$P538,1)</f>
        <v>0.99997081363226248</v>
      </c>
      <c r="O538">
        <f ca="1">BINOMDIST(Worksheet!$A$32,Worksheet!$B$15,$P538,1)</f>
        <v>0.99999522403305485</v>
      </c>
      <c r="P538">
        <v>1.2999999999999999E-2</v>
      </c>
    </row>
    <row r="539" spans="5:16" x14ac:dyDescent="0.2">
      <c r="E539">
        <f ca="1">BINOMDIST(Worksheet!$A$22,Worksheet!$B$15,$P539,1)</f>
        <v>0.16549494905992551</v>
      </c>
      <c r="F539">
        <f ca="1">BINOMDIST(Worksheet!$A$23,Worksheet!$B$15,$P539,1)</f>
        <v>0.4649939054558232</v>
      </c>
      <c r="G539">
        <f ca="1">BINOMDIST(Worksheet!$A$24,Worksheet!$B$15,$P539,1)</f>
        <v>0.73417920229748024</v>
      </c>
      <c r="H539">
        <f ca="1">BINOMDIST(Worksheet!$A$25,Worksheet!$B$15,$P539,1)</f>
        <v>0.89438259758381045</v>
      </c>
      <c r="I539">
        <f ca="1">BINOMDIST(Worksheet!$A$26,Worksheet!$B$15,$P539,1)</f>
        <v>0.96540394083827674</v>
      </c>
      <c r="J539">
        <f ca="1">BINOMDIST(Worksheet!$A$27,Worksheet!$B$15,$P539,1)</f>
        <v>0.99041955566879725</v>
      </c>
      <c r="K539">
        <f ca="1">BINOMDIST(Worksheet!$A$28,Worksheet!$B$15,$P539,1)</f>
        <v>0.9977115567529975</v>
      </c>
      <c r="L539">
        <f ca="1">BINOMDIST(Worksheet!$A$29,Worksheet!$B$15,$P539,1)</f>
        <v>0.9995208502550923</v>
      </c>
      <c r="M539">
        <f ca="1">BINOMDIST(Worksheet!$A$30,Worksheet!$B$15,$P539,1)</f>
        <v>0.99991091049390435</v>
      </c>
      <c r="N539">
        <f ca="1">BINOMDIST(Worksheet!$A$31,Worksheet!$B$15,$P539,1)</f>
        <v>0.99998513248266607</v>
      </c>
      <c r="O539">
        <f ca="1">BINOMDIST(Worksheet!$A$32,Worksheet!$B$15,$P539,1)</f>
        <v>0.9999977532256944</v>
      </c>
      <c r="P539">
        <v>1.2E-2</v>
      </c>
    </row>
    <row r="540" spans="5:16" x14ac:dyDescent="0.2">
      <c r="E540">
        <f ca="1">BINOMDIST(Worksheet!$A$22,Worksheet!$B$15,$P540,1)</f>
        <v>0.19241877611546304</v>
      </c>
      <c r="F540">
        <f ca="1">BINOMDIST(Worksheet!$A$23,Worksheet!$B$15,$P540,1)</f>
        <v>0.51130085301459705</v>
      </c>
      <c r="G540">
        <f ca="1">BINOMDIST(Worksheet!$A$24,Worksheet!$B$15,$P540,1)</f>
        <v>0.77375789102864712</v>
      </c>
      <c r="H540">
        <f ca="1">BINOMDIST(Worksheet!$A$25,Worksheet!$B$15,$P540,1)</f>
        <v>0.91679564986542461</v>
      </c>
      <c r="I540">
        <f ca="1">BINOMDIST(Worksheet!$A$26,Worksheet!$B$15,$P540,1)</f>
        <v>0.97486406257823166</v>
      </c>
      <c r="J540">
        <f ca="1">BINOMDIST(Worksheet!$A$27,Worksheet!$B$15,$P540,1)</f>
        <v>0.99359391460592161</v>
      </c>
      <c r="K540">
        <f ca="1">BINOMDIST(Worksheet!$A$28,Worksheet!$B$15,$P540,1)</f>
        <v>0.99859359199248399</v>
      </c>
      <c r="L540">
        <f ca="1">BINOMDIST(Worksheet!$A$29,Worksheet!$B$15,$P540,1)</f>
        <v>0.99972958686884716</v>
      </c>
      <c r="M540">
        <f ca="1">BINOMDIST(Worksheet!$A$30,Worksheet!$B$15,$P540,1)</f>
        <v>0.9999538568381191</v>
      </c>
      <c r="N540">
        <f ca="1">BINOMDIST(Worksheet!$A$31,Worksheet!$B$15,$P540,1)</f>
        <v>0.99999293589916172</v>
      </c>
      <c r="O540">
        <f ca="1">BINOMDIST(Worksheet!$A$32,Worksheet!$B$15,$P540,1)</f>
        <v>0.9999990210107903</v>
      </c>
      <c r="P540">
        <v>1.0999999999999999E-2</v>
      </c>
    </row>
    <row r="541" spans="5:16" x14ac:dyDescent="0.2">
      <c r="E541">
        <f ca="1">BINOMDIST(Worksheet!$A$22,Worksheet!$B$15,$P541,1)</f>
        <v>0.22368867397864767</v>
      </c>
      <c r="F541">
        <f ca="1">BINOMDIST(Worksheet!$A$23,Worksheet!$B$15,$P541,1)</f>
        <v>0.5603514257242892</v>
      </c>
      <c r="G541">
        <f ca="1">BINOMDIST(Worksheet!$A$24,Worksheet!$B$15,$P541,1)</f>
        <v>0.81199833106951613</v>
      </c>
      <c r="H541">
        <f ca="1">BINOMDIST(Worksheet!$A$25,Worksheet!$B$15,$P541,1)</f>
        <v>0.93655083977573961</v>
      </c>
      <c r="I541">
        <f ca="1">BINOMDIST(Worksheet!$A$26,Worksheet!$B$15,$P541,1)</f>
        <v>0.98247171419773105</v>
      </c>
      <c r="J541">
        <f ca="1">BINOMDIST(Worksheet!$A$27,Worksheet!$B$15,$P541,1)</f>
        <v>0.99592328347285985</v>
      </c>
      <c r="K541">
        <f ca="1">BINOMDIST(Worksheet!$A$28,Worksheet!$B$15,$P541,1)</f>
        <v>0.99918426996380016</v>
      </c>
      <c r="L541">
        <f ca="1">BINOMDIST(Worksheet!$A$29,Worksheet!$B$15,$P541,1)</f>
        <v>0.99985717193812129</v>
      </c>
      <c r="M541">
        <f ca="1">BINOMDIST(Worksheet!$A$30,Worksheet!$B$15,$P541,1)</f>
        <v>0.99997781850422429</v>
      </c>
      <c r="N541">
        <f ca="1">BINOMDIST(Worksheet!$A$31,Worksheet!$B$15,$P541,1)</f>
        <v>0.99999691072175567</v>
      </c>
      <c r="O541">
        <f ca="1">BINOMDIST(Worksheet!$A$32,Worksheet!$B$15,$P541,1)</f>
        <v>0.9999996106313056</v>
      </c>
      <c r="P541">
        <v>0.01</v>
      </c>
    </row>
    <row r="542" spans="5:16" x14ac:dyDescent="0.2">
      <c r="E542">
        <f ca="1">BINOMDIST(Worksheet!$A$22,Worksheet!$B$15,$P542,1)</f>
        <v>0.2600007006480074</v>
      </c>
      <c r="F542">
        <f ca="1">BINOMDIST(Worksheet!$A$23,Worksheet!$B$15,$P542,1)</f>
        <v>0.61182808669137601</v>
      </c>
      <c r="G542">
        <f ca="1">BINOMDIST(Worksheet!$A$24,Worksheet!$B$15,$P542,1)</f>
        <v>0.84827313119680881</v>
      </c>
      <c r="H542">
        <f ca="1">BINOMDIST(Worksheet!$A$25,Worksheet!$B$15,$P542,1)</f>
        <v>0.9534923689636059</v>
      </c>
      <c r="I542">
        <f ca="1">BINOMDIST(Worksheet!$A$26,Worksheet!$B$15,$P542,1)</f>
        <v>0.98837079439891662</v>
      </c>
      <c r="J542">
        <f ca="1">BINOMDIST(Worksheet!$A$27,Worksheet!$B$15,$P542,1)</f>
        <v>0.9975567369202244</v>
      </c>
      <c r="K542">
        <f ca="1">BINOMDIST(Worksheet!$A$28,Worksheet!$B$15,$P542,1)</f>
        <v>0.99955892015393033</v>
      </c>
      <c r="L542">
        <f ca="1">BINOMDIST(Worksheet!$A$29,Worksheet!$B$15,$P542,1)</f>
        <v>0.99993037897211967</v>
      </c>
      <c r="M542">
        <f ca="1">BINOMDIST(Worksheet!$A$30,Worksheet!$B$15,$P542,1)</f>
        <v>0.99999025843347755</v>
      </c>
      <c r="N542">
        <f ca="1">BINOMDIST(Worksheet!$A$31,Worksheet!$B$15,$P542,1)</f>
        <v>0.99999877811465965</v>
      </c>
      <c r="O542">
        <f ca="1">BINOMDIST(Worksheet!$A$32,Worksheet!$B$15,$P542,1)</f>
        <v>0.99999986134354857</v>
      </c>
      <c r="P542">
        <v>9.0000000000000097E-3</v>
      </c>
    </row>
    <row r="543" spans="5:16" x14ac:dyDescent="0.2">
      <c r="E543">
        <f ca="1">BINOMDIST(Worksheet!$A$22,Worksheet!$B$15,$P543,1)</f>
        <v>0.30216151614767245</v>
      </c>
      <c r="F543">
        <f ca="1">BINOMDIST(Worksheet!$A$23,Worksheet!$B$15,$P543,1)</f>
        <v>0.66524269280898884</v>
      </c>
      <c r="G543">
        <f ca="1">BINOMDIST(Worksheet!$A$24,Worksheet!$B$15,$P543,1)</f>
        <v>0.8819201692036458</v>
      </c>
      <c r="H543">
        <f ca="1">BINOMDIST(Worksheet!$A$25,Worksheet!$B$15,$P543,1)</f>
        <v>0.96754272035959921</v>
      </c>
      <c r="I543">
        <f ca="1">BINOMDIST(Worksheet!$A$26,Worksheet!$B$15,$P543,1)</f>
        <v>0.99274613259502087</v>
      </c>
      <c r="J543">
        <f ca="1">BINOMDIST(Worksheet!$A$27,Worksheet!$B$15,$P543,1)</f>
        <v>0.99864047900491792</v>
      </c>
      <c r="K543">
        <f ca="1">BINOMDIST(Worksheet!$A$28,Worksheet!$B$15,$P543,1)</f>
        <v>0.99978132024554323</v>
      </c>
      <c r="L543">
        <f ca="1">BINOMDIST(Worksheet!$A$29,Worksheet!$B$15,$P543,1)</f>
        <v>0.99996926989693646</v>
      </c>
      <c r="M543">
        <f ca="1">BINOMDIST(Worksheet!$A$30,Worksheet!$B$15,$P543,1)</f>
        <v>0.99999617398009966</v>
      </c>
      <c r="N543">
        <f ca="1">BINOMDIST(Worksheet!$A$31,Worksheet!$B$15,$P543,1)</f>
        <v>0.99999957315189714</v>
      </c>
      <c r="O543">
        <f ca="1">BINOMDIST(Worksheet!$A$32,Worksheet!$B$15,$P543,1)</f>
        <v>0.99999995692935817</v>
      </c>
      <c r="P543">
        <v>8.0000000000000106E-3</v>
      </c>
    </row>
    <row r="544" spans="5:16" x14ac:dyDescent="0.2">
      <c r="E544">
        <f ca="1">BINOMDIST(Worksheet!$A$22,Worksheet!$B$15,$P544,1)</f>
        <v>0.35110581784543687</v>
      </c>
      <c r="F544">
        <f ca="1">BINOMDIST(Worksheet!$A$23,Worksheet!$B$15,$P544,1)</f>
        <v>0.71989067989255817</v>
      </c>
      <c r="G544">
        <f ca="1">BINOMDIST(Worksheet!$A$24,Worksheet!$B$15,$P544,1)</f>
        <v>0.91226787882549765</v>
      </c>
      <c r="H544">
        <f ca="1">BINOMDIST(Worksheet!$A$25,Worksheet!$B$15,$P544,1)</f>
        <v>0.97871841179024921</v>
      </c>
      <c r="I544">
        <f ca="1">BINOMDIST(Worksheet!$A$26,Worksheet!$B$15,$P544,1)</f>
        <v>0.99581620753294209</v>
      </c>
      <c r="J544">
        <f ca="1">BINOMDIST(Worksheet!$A$27,Worksheet!$B$15,$P544,1)</f>
        <v>0.99931152730712802</v>
      </c>
      <c r="K544">
        <f ca="1">BINOMDIST(Worksheet!$A$28,Worksheet!$B$15,$P544,1)</f>
        <v>0.99990288050155229</v>
      </c>
      <c r="L544">
        <f ca="1">BINOMDIST(Worksheet!$A$29,Worksheet!$B$15,$P544,1)</f>
        <v>0.99998804012572418</v>
      </c>
      <c r="M544">
        <f ca="1">BINOMDIST(Worksheet!$A$30,Worksheet!$B$15,$P544,1)</f>
        <v>0.99999869579873857</v>
      </c>
      <c r="N544">
        <f ca="1">BINOMDIST(Worksheet!$A$31,Worksheet!$B$15,$P544,1)</f>
        <v>0.99999987260854784</v>
      </c>
      <c r="O544">
        <f ca="1">BINOMDIST(Worksheet!$A$32,Worksheet!$B$15,$P544,1)</f>
        <v>0.99999998874889151</v>
      </c>
      <c r="P544">
        <v>7.0000000000000097E-3</v>
      </c>
    </row>
    <row r="545" spans="5:16" x14ac:dyDescent="0.2">
      <c r="E545">
        <f ca="1">BINOMDIST(Worksheet!$A$22,Worksheet!$B$15,$P545,1)</f>
        <v>0.40791650239728572</v>
      </c>
      <c r="F545">
        <f ca="1">BINOMDIST(Worksheet!$A$23,Worksheet!$B$15,$P545,1)</f>
        <v>0.77479512728981492</v>
      </c>
      <c r="G545">
        <f ca="1">BINOMDIST(Worksheet!$A$24,Worksheet!$B$15,$P545,1)</f>
        <v>0.93867250098426491</v>
      </c>
      <c r="H545">
        <f ca="1">BINOMDIST(Worksheet!$A$25,Worksheet!$B$15,$P545,1)</f>
        <v>0.98714327348544029</v>
      </c>
      <c r="I545">
        <f ca="1">BINOMDIST(Worksheet!$A$26,Worksheet!$B$15,$P545,1)</f>
        <v>0.99782244770853623</v>
      </c>
      <c r="J545">
        <f ca="1">BINOMDIST(Worksheet!$A$27,Worksheet!$B$15,$P545,1)</f>
        <v>0.99969184037938008</v>
      </c>
      <c r="K545">
        <f ca="1">BINOMDIST(Worksheet!$A$28,Worksheet!$B$15,$P545,1)</f>
        <v>0.99996265782867733</v>
      </c>
      <c r="L545">
        <f ca="1">BINOMDIST(Worksheet!$A$29,Worksheet!$B$15,$P545,1)</f>
        <v>0.99999605267942426</v>
      </c>
      <c r="M545">
        <f ca="1">BINOMDIST(Worksheet!$A$30,Worksheet!$B$15,$P545,1)</f>
        <v>0.99999963069914721</v>
      </c>
      <c r="N545">
        <f ca="1">BINOMDIST(Worksheet!$A$31,Worksheet!$B$15,$P545,1)</f>
        <v>0.99999996906318533</v>
      </c>
      <c r="O545">
        <f ca="1">BINOMDIST(Worksheet!$A$32,Worksheet!$B$15,$P545,1)</f>
        <v>0.9999999976573295</v>
      </c>
      <c r="P545">
        <v>6.0000000000000097E-3</v>
      </c>
    </row>
    <row r="546" spans="5:16" x14ac:dyDescent="0.2">
      <c r="E546">
        <f ca="1">BINOMDIST(Worksheet!$A$22,Worksheet!$B$15,$P546,1)</f>
        <v>0.47384797730822725</v>
      </c>
      <c r="F546">
        <f ca="1">BINOMDIST(Worksheet!$A$23,Worksheet!$B$15,$P546,1)</f>
        <v>0.82863867388574419</v>
      </c>
      <c r="G546">
        <f ca="1">BINOMDIST(Worksheet!$A$24,Worksheet!$B$15,$P546,1)</f>
        <v>0.96057089271356455</v>
      </c>
      <c r="H546">
        <f ca="1">BINOMDIST(Worksheet!$A$25,Worksheet!$B$15,$P546,1)</f>
        <v>0.99305671544001273</v>
      </c>
      <c r="I546">
        <f ca="1">BINOMDIST(Worksheet!$A$26,Worksheet!$B$15,$P546,1)</f>
        <v>0.99901517036220044</v>
      </c>
      <c r="J546">
        <f ca="1">BINOMDIST(Worksheet!$A$27,Worksheet!$B$15,$P546,1)</f>
        <v>0.9998834879136751</v>
      </c>
      <c r="K546">
        <f ca="1">BINOMDIST(Worksheet!$A$28,Worksheet!$B$15,$P546,1)</f>
        <v>0.99998820962842583</v>
      </c>
      <c r="L546">
        <f ca="1">BINOMDIST(Worksheet!$A$29,Worksheet!$B$15,$P546,1)</f>
        <v>0.99999895995520927</v>
      </c>
      <c r="M546">
        <f ca="1">BINOMDIST(Worksheet!$A$30,Worksheet!$B$15,$P546,1)</f>
        <v>0.99999991884114092</v>
      </c>
      <c r="N546">
        <f ca="1">BINOMDIST(Worksheet!$A$31,Worksheet!$B$15,$P546,1)</f>
        <v>0.99999999433132314</v>
      </c>
      <c r="O546">
        <f ca="1">BINOMDIST(Worksheet!$A$32,Worksheet!$B$15,$P546,1)</f>
        <v>0.99999999964219022</v>
      </c>
      <c r="P546">
        <v>5.0000000000000001E-3</v>
      </c>
    </row>
    <row r="547" spans="5:16" x14ac:dyDescent="0.2">
      <c r="E547">
        <f ca="1">BINOMDIST(Worksheet!$A$22,Worksheet!$B$15,$P547,1)</f>
        <v>0.55035311019043487</v>
      </c>
      <c r="F547">
        <f ca="1">BINOMDIST(Worksheet!$A$23,Worksheet!$B$15,$P547,1)</f>
        <v>0.87968087492286384</v>
      </c>
      <c r="G547">
        <f ca="1">BINOMDIST(Worksheet!$A$24,Worksheet!$B$15,$P547,1)</f>
        <v>0.97755338331724029</v>
      </c>
      <c r="H547">
        <f ca="1">BINOMDIST(Worksheet!$A$25,Worksheet!$B$15,$P547,1)</f>
        <v>0.99681343516994891</v>
      </c>
      <c r="I547">
        <f ca="1">BINOMDIST(Worksheet!$A$26,Worksheet!$B$15,$P547,1)</f>
        <v>0.99963669578289616</v>
      </c>
      <c r="J547">
        <f ca="1">BINOMDIST(Worksheet!$A$27,Worksheet!$B$15,$P547,1)</f>
        <v>0.99996550926793815</v>
      </c>
      <c r="K547">
        <f ca="1">BINOMDIST(Worksheet!$A$28,Worksheet!$B$15,$P547,1)</f>
        <v>0.99999720213396626</v>
      </c>
      <c r="L547">
        <f ca="1">BINOMDIST(Worksheet!$A$29,Worksheet!$B$15,$P547,1)</f>
        <v>0.99999980229451824</v>
      </c>
      <c r="M547">
        <f ca="1">BINOMDIST(Worksheet!$A$30,Worksheet!$B$15,$P547,1)</f>
        <v>0.99999998764732867</v>
      </c>
      <c r="N547">
        <f ca="1">BINOMDIST(Worksheet!$A$31,Worksheet!$B$15,$P547,1)</f>
        <v>0.99999999930941985</v>
      </c>
      <c r="O547">
        <f ca="1">BINOMDIST(Worksheet!$A$32,Worksheet!$B$15,$P547,1)</f>
        <v>0.99999999996511968</v>
      </c>
      <c r="P547">
        <v>4.0000000000000001E-3</v>
      </c>
    </row>
    <row r="548" spans="5:16" x14ac:dyDescent="0.2">
      <c r="E548">
        <f ca="1">BINOMDIST(Worksheet!$A$22,Worksheet!$B$15,$P548,1)</f>
        <v>0.63911437882616828</v>
      </c>
      <c r="F548">
        <f ca="1">BINOMDIST(Worksheet!$A$23,Worksheet!$B$15,$P548,1)</f>
        <v>0.92565813743729874</v>
      </c>
      <c r="G548">
        <f ca="1">BINOMDIST(Worksheet!$A$24,Worksheet!$B$15,$P548,1)</f>
        <v>0.98946226422934602</v>
      </c>
      <c r="H548">
        <f ca="1">BINOMDIST(Worksheet!$A$25,Worksheet!$B$15,$P548,1)</f>
        <v>0.99886969315455243</v>
      </c>
      <c r="I548">
        <f ca="1">BINOMDIST(Worksheet!$A$26,Worksheet!$B$15,$P548,1)</f>
        <v>0.9999029062611825</v>
      </c>
      <c r="J548">
        <f ca="1">BINOMDIST(Worksheet!$A$27,Worksheet!$B$15,$P548,1)</f>
        <v>0.9999930662815204</v>
      </c>
      <c r="K548">
        <f ca="1">BINOMDIST(Worksheet!$A$28,Worksheet!$B$15,$P548,1)</f>
        <v>0.99999957733614853</v>
      </c>
      <c r="L548">
        <f ca="1">BINOMDIST(Worksheet!$A$29,Worksheet!$B$15,$P548,1)</f>
        <v>0.99999997757148817</v>
      </c>
      <c r="M548">
        <f ca="1">BINOMDIST(Worksheet!$A$30,Worksheet!$B$15,$P548,1)</f>
        <v>0.99999999894815006</v>
      </c>
      <c r="N548">
        <f ca="1">BINOMDIST(Worksheet!$A$31,Worksheet!$B$15,$P548,1)</f>
        <v>0.9999999999558763</v>
      </c>
      <c r="O548">
        <f ca="1">BINOMDIST(Worksheet!$A$32,Worksheet!$B$15,$P548,1)</f>
        <v>0.99999999999832823</v>
      </c>
      <c r="P548">
        <v>3.0000000000000001E-3</v>
      </c>
    </row>
    <row r="549" spans="5:16" x14ac:dyDescent="0.2">
      <c r="E549">
        <f ca="1">BINOMDIST(Worksheet!$A$22,Worksheet!$B$15,$P549,1)</f>
        <v>0.74207987160880362</v>
      </c>
      <c r="F549">
        <f ca="1">BINOMDIST(Worksheet!$A$23,Worksheet!$B$15,$P549,1)</f>
        <v>0.96366283928357677</v>
      </c>
      <c r="G549">
        <f ca="1">BINOMDIST(Worksheet!$A$24,Worksheet!$B$15,$P549,1)</f>
        <v>0.99652283849787171</v>
      </c>
      <c r="H549">
        <f ca="1">BINOMDIST(Worksheet!$A$25,Worksheet!$B$15,$P549,1)</f>
        <v>0.99974957188765223</v>
      </c>
      <c r="I549">
        <f ca="1">BINOMDIST(Worksheet!$A$26,Worksheet!$B$15,$P549,1)</f>
        <v>0.99998559547227539</v>
      </c>
      <c r="J549">
        <f ca="1">BINOMDIST(Worksheet!$A$27,Worksheet!$B$15,$P549,1)</f>
        <v>0.99999931227378669</v>
      </c>
      <c r="K549">
        <f ca="1">BINOMDIST(Worksheet!$A$28,Worksheet!$B$15,$P549,1)</f>
        <v>0.99999997199971102</v>
      </c>
      <c r="L549">
        <f ca="1">BINOMDIST(Worksheet!$A$29,Worksheet!$B$15,$P549,1)</f>
        <v>0.99999999900824443</v>
      </c>
      <c r="M549">
        <f ca="1">BINOMDIST(Worksheet!$A$30,Worksheet!$B$15,$P549,1)</f>
        <v>0.99999999996896882</v>
      </c>
      <c r="N549">
        <f ca="1">BINOMDIST(Worksheet!$A$31,Worksheet!$B$15,$P549,1)</f>
        <v>0.99999999999913181</v>
      </c>
      <c r="O549">
        <f ca="1">BINOMDIST(Worksheet!$A$32,Worksheet!$B$15,$P549,1)</f>
        <v>0.99999999999997802</v>
      </c>
      <c r="P549">
        <v>2E-3</v>
      </c>
    </row>
    <row r="550" spans="5:16" x14ac:dyDescent="0.2">
      <c r="E550">
        <f ca="1">BINOMDIST(Worksheet!$A$22,Worksheet!$B$15,$P550,1)</f>
        <v>0.86150488757060706</v>
      </c>
      <c r="F550">
        <f ca="1">BINOMDIST(Worksheet!$A$23,Worksheet!$B$15,$P550,1)</f>
        <v>0.98999760853959651</v>
      </c>
      <c r="G550">
        <f ca="1">BINOMDIST(Worksheet!$A$24,Worksheet!$B$15,$P550,1)</f>
        <v>0.99951558787063277</v>
      </c>
      <c r="H550">
        <f ca="1">BINOMDIST(Worksheet!$A$25,Worksheet!$B$15,$P550,1)</f>
        <v>0.99998243570568857</v>
      </c>
      <c r="I550">
        <f ca="1">BINOMDIST(Worksheet!$A$26,Worksheet!$B$15,$P550,1)</f>
        <v>0.99999949270867106</v>
      </c>
      <c r="J550">
        <f ca="1">BINOMDIST(Worksheet!$A$27,Worksheet!$B$15,$P550,1)</f>
        <v>0.9999999878569058</v>
      </c>
      <c r="K550">
        <f ca="1">BINOMDIST(Worksheet!$A$28,Worksheet!$B$15,$P550,1)</f>
        <v>0.99999999975235887</v>
      </c>
      <c r="L550">
        <f ca="1">BINOMDIST(Worksheet!$A$29,Worksheet!$B$15,$P550,1)</f>
        <v>0.99999999999560929</v>
      </c>
      <c r="M550">
        <f ca="1">BINOMDIST(Worksheet!$A$30,Worksheet!$B$15,$P550,1)</f>
        <v>0.99999999999993128</v>
      </c>
      <c r="N550">
        <f ca="1">BINOMDIST(Worksheet!$A$31,Worksheet!$B$15,$P550,1)</f>
        <v>0.99999999999999911</v>
      </c>
      <c r="O550">
        <f ca="1">BINOMDIST(Worksheet!$A$32,Worksheet!$B$15,$P550,1)</f>
        <v>1</v>
      </c>
      <c r="P550">
        <v>1E-3</v>
      </c>
    </row>
  </sheetData>
  <sheetProtection selectLockedCells="1" selectUnlockedCells="1"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12</vt:i4>
      </vt:variant>
    </vt:vector>
  </HeadingPairs>
  <TitlesOfParts>
    <vt:vector size="16" baseType="lpstr">
      <vt:lpstr>Data Entry</vt:lpstr>
      <vt:lpstr>Worksheet</vt:lpstr>
      <vt:lpstr>SamplePrint</vt:lpstr>
      <vt:lpstr>Upper Limit</vt:lpstr>
      <vt:lpstr>_atr1</vt:lpstr>
      <vt:lpstr>_atr10</vt:lpstr>
      <vt:lpstr>_atr2</vt:lpstr>
      <vt:lpstr>_atr3</vt:lpstr>
      <vt:lpstr>_atr4</vt:lpstr>
      <vt:lpstr>_atr5</vt:lpstr>
      <vt:lpstr>_atr6</vt:lpstr>
      <vt:lpstr>_atr7</vt:lpstr>
      <vt:lpstr>_atr8</vt:lpstr>
      <vt:lpstr>_atr9</vt:lpstr>
      <vt:lpstr>atr0</vt:lpstr>
      <vt:lpstr>Worksheet!Print_Area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Bruce M. Wampler</dc:creator>
  <cp:lastModifiedBy>Võ Mạnh Tài</cp:lastModifiedBy>
  <cp:lastPrinted>2005-03-18T20:36:57Z</cp:lastPrinted>
  <dcterms:created xsi:type="dcterms:W3CDTF">1999-07-13T19:52:13Z</dcterms:created>
  <dcterms:modified xsi:type="dcterms:W3CDTF">2013-05-23T17:10:50Z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2043397598</vt:i4>
  </property>
  <property fmtid="{D5CDD505-2E9C-101B-9397-08002B2CF9AE}" pid="3" name="_EmailSubject">
    <vt:lpwstr>CPAJ files to be posted for the web</vt:lpwstr>
  </property>
  <property fmtid="{D5CDD505-2E9C-101B-9397-08002B2CF9AE}" pid="4" name="_AuthorEmail">
    <vt:lpwstr>ASarmiento@nysscpa.org</vt:lpwstr>
  </property>
  <property fmtid="{D5CDD505-2E9C-101B-9397-08002B2CF9AE}" pid="5" name="_AuthorEmailDisplayName">
    <vt:lpwstr>Sarmiento, Anthony</vt:lpwstr>
  </property>
  <property fmtid="{D5CDD505-2E9C-101B-9397-08002B2CF9AE}" pid="6" name="_PreviousAdHocReviewCycleID">
    <vt:i4>-1545327518</vt:i4>
  </property>
  <property fmtid="{D5CDD505-2E9C-101B-9397-08002B2CF9AE}" pid="7" name="_ReviewingToolsShownOnce">
    <vt:lpwstr/>
  </property>
</Properties>
</file>