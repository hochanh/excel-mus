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ropbox\STUDY\PROJECT\MUS\"/>
    </mc:Choice>
  </mc:AlternateContent>
  <bookViews>
    <workbookView xWindow="1170" yWindow="105" windowWidth="14805" windowHeight="8010"/>
  </bookViews>
  <sheets>
    <sheet name="Bieu tong hop" sheetId="1" r:id="rId1"/>
    <sheet name="Kiem toan chi tiet" sheetId="4" r:id="rId2"/>
    <sheet name="Bang tinh pU" sheetId="5" state="hidden" r:id="rId3"/>
  </sheets>
  <definedNames>
    <definedName name="_Fill" hidden="1">#REF!</definedName>
    <definedName name="_Order1" hidden="1">255</definedName>
    <definedName name="_Order2" hidden="1">255</definedName>
    <definedName name="_Sort" hidden="1">#REF!</definedName>
    <definedName name="AS2DocOpenMode" hidden="1">"AS2DocumentEdit"</definedName>
    <definedName name="beta">'Bieu tong hop'!$F$5</definedName>
    <definedName name="betabegin">'Bang tinh pU'!$B$3</definedName>
    <definedName name="comau">'Bieu tong hop'!$F$17</definedName>
    <definedName name="gioihanduoi">OFFSET('Bieu tong hop'!$D$39,1,0,'Bieu tong hop'!$B$38,1)</definedName>
    <definedName name="gioihantren">OFFSET('Bieu tong hop'!$D$23,1,0,'Bieu tong hop'!$B$22,1)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khoangcach">'Kiem toan chi tiet'!$E$4</definedName>
    <definedName name="_xlnm.Print_Area" localSheetId="0">'Bieu tong hop'!$A$1:$I$56</definedName>
    <definedName name="_xlnm.Print_Area" localSheetId="1">'Kiem toan chi tiet'!$A$1:$I$258</definedName>
    <definedName name="phamtramss">'Kiem toan chi tiet'!$H$7:$H$257</definedName>
    <definedName name="TextRefCopyRangeCount" hidden="1">1</definedName>
    <definedName name="tongtheL">'Bieu tong hop'!$F$6</definedName>
    <definedName name="tongtheN">'Bieu tong hop'!$F$4</definedName>
    <definedName name="wrn.chi._.tiÆt." hidden="1">{#N/A,#N/A,FALSE,"Chi tiÆt"}</definedName>
    <definedName name="xuatphat">'Kiem toan chi tiet'!$C$7</definedName>
  </definedNames>
  <calcPr calcId="152511" calcMode="autoNoTable" iterate="1" iterateCount="999"/>
</workbook>
</file>

<file path=xl/calcChain.xml><?xml version="1.0" encoding="utf-8"?>
<calcChain xmlns="http://schemas.openxmlformats.org/spreadsheetml/2006/main">
  <c r="G9" i="4" l="1"/>
  <c r="G10" i="4"/>
  <c r="H10" i="4" s="1"/>
  <c r="G11" i="4"/>
  <c r="H11" i="4" s="1"/>
  <c r="G12" i="4"/>
  <c r="G13" i="4"/>
  <c r="G14" i="4"/>
  <c r="G15" i="4"/>
  <c r="G16" i="4"/>
  <c r="G17" i="4"/>
  <c r="G18" i="4"/>
  <c r="H8" i="4"/>
  <c r="H9" i="4"/>
  <c r="G8" i="4"/>
  <c r="H12" i="4"/>
  <c r="H13" i="4"/>
  <c r="H14" i="4"/>
  <c r="F39" i="1" l="1"/>
  <c r="H15" i="4"/>
  <c r="H16" i="4"/>
  <c r="H17" i="4"/>
  <c r="H18" i="4"/>
  <c r="G19" i="4"/>
  <c r="H19" i="4" s="1"/>
  <c r="G20" i="4"/>
  <c r="H20" i="4" s="1"/>
  <c r="G21" i="4"/>
  <c r="H21" i="4" s="1"/>
  <c r="G22" i="4"/>
  <c r="H22" i="4" s="1"/>
  <c r="G23" i="4"/>
  <c r="H23" i="4" s="1"/>
  <c r="G24" i="4"/>
  <c r="H24" i="4" s="1"/>
  <c r="G25" i="4"/>
  <c r="H25" i="4" s="1"/>
  <c r="G26" i="4"/>
  <c r="H26" i="4" s="1"/>
  <c r="G27" i="4"/>
  <c r="H27" i="4" s="1"/>
  <c r="G28" i="4"/>
  <c r="H28" i="4" s="1"/>
  <c r="G29" i="4"/>
  <c r="H29" i="4" s="1"/>
  <c r="G30" i="4"/>
  <c r="H30" i="4" s="1"/>
  <c r="G31" i="4"/>
  <c r="H31" i="4" s="1"/>
  <c r="G32" i="4"/>
  <c r="H32" i="4" s="1"/>
  <c r="G33" i="4"/>
  <c r="H33" i="4" s="1"/>
  <c r="G34" i="4"/>
  <c r="H34" i="4" s="1"/>
  <c r="G35" i="4"/>
  <c r="H35" i="4" s="1"/>
  <c r="G36" i="4"/>
  <c r="H36" i="4" s="1"/>
  <c r="G37" i="4"/>
  <c r="H37" i="4" s="1"/>
  <c r="G38" i="4"/>
  <c r="H38" i="4" s="1"/>
  <c r="G39" i="4"/>
  <c r="H39" i="4" s="1"/>
  <c r="G40" i="4"/>
  <c r="H40" i="4" s="1"/>
  <c r="G41" i="4"/>
  <c r="H41" i="4" s="1"/>
  <c r="G42" i="4"/>
  <c r="H42" i="4" s="1"/>
  <c r="G43" i="4"/>
  <c r="H43" i="4" s="1"/>
  <c r="G44" i="4"/>
  <c r="H44" i="4" s="1"/>
  <c r="G45" i="4"/>
  <c r="H45" i="4" s="1"/>
  <c r="G46" i="4"/>
  <c r="H46" i="4" s="1"/>
  <c r="G47" i="4"/>
  <c r="H47" i="4" s="1"/>
  <c r="G48" i="4"/>
  <c r="H48" i="4" s="1"/>
  <c r="G49" i="4"/>
  <c r="H49" i="4" s="1"/>
  <c r="G50" i="4"/>
  <c r="H50" i="4" s="1"/>
  <c r="G51" i="4"/>
  <c r="H51" i="4" s="1"/>
  <c r="G52" i="4"/>
  <c r="H52" i="4" s="1"/>
  <c r="G53" i="4"/>
  <c r="H53" i="4" s="1"/>
  <c r="G54" i="4"/>
  <c r="H54" i="4" s="1"/>
  <c r="G55" i="4"/>
  <c r="H55" i="4" s="1"/>
  <c r="G56" i="4"/>
  <c r="H56" i="4" s="1"/>
  <c r="G57" i="4"/>
  <c r="H57" i="4" s="1"/>
  <c r="G58" i="4"/>
  <c r="H58" i="4" s="1"/>
  <c r="G59" i="4"/>
  <c r="H59" i="4" s="1"/>
  <c r="G60" i="4"/>
  <c r="H60" i="4" s="1"/>
  <c r="G61" i="4"/>
  <c r="H61" i="4" s="1"/>
  <c r="G62" i="4"/>
  <c r="H62" i="4" s="1"/>
  <c r="G63" i="4"/>
  <c r="H63" i="4" s="1"/>
  <c r="G64" i="4"/>
  <c r="H64" i="4" s="1"/>
  <c r="G65" i="4"/>
  <c r="H65" i="4" s="1"/>
  <c r="G66" i="4"/>
  <c r="H66" i="4" s="1"/>
  <c r="G67" i="4"/>
  <c r="H67" i="4" s="1"/>
  <c r="G68" i="4"/>
  <c r="H68" i="4" s="1"/>
  <c r="G69" i="4"/>
  <c r="H69" i="4" s="1"/>
  <c r="G70" i="4"/>
  <c r="H70" i="4" s="1"/>
  <c r="G71" i="4"/>
  <c r="H71" i="4" s="1"/>
  <c r="G72" i="4"/>
  <c r="H72" i="4" s="1"/>
  <c r="G73" i="4"/>
  <c r="H73" i="4" s="1"/>
  <c r="G74" i="4"/>
  <c r="H74" i="4" s="1"/>
  <c r="G75" i="4"/>
  <c r="H75" i="4" s="1"/>
  <c r="G76" i="4"/>
  <c r="H76" i="4" s="1"/>
  <c r="G77" i="4"/>
  <c r="H77" i="4" s="1"/>
  <c r="G78" i="4"/>
  <c r="H78" i="4" s="1"/>
  <c r="G79" i="4"/>
  <c r="H79" i="4" s="1"/>
  <c r="G80" i="4"/>
  <c r="H80" i="4" s="1"/>
  <c r="G81" i="4"/>
  <c r="H81" i="4" s="1"/>
  <c r="G82" i="4"/>
  <c r="H82" i="4" s="1"/>
  <c r="G83" i="4"/>
  <c r="H83" i="4" s="1"/>
  <c r="G84" i="4"/>
  <c r="H84" i="4" s="1"/>
  <c r="G85" i="4"/>
  <c r="H85" i="4" s="1"/>
  <c r="G86" i="4"/>
  <c r="H86" i="4" s="1"/>
  <c r="G87" i="4"/>
  <c r="H87" i="4" s="1"/>
  <c r="G88" i="4"/>
  <c r="H88" i="4" s="1"/>
  <c r="G89" i="4"/>
  <c r="H89" i="4" s="1"/>
  <c r="G90" i="4"/>
  <c r="H90" i="4" s="1"/>
  <c r="G91" i="4"/>
  <c r="H91" i="4" s="1"/>
  <c r="G92" i="4"/>
  <c r="H92" i="4" s="1"/>
  <c r="G93" i="4"/>
  <c r="H93" i="4" s="1"/>
  <c r="G94" i="4"/>
  <c r="H94" i="4" s="1"/>
  <c r="G95" i="4"/>
  <c r="H95" i="4" s="1"/>
  <c r="G96" i="4"/>
  <c r="H96" i="4" s="1"/>
  <c r="G97" i="4"/>
  <c r="H97" i="4" s="1"/>
  <c r="G98" i="4"/>
  <c r="H98" i="4" s="1"/>
  <c r="G99" i="4"/>
  <c r="H99" i="4" s="1"/>
  <c r="G100" i="4"/>
  <c r="H100" i="4" s="1"/>
  <c r="G101" i="4"/>
  <c r="H101" i="4" s="1"/>
  <c r="G102" i="4"/>
  <c r="H102" i="4" s="1"/>
  <c r="G103" i="4"/>
  <c r="H103" i="4" s="1"/>
  <c r="G104" i="4"/>
  <c r="H104" i="4" s="1"/>
  <c r="G105" i="4"/>
  <c r="H105" i="4" s="1"/>
  <c r="G106" i="4"/>
  <c r="H106" i="4" s="1"/>
  <c r="G107" i="4"/>
  <c r="H107" i="4" s="1"/>
  <c r="G108" i="4"/>
  <c r="H108" i="4" s="1"/>
  <c r="G109" i="4"/>
  <c r="H109" i="4" s="1"/>
  <c r="G110" i="4"/>
  <c r="H110" i="4" s="1"/>
  <c r="G111" i="4"/>
  <c r="H111" i="4" s="1"/>
  <c r="G112" i="4"/>
  <c r="H112" i="4" s="1"/>
  <c r="G113" i="4"/>
  <c r="H113" i="4" s="1"/>
  <c r="G114" i="4"/>
  <c r="H114" i="4" s="1"/>
  <c r="G115" i="4"/>
  <c r="H115" i="4" s="1"/>
  <c r="G116" i="4"/>
  <c r="H116" i="4" s="1"/>
  <c r="G117" i="4"/>
  <c r="H117" i="4" s="1"/>
  <c r="G118" i="4"/>
  <c r="H118" i="4" s="1"/>
  <c r="G119" i="4"/>
  <c r="H119" i="4" s="1"/>
  <c r="G120" i="4"/>
  <c r="H120" i="4" s="1"/>
  <c r="G121" i="4"/>
  <c r="H121" i="4" s="1"/>
  <c r="G122" i="4"/>
  <c r="H122" i="4" s="1"/>
  <c r="G123" i="4"/>
  <c r="H123" i="4" s="1"/>
  <c r="G124" i="4"/>
  <c r="H124" i="4" s="1"/>
  <c r="G125" i="4"/>
  <c r="H125" i="4" s="1"/>
  <c r="G126" i="4"/>
  <c r="H126" i="4" s="1"/>
  <c r="G127" i="4"/>
  <c r="H127" i="4" s="1"/>
  <c r="G128" i="4"/>
  <c r="H128" i="4" s="1"/>
  <c r="G129" i="4"/>
  <c r="H129" i="4" s="1"/>
  <c r="G130" i="4"/>
  <c r="H130" i="4" s="1"/>
  <c r="G131" i="4"/>
  <c r="H131" i="4" s="1"/>
  <c r="G132" i="4"/>
  <c r="H132" i="4" s="1"/>
  <c r="G133" i="4"/>
  <c r="H133" i="4" s="1"/>
  <c r="G134" i="4"/>
  <c r="H134" i="4" s="1"/>
  <c r="G135" i="4"/>
  <c r="H135" i="4" s="1"/>
  <c r="G136" i="4"/>
  <c r="H136" i="4" s="1"/>
  <c r="G137" i="4"/>
  <c r="H137" i="4" s="1"/>
  <c r="G138" i="4"/>
  <c r="H138" i="4" s="1"/>
  <c r="G139" i="4"/>
  <c r="H139" i="4" s="1"/>
  <c r="G140" i="4"/>
  <c r="H140" i="4" s="1"/>
  <c r="G141" i="4"/>
  <c r="H141" i="4" s="1"/>
  <c r="G142" i="4"/>
  <c r="H142" i="4" s="1"/>
  <c r="G143" i="4"/>
  <c r="H143" i="4" s="1"/>
  <c r="G144" i="4"/>
  <c r="H144" i="4" s="1"/>
  <c r="G145" i="4"/>
  <c r="H145" i="4" s="1"/>
  <c r="G146" i="4"/>
  <c r="H146" i="4" s="1"/>
  <c r="G147" i="4"/>
  <c r="H147" i="4" s="1"/>
  <c r="G148" i="4"/>
  <c r="H148" i="4" s="1"/>
  <c r="G149" i="4"/>
  <c r="H149" i="4" s="1"/>
  <c r="G150" i="4"/>
  <c r="H150" i="4" s="1"/>
  <c r="G151" i="4"/>
  <c r="H151" i="4" s="1"/>
  <c r="G152" i="4"/>
  <c r="H152" i="4" s="1"/>
  <c r="G153" i="4"/>
  <c r="H153" i="4" s="1"/>
  <c r="G154" i="4"/>
  <c r="H154" i="4" s="1"/>
  <c r="G155" i="4"/>
  <c r="H155" i="4" s="1"/>
  <c r="G156" i="4"/>
  <c r="H156" i="4" s="1"/>
  <c r="G157" i="4"/>
  <c r="H157" i="4" s="1"/>
  <c r="G158" i="4"/>
  <c r="H158" i="4" s="1"/>
  <c r="G159" i="4"/>
  <c r="H159" i="4" s="1"/>
  <c r="G160" i="4"/>
  <c r="H160" i="4" s="1"/>
  <c r="G161" i="4"/>
  <c r="H161" i="4" s="1"/>
  <c r="G162" i="4"/>
  <c r="H162" i="4" s="1"/>
  <c r="G163" i="4"/>
  <c r="H163" i="4" s="1"/>
  <c r="G164" i="4"/>
  <c r="H164" i="4" s="1"/>
  <c r="G165" i="4"/>
  <c r="H165" i="4" s="1"/>
  <c r="G166" i="4"/>
  <c r="H166" i="4" s="1"/>
  <c r="G167" i="4"/>
  <c r="H167" i="4" s="1"/>
  <c r="G168" i="4"/>
  <c r="H168" i="4" s="1"/>
  <c r="G169" i="4"/>
  <c r="H169" i="4" s="1"/>
  <c r="G170" i="4"/>
  <c r="H170" i="4" s="1"/>
  <c r="G171" i="4"/>
  <c r="H171" i="4" s="1"/>
  <c r="G172" i="4"/>
  <c r="H172" i="4" s="1"/>
  <c r="G173" i="4"/>
  <c r="H173" i="4" s="1"/>
  <c r="G174" i="4"/>
  <c r="H174" i="4" s="1"/>
  <c r="G175" i="4"/>
  <c r="H175" i="4" s="1"/>
  <c r="G176" i="4"/>
  <c r="H176" i="4" s="1"/>
  <c r="G177" i="4"/>
  <c r="H177" i="4" s="1"/>
  <c r="G178" i="4"/>
  <c r="H178" i="4" s="1"/>
  <c r="G179" i="4"/>
  <c r="H179" i="4" s="1"/>
  <c r="G180" i="4"/>
  <c r="H180" i="4" s="1"/>
  <c r="G181" i="4"/>
  <c r="H181" i="4" s="1"/>
  <c r="G182" i="4"/>
  <c r="H182" i="4" s="1"/>
  <c r="G183" i="4"/>
  <c r="H183" i="4" s="1"/>
  <c r="G184" i="4"/>
  <c r="H184" i="4" s="1"/>
  <c r="G185" i="4"/>
  <c r="H185" i="4" s="1"/>
  <c r="G186" i="4"/>
  <c r="H186" i="4" s="1"/>
  <c r="G187" i="4"/>
  <c r="H187" i="4" s="1"/>
  <c r="G188" i="4"/>
  <c r="H188" i="4" s="1"/>
  <c r="G189" i="4"/>
  <c r="H189" i="4" s="1"/>
  <c r="G190" i="4"/>
  <c r="H190" i="4" s="1"/>
  <c r="G191" i="4"/>
  <c r="H191" i="4" s="1"/>
  <c r="G192" i="4"/>
  <c r="H192" i="4" s="1"/>
  <c r="G193" i="4"/>
  <c r="H193" i="4" s="1"/>
  <c r="G194" i="4"/>
  <c r="H194" i="4" s="1"/>
  <c r="G195" i="4"/>
  <c r="H195" i="4" s="1"/>
  <c r="G196" i="4"/>
  <c r="H196" i="4" s="1"/>
  <c r="G197" i="4"/>
  <c r="H197" i="4" s="1"/>
  <c r="G198" i="4"/>
  <c r="H198" i="4" s="1"/>
  <c r="G199" i="4"/>
  <c r="H199" i="4" s="1"/>
  <c r="G200" i="4"/>
  <c r="H200" i="4" s="1"/>
  <c r="G201" i="4"/>
  <c r="H201" i="4" s="1"/>
  <c r="G202" i="4"/>
  <c r="H202" i="4" s="1"/>
  <c r="G203" i="4"/>
  <c r="H203" i="4" s="1"/>
  <c r="G204" i="4"/>
  <c r="H204" i="4" s="1"/>
  <c r="G205" i="4"/>
  <c r="H205" i="4" s="1"/>
  <c r="G206" i="4"/>
  <c r="H206" i="4" s="1"/>
  <c r="G207" i="4"/>
  <c r="H207" i="4" s="1"/>
  <c r="G208" i="4"/>
  <c r="H208" i="4" s="1"/>
  <c r="G209" i="4"/>
  <c r="H209" i="4" s="1"/>
  <c r="G210" i="4"/>
  <c r="H210" i="4" s="1"/>
  <c r="G211" i="4"/>
  <c r="H211" i="4" s="1"/>
  <c r="G212" i="4"/>
  <c r="H212" i="4" s="1"/>
  <c r="G213" i="4"/>
  <c r="H213" i="4" s="1"/>
  <c r="G214" i="4"/>
  <c r="H214" i="4" s="1"/>
  <c r="G215" i="4"/>
  <c r="H215" i="4" s="1"/>
  <c r="G216" i="4"/>
  <c r="H216" i="4" s="1"/>
  <c r="G217" i="4"/>
  <c r="H217" i="4" s="1"/>
  <c r="G218" i="4"/>
  <c r="H218" i="4" s="1"/>
  <c r="G219" i="4"/>
  <c r="H219" i="4" s="1"/>
  <c r="G220" i="4"/>
  <c r="H220" i="4" s="1"/>
  <c r="G221" i="4"/>
  <c r="H221" i="4" s="1"/>
  <c r="G222" i="4"/>
  <c r="H222" i="4" s="1"/>
  <c r="G223" i="4"/>
  <c r="H223" i="4" s="1"/>
  <c r="G224" i="4"/>
  <c r="H224" i="4" s="1"/>
  <c r="G225" i="4"/>
  <c r="H225" i="4" s="1"/>
  <c r="G226" i="4"/>
  <c r="H226" i="4" s="1"/>
  <c r="G227" i="4"/>
  <c r="H227" i="4" s="1"/>
  <c r="G228" i="4"/>
  <c r="H228" i="4" s="1"/>
  <c r="G229" i="4"/>
  <c r="H229" i="4" s="1"/>
  <c r="G230" i="4"/>
  <c r="H230" i="4" s="1"/>
  <c r="G231" i="4"/>
  <c r="H231" i="4" s="1"/>
  <c r="G232" i="4"/>
  <c r="H232" i="4" s="1"/>
  <c r="G233" i="4"/>
  <c r="H233" i="4" s="1"/>
  <c r="G234" i="4"/>
  <c r="H234" i="4" s="1"/>
  <c r="G235" i="4"/>
  <c r="H235" i="4" s="1"/>
  <c r="G236" i="4"/>
  <c r="H236" i="4" s="1"/>
  <c r="G237" i="4"/>
  <c r="H237" i="4" s="1"/>
  <c r="G238" i="4"/>
  <c r="H238" i="4" s="1"/>
  <c r="G239" i="4"/>
  <c r="H239" i="4" s="1"/>
  <c r="G240" i="4"/>
  <c r="H240" i="4" s="1"/>
  <c r="G241" i="4"/>
  <c r="H241" i="4" s="1"/>
  <c r="G242" i="4"/>
  <c r="H242" i="4" s="1"/>
  <c r="G243" i="4"/>
  <c r="H243" i="4" s="1"/>
  <c r="G244" i="4"/>
  <c r="H244" i="4" s="1"/>
  <c r="G245" i="4"/>
  <c r="H245" i="4" s="1"/>
  <c r="G246" i="4"/>
  <c r="H246" i="4" s="1"/>
  <c r="G247" i="4"/>
  <c r="H247" i="4" s="1"/>
  <c r="G248" i="4"/>
  <c r="H248" i="4" s="1"/>
  <c r="G249" i="4"/>
  <c r="H249" i="4" s="1"/>
  <c r="G250" i="4"/>
  <c r="H250" i="4" s="1"/>
  <c r="G251" i="4"/>
  <c r="H251" i="4" s="1"/>
  <c r="G252" i="4"/>
  <c r="H252" i="4" s="1"/>
  <c r="G253" i="4"/>
  <c r="H253" i="4" s="1"/>
  <c r="G254" i="4"/>
  <c r="H254" i="4" s="1"/>
  <c r="G255" i="4"/>
  <c r="H255" i="4" s="1"/>
  <c r="G256" i="4"/>
  <c r="H256" i="4" s="1"/>
  <c r="G257" i="4"/>
  <c r="H257" i="4" s="1"/>
  <c r="G7" i="4"/>
  <c r="H7" i="4" l="1"/>
  <c r="B22" i="1" s="1"/>
  <c r="C24" i="1" s="1"/>
  <c r="B38" i="1" l="1"/>
  <c r="C40" i="1" s="1"/>
  <c r="G40" i="1" s="1"/>
  <c r="F40" i="1" s="1"/>
  <c r="C25" i="1"/>
  <c r="G24" i="1"/>
  <c r="F9" i="1"/>
  <c r="C41" i="1" l="1"/>
  <c r="G41" i="1" s="1"/>
  <c r="F41" i="1" s="1"/>
  <c r="F24" i="1"/>
  <c r="C26" i="1"/>
  <c r="G25" i="1"/>
  <c r="F25" i="1" s="1"/>
  <c r="C42" i="1" l="1"/>
  <c r="G42" i="1" s="1"/>
  <c r="F42" i="1" s="1"/>
  <c r="E41" i="1"/>
  <c r="C43" i="1"/>
  <c r="G43" i="1" s="1"/>
  <c r="F43" i="1" s="1"/>
  <c r="C27" i="1"/>
  <c r="G26" i="1"/>
  <c r="F26" i="1" s="1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B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B145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B146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B147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B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B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B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B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B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B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B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B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B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B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B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B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B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B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B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B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B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B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B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B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B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B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B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B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B251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B252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B253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B254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B255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B256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B257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B258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B259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B260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B264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B265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B266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B267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B268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B269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B270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B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B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B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B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B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B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B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B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B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B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B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B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B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B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B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B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B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B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B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B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B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B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B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B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B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B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B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P362" i="5"/>
  <c r="Q362" i="5"/>
  <c r="R362" i="5"/>
  <c r="S362" i="5"/>
  <c r="T362" i="5"/>
  <c r="U362" i="5"/>
  <c r="V362" i="5"/>
  <c r="B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P363" i="5"/>
  <c r="Q363" i="5"/>
  <c r="R363" i="5"/>
  <c r="S363" i="5"/>
  <c r="T363" i="5"/>
  <c r="U363" i="5"/>
  <c r="V363" i="5"/>
  <c r="B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P364" i="5"/>
  <c r="Q364" i="5"/>
  <c r="R364" i="5"/>
  <c r="S364" i="5"/>
  <c r="T364" i="5"/>
  <c r="U364" i="5"/>
  <c r="V364" i="5"/>
  <c r="B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P365" i="5"/>
  <c r="Q365" i="5"/>
  <c r="R365" i="5"/>
  <c r="S365" i="5"/>
  <c r="T365" i="5"/>
  <c r="U365" i="5"/>
  <c r="V365" i="5"/>
  <c r="B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P366" i="5"/>
  <c r="Q366" i="5"/>
  <c r="R366" i="5"/>
  <c r="S366" i="5"/>
  <c r="T366" i="5"/>
  <c r="U366" i="5"/>
  <c r="V366" i="5"/>
  <c r="B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P367" i="5"/>
  <c r="Q367" i="5"/>
  <c r="R367" i="5"/>
  <c r="S367" i="5"/>
  <c r="T367" i="5"/>
  <c r="U367" i="5"/>
  <c r="V367" i="5"/>
  <c r="B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P368" i="5"/>
  <c r="Q368" i="5"/>
  <c r="R368" i="5"/>
  <c r="S368" i="5"/>
  <c r="T368" i="5"/>
  <c r="U368" i="5"/>
  <c r="V368" i="5"/>
  <c r="B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P369" i="5"/>
  <c r="Q369" i="5"/>
  <c r="R369" i="5"/>
  <c r="S369" i="5"/>
  <c r="T369" i="5"/>
  <c r="U369" i="5"/>
  <c r="V369" i="5"/>
  <c r="B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P370" i="5"/>
  <c r="Q370" i="5"/>
  <c r="R370" i="5"/>
  <c r="S370" i="5"/>
  <c r="T370" i="5"/>
  <c r="U370" i="5"/>
  <c r="V370" i="5"/>
  <c r="B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P371" i="5"/>
  <c r="Q371" i="5"/>
  <c r="R371" i="5"/>
  <c r="S371" i="5"/>
  <c r="T371" i="5"/>
  <c r="U371" i="5"/>
  <c r="V371" i="5"/>
  <c r="B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P372" i="5"/>
  <c r="Q372" i="5"/>
  <c r="R372" i="5"/>
  <c r="S372" i="5"/>
  <c r="T372" i="5"/>
  <c r="U372" i="5"/>
  <c r="V372" i="5"/>
  <c r="B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P373" i="5"/>
  <c r="Q373" i="5"/>
  <c r="R373" i="5"/>
  <c r="S373" i="5"/>
  <c r="T373" i="5"/>
  <c r="U373" i="5"/>
  <c r="V373" i="5"/>
  <c r="B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P374" i="5"/>
  <c r="Q374" i="5"/>
  <c r="R374" i="5"/>
  <c r="S374" i="5"/>
  <c r="T374" i="5"/>
  <c r="U374" i="5"/>
  <c r="V374" i="5"/>
  <c r="B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P375" i="5"/>
  <c r="Q375" i="5"/>
  <c r="R375" i="5"/>
  <c r="S375" i="5"/>
  <c r="T375" i="5"/>
  <c r="U375" i="5"/>
  <c r="V375" i="5"/>
  <c r="B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P376" i="5"/>
  <c r="Q376" i="5"/>
  <c r="R376" i="5"/>
  <c r="S376" i="5"/>
  <c r="T376" i="5"/>
  <c r="U376" i="5"/>
  <c r="V376" i="5"/>
  <c r="B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P377" i="5"/>
  <c r="Q377" i="5"/>
  <c r="R377" i="5"/>
  <c r="S377" i="5"/>
  <c r="T377" i="5"/>
  <c r="U377" i="5"/>
  <c r="V377" i="5"/>
  <c r="B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P378" i="5"/>
  <c r="Q378" i="5"/>
  <c r="R378" i="5"/>
  <c r="S378" i="5"/>
  <c r="T378" i="5"/>
  <c r="U378" i="5"/>
  <c r="V378" i="5"/>
  <c r="B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P379" i="5"/>
  <c r="Q379" i="5"/>
  <c r="R379" i="5"/>
  <c r="S379" i="5"/>
  <c r="T379" i="5"/>
  <c r="U379" i="5"/>
  <c r="V379" i="5"/>
  <c r="B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P380" i="5"/>
  <c r="Q380" i="5"/>
  <c r="R380" i="5"/>
  <c r="S380" i="5"/>
  <c r="T380" i="5"/>
  <c r="U380" i="5"/>
  <c r="V380" i="5"/>
  <c r="B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P381" i="5"/>
  <c r="Q381" i="5"/>
  <c r="R381" i="5"/>
  <c r="S381" i="5"/>
  <c r="T381" i="5"/>
  <c r="U381" i="5"/>
  <c r="V381" i="5"/>
  <c r="B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P382" i="5"/>
  <c r="Q382" i="5"/>
  <c r="R382" i="5"/>
  <c r="S382" i="5"/>
  <c r="T382" i="5"/>
  <c r="U382" i="5"/>
  <c r="V382" i="5"/>
  <c r="B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P383" i="5"/>
  <c r="Q383" i="5"/>
  <c r="R383" i="5"/>
  <c r="S383" i="5"/>
  <c r="T383" i="5"/>
  <c r="U383" i="5"/>
  <c r="V383" i="5"/>
  <c r="B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P384" i="5"/>
  <c r="Q384" i="5"/>
  <c r="R384" i="5"/>
  <c r="S384" i="5"/>
  <c r="T384" i="5"/>
  <c r="U384" i="5"/>
  <c r="V384" i="5"/>
  <c r="B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P385" i="5"/>
  <c r="Q385" i="5"/>
  <c r="R385" i="5"/>
  <c r="S385" i="5"/>
  <c r="T385" i="5"/>
  <c r="U385" i="5"/>
  <c r="V385" i="5"/>
  <c r="B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P386" i="5"/>
  <c r="Q386" i="5"/>
  <c r="R386" i="5"/>
  <c r="S386" i="5"/>
  <c r="T386" i="5"/>
  <c r="U386" i="5"/>
  <c r="V386" i="5"/>
  <c r="B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P387" i="5"/>
  <c r="Q387" i="5"/>
  <c r="R387" i="5"/>
  <c r="S387" i="5"/>
  <c r="T387" i="5"/>
  <c r="U387" i="5"/>
  <c r="V387" i="5"/>
  <c r="B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P388" i="5"/>
  <c r="Q388" i="5"/>
  <c r="R388" i="5"/>
  <c r="S388" i="5"/>
  <c r="T388" i="5"/>
  <c r="U388" i="5"/>
  <c r="V388" i="5"/>
  <c r="B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P389" i="5"/>
  <c r="Q389" i="5"/>
  <c r="R389" i="5"/>
  <c r="S389" i="5"/>
  <c r="T389" i="5"/>
  <c r="U389" i="5"/>
  <c r="V389" i="5"/>
  <c r="B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P390" i="5"/>
  <c r="Q390" i="5"/>
  <c r="R390" i="5"/>
  <c r="S390" i="5"/>
  <c r="T390" i="5"/>
  <c r="U390" i="5"/>
  <c r="V390" i="5"/>
  <c r="B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P391" i="5"/>
  <c r="Q391" i="5"/>
  <c r="R391" i="5"/>
  <c r="S391" i="5"/>
  <c r="T391" i="5"/>
  <c r="U391" i="5"/>
  <c r="V391" i="5"/>
  <c r="B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B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B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P397" i="5"/>
  <c r="Q397" i="5"/>
  <c r="R397" i="5"/>
  <c r="S397" i="5"/>
  <c r="T397" i="5"/>
  <c r="U397" i="5"/>
  <c r="V397" i="5"/>
  <c r="B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P398" i="5"/>
  <c r="Q398" i="5"/>
  <c r="R398" i="5"/>
  <c r="S398" i="5"/>
  <c r="T398" i="5"/>
  <c r="U398" i="5"/>
  <c r="V398" i="5"/>
  <c r="B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P399" i="5"/>
  <c r="Q399" i="5"/>
  <c r="R399" i="5"/>
  <c r="S399" i="5"/>
  <c r="T399" i="5"/>
  <c r="U399" i="5"/>
  <c r="V399" i="5"/>
  <c r="B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P400" i="5"/>
  <c r="Q400" i="5"/>
  <c r="R400" i="5"/>
  <c r="S400" i="5"/>
  <c r="T400" i="5"/>
  <c r="U400" i="5"/>
  <c r="V400" i="5"/>
  <c r="B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P401" i="5"/>
  <c r="Q401" i="5"/>
  <c r="R401" i="5"/>
  <c r="S401" i="5"/>
  <c r="T401" i="5"/>
  <c r="U401" i="5"/>
  <c r="V401" i="5"/>
  <c r="B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P402" i="5"/>
  <c r="Q402" i="5"/>
  <c r="R402" i="5"/>
  <c r="S402" i="5"/>
  <c r="T402" i="5"/>
  <c r="U402" i="5"/>
  <c r="V402" i="5"/>
  <c r="B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P403" i="5"/>
  <c r="Q403" i="5"/>
  <c r="R403" i="5"/>
  <c r="S403" i="5"/>
  <c r="T403" i="5"/>
  <c r="U403" i="5"/>
  <c r="V403" i="5"/>
  <c r="B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P404" i="5"/>
  <c r="Q404" i="5"/>
  <c r="R404" i="5"/>
  <c r="S404" i="5"/>
  <c r="T404" i="5"/>
  <c r="U404" i="5"/>
  <c r="V404" i="5"/>
  <c r="B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P405" i="5"/>
  <c r="Q405" i="5"/>
  <c r="R405" i="5"/>
  <c r="S405" i="5"/>
  <c r="T405" i="5"/>
  <c r="U405" i="5"/>
  <c r="V405" i="5"/>
  <c r="B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P406" i="5"/>
  <c r="Q406" i="5"/>
  <c r="R406" i="5"/>
  <c r="S406" i="5"/>
  <c r="T406" i="5"/>
  <c r="U406" i="5"/>
  <c r="V406" i="5"/>
  <c r="B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P407" i="5"/>
  <c r="Q407" i="5"/>
  <c r="R407" i="5"/>
  <c r="S407" i="5"/>
  <c r="T407" i="5"/>
  <c r="U407" i="5"/>
  <c r="V407" i="5"/>
  <c r="B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P408" i="5"/>
  <c r="Q408" i="5"/>
  <c r="R408" i="5"/>
  <c r="S408" i="5"/>
  <c r="T408" i="5"/>
  <c r="U408" i="5"/>
  <c r="V408" i="5"/>
  <c r="B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P409" i="5"/>
  <c r="Q409" i="5"/>
  <c r="R409" i="5"/>
  <c r="S409" i="5"/>
  <c r="T409" i="5"/>
  <c r="U409" i="5"/>
  <c r="V409" i="5"/>
  <c r="B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P410" i="5"/>
  <c r="Q410" i="5"/>
  <c r="R410" i="5"/>
  <c r="S410" i="5"/>
  <c r="T410" i="5"/>
  <c r="U410" i="5"/>
  <c r="V410" i="5"/>
  <c r="B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P411" i="5"/>
  <c r="Q411" i="5"/>
  <c r="R411" i="5"/>
  <c r="S411" i="5"/>
  <c r="T411" i="5"/>
  <c r="U411" i="5"/>
  <c r="V411" i="5"/>
  <c r="B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P412" i="5"/>
  <c r="Q412" i="5"/>
  <c r="R412" i="5"/>
  <c r="S412" i="5"/>
  <c r="T412" i="5"/>
  <c r="U412" i="5"/>
  <c r="V412" i="5"/>
  <c r="B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P413" i="5"/>
  <c r="Q413" i="5"/>
  <c r="R413" i="5"/>
  <c r="S413" i="5"/>
  <c r="T413" i="5"/>
  <c r="U413" i="5"/>
  <c r="V413" i="5"/>
  <c r="B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P414" i="5"/>
  <c r="Q414" i="5"/>
  <c r="R414" i="5"/>
  <c r="S414" i="5"/>
  <c r="T414" i="5"/>
  <c r="U414" i="5"/>
  <c r="V414" i="5"/>
  <c r="B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P415" i="5"/>
  <c r="Q415" i="5"/>
  <c r="R415" i="5"/>
  <c r="S415" i="5"/>
  <c r="T415" i="5"/>
  <c r="U415" i="5"/>
  <c r="V415" i="5"/>
  <c r="B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P416" i="5"/>
  <c r="Q416" i="5"/>
  <c r="R416" i="5"/>
  <c r="S416" i="5"/>
  <c r="T416" i="5"/>
  <c r="U416" i="5"/>
  <c r="V416" i="5"/>
  <c r="B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P417" i="5"/>
  <c r="Q417" i="5"/>
  <c r="R417" i="5"/>
  <c r="S417" i="5"/>
  <c r="T417" i="5"/>
  <c r="U417" i="5"/>
  <c r="V417" i="5"/>
  <c r="B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P418" i="5"/>
  <c r="Q418" i="5"/>
  <c r="R418" i="5"/>
  <c r="S418" i="5"/>
  <c r="T418" i="5"/>
  <c r="U418" i="5"/>
  <c r="V418" i="5"/>
  <c r="B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P419" i="5"/>
  <c r="Q419" i="5"/>
  <c r="R419" i="5"/>
  <c r="S419" i="5"/>
  <c r="T419" i="5"/>
  <c r="U419" i="5"/>
  <c r="V419" i="5"/>
  <c r="B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P420" i="5"/>
  <c r="Q420" i="5"/>
  <c r="R420" i="5"/>
  <c r="S420" i="5"/>
  <c r="T420" i="5"/>
  <c r="U420" i="5"/>
  <c r="V420" i="5"/>
  <c r="B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P421" i="5"/>
  <c r="Q421" i="5"/>
  <c r="R421" i="5"/>
  <c r="S421" i="5"/>
  <c r="T421" i="5"/>
  <c r="U421" i="5"/>
  <c r="V421" i="5"/>
  <c r="B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P422" i="5"/>
  <c r="Q422" i="5"/>
  <c r="R422" i="5"/>
  <c r="S422" i="5"/>
  <c r="T422" i="5"/>
  <c r="U422" i="5"/>
  <c r="V422" i="5"/>
  <c r="B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P423" i="5"/>
  <c r="Q423" i="5"/>
  <c r="R423" i="5"/>
  <c r="S423" i="5"/>
  <c r="T423" i="5"/>
  <c r="U423" i="5"/>
  <c r="V423" i="5"/>
  <c r="B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P424" i="5"/>
  <c r="Q424" i="5"/>
  <c r="R424" i="5"/>
  <c r="S424" i="5"/>
  <c r="T424" i="5"/>
  <c r="U424" i="5"/>
  <c r="V424" i="5"/>
  <c r="B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P425" i="5"/>
  <c r="Q425" i="5"/>
  <c r="R425" i="5"/>
  <c r="S425" i="5"/>
  <c r="T425" i="5"/>
  <c r="U425" i="5"/>
  <c r="V425" i="5"/>
  <c r="B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P426" i="5"/>
  <c r="Q426" i="5"/>
  <c r="R426" i="5"/>
  <c r="S426" i="5"/>
  <c r="T426" i="5"/>
  <c r="U426" i="5"/>
  <c r="V426" i="5"/>
  <c r="B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P427" i="5"/>
  <c r="Q427" i="5"/>
  <c r="R427" i="5"/>
  <c r="S427" i="5"/>
  <c r="T427" i="5"/>
  <c r="U427" i="5"/>
  <c r="V427" i="5"/>
  <c r="B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P428" i="5"/>
  <c r="Q428" i="5"/>
  <c r="R428" i="5"/>
  <c r="S428" i="5"/>
  <c r="T428" i="5"/>
  <c r="U428" i="5"/>
  <c r="V428" i="5"/>
  <c r="B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P429" i="5"/>
  <c r="Q429" i="5"/>
  <c r="R429" i="5"/>
  <c r="S429" i="5"/>
  <c r="T429" i="5"/>
  <c r="U429" i="5"/>
  <c r="V429" i="5"/>
  <c r="B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P430" i="5"/>
  <c r="Q430" i="5"/>
  <c r="R430" i="5"/>
  <c r="S430" i="5"/>
  <c r="T430" i="5"/>
  <c r="U430" i="5"/>
  <c r="V430" i="5"/>
  <c r="B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P431" i="5"/>
  <c r="Q431" i="5"/>
  <c r="R431" i="5"/>
  <c r="S431" i="5"/>
  <c r="T431" i="5"/>
  <c r="U431" i="5"/>
  <c r="V431" i="5"/>
  <c r="B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P432" i="5"/>
  <c r="Q432" i="5"/>
  <c r="R432" i="5"/>
  <c r="S432" i="5"/>
  <c r="T432" i="5"/>
  <c r="U432" i="5"/>
  <c r="V432" i="5"/>
  <c r="B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P433" i="5"/>
  <c r="Q433" i="5"/>
  <c r="R433" i="5"/>
  <c r="S433" i="5"/>
  <c r="T433" i="5"/>
  <c r="U433" i="5"/>
  <c r="V433" i="5"/>
  <c r="B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P434" i="5"/>
  <c r="Q434" i="5"/>
  <c r="R434" i="5"/>
  <c r="S434" i="5"/>
  <c r="T434" i="5"/>
  <c r="U434" i="5"/>
  <c r="V434" i="5"/>
  <c r="B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P435" i="5"/>
  <c r="Q435" i="5"/>
  <c r="R435" i="5"/>
  <c r="S435" i="5"/>
  <c r="T435" i="5"/>
  <c r="U435" i="5"/>
  <c r="V435" i="5"/>
  <c r="B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P436" i="5"/>
  <c r="Q436" i="5"/>
  <c r="R436" i="5"/>
  <c r="S436" i="5"/>
  <c r="T436" i="5"/>
  <c r="U436" i="5"/>
  <c r="V436" i="5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P437" i="5"/>
  <c r="Q437" i="5"/>
  <c r="R437" i="5"/>
  <c r="S437" i="5"/>
  <c r="T437" i="5"/>
  <c r="U437" i="5"/>
  <c r="V437" i="5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P438" i="5"/>
  <c r="Q438" i="5"/>
  <c r="R438" i="5"/>
  <c r="S438" i="5"/>
  <c r="T438" i="5"/>
  <c r="U438" i="5"/>
  <c r="V438" i="5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P439" i="5"/>
  <c r="Q439" i="5"/>
  <c r="R439" i="5"/>
  <c r="S439" i="5"/>
  <c r="T439" i="5"/>
  <c r="U439" i="5"/>
  <c r="V439" i="5"/>
  <c r="B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P440" i="5"/>
  <c r="Q440" i="5"/>
  <c r="R440" i="5"/>
  <c r="S440" i="5"/>
  <c r="T440" i="5"/>
  <c r="U440" i="5"/>
  <c r="V440" i="5"/>
  <c r="B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P441" i="5"/>
  <c r="Q441" i="5"/>
  <c r="R441" i="5"/>
  <c r="S441" i="5"/>
  <c r="T441" i="5"/>
  <c r="U441" i="5"/>
  <c r="V441" i="5"/>
  <c r="B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P442" i="5"/>
  <c r="Q442" i="5"/>
  <c r="R442" i="5"/>
  <c r="S442" i="5"/>
  <c r="T442" i="5"/>
  <c r="U442" i="5"/>
  <c r="V442" i="5"/>
  <c r="B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P443" i="5"/>
  <c r="Q443" i="5"/>
  <c r="R443" i="5"/>
  <c r="S443" i="5"/>
  <c r="T443" i="5"/>
  <c r="U443" i="5"/>
  <c r="V443" i="5"/>
  <c r="B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P444" i="5"/>
  <c r="Q444" i="5"/>
  <c r="R444" i="5"/>
  <c r="S444" i="5"/>
  <c r="T444" i="5"/>
  <c r="U444" i="5"/>
  <c r="V444" i="5"/>
  <c r="B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P445" i="5"/>
  <c r="Q445" i="5"/>
  <c r="R445" i="5"/>
  <c r="S445" i="5"/>
  <c r="T445" i="5"/>
  <c r="U445" i="5"/>
  <c r="V445" i="5"/>
  <c r="B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P446" i="5"/>
  <c r="Q446" i="5"/>
  <c r="R446" i="5"/>
  <c r="S446" i="5"/>
  <c r="T446" i="5"/>
  <c r="U446" i="5"/>
  <c r="V446" i="5"/>
  <c r="B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P447" i="5"/>
  <c r="Q447" i="5"/>
  <c r="R447" i="5"/>
  <c r="S447" i="5"/>
  <c r="T447" i="5"/>
  <c r="U447" i="5"/>
  <c r="V447" i="5"/>
  <c r="B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P448" i="5"/>
  <c r="Q448" i="5"/>
  <c r="R448" i="5"/>
  <c r="S448" i="5"/>
  <c r="T448" i="5"/>
  <c r="U448" i="5"/>
  <c r="V448" i="5"/>
  <c r="B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P449" i="5"/>
  <c r="Q449" i="5"/>
  <c r="R449" i="5"/>
  <c r="S449" i="5"/>
  <c r="T449" i="5"/>
  <c r="U449" i="5"/>
  <c r="V449" i="5"/>
  <c r="B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P450" i="5"/>
  <c r="Q450" i="5"/>
  <c r="R450" i="5"/>
  <c r="S450" i="5"/>
  <c r="T450" i="5"/>
  <c r="U450" i="5"/>
  <c r="V450" i="5"/>
  <c r="B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P451" i="5"/>
  <c r="Q451" i="5"/>
  <c r="R451" i="5"/>
  <c r="S451" i="5"/>
  <c r="T451" i="5"/>
  <c r="U451" i="5"/>
  <c r="V451" i="5"/>
  <c r="B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P452" i="5"/>
  <c r="Q452" i="5"/>
  <c r="R452" i="5"/>
  <c r="S452" i="5"/>
  <c r="T452" i="5"/>
  <c r="U452" i="5"/>
  <c r="V452" i="5"/>
  <c r="B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P453" i="5"/>
  <c r="Q453" i="5"/>
  <c r="R453" i="5"/>
  <c r="S453" i="5"/>
  <c r="T453" i="5"/>
  <c r="U453" i="5"/>
  <c r="V453" i="5"/>
  <c r="B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P454" i="5"/>
  <c r="Q454" i="5"/>
  <c r="R454" i="5"/>
  <c r="S454" i="5"/>
  <c r="T454" i="5"/>
  <c r="U454" i="5"/>
  <c r="V454" i="5"/>
  <c r="B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P455" i="5"/>
  <c r="Q455" i="5"/>
  <c r="R455" i="5"/>
  <c r="S455" i="5"/>
  <c r="T455" i="5"/>
  <c r="U455" i="5"/>
  <c r="V455" i="5"/>
  <c r="B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P456" i="5"/>
  <c r="Q456" i="5"/>
  <c r="R456" i="5"/>
  <c r="S456" i="5"/>
  <c r="T456" i="5"/>
  <c r="U456" i="5"/>
  <c r="V456" i="5"/>
  <c r="B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P457" i="5"/>
  <c r="Q457" i="5"/>
  <c r="R457" i="5"/>
  <c r="S457" i="5"/>
  <c r="T457" i="5"/>
  <c r="U457" i="5"/>
  <c r="V457" i="5"/>
  <c r="B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P458" i="5"/>
  <c r="Q458" i="5"/>
  <c r="R458" i="5"/>
  <c r="S458" i="5"/>
  <c r="T458" i="5"/>
  <c r="U458" i="5"/>
  <c r="V458" i="5"/>
  <c r="B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P459" i="5"/>
  <c r="Q459" i="5"/>
  <c r="R459" i="5"/>
  <c r="S459" i="5"/>
  <c r="T459" i="5"/>
  <c r="U459" i="5"/>
  <c r="V459" i="5"/>
  <c r="B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P460" i="5"/>
  <c r="Q460" i="5"/>
  <c r="R460" i="5"/>
  <c r="S460" i="5"/>
  <c r="T460" i="5"/>
  <c r="U460" i="5"/>
  <c r="V460" i="5"/>
  <c r="B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P461" i="5"/>
  <c r="Q461" i="5"/>
  <c r="R461" i="5"/>
  <c r="S461" i="5"/>
  <c r="T461" i="5"/>
  <c r="U461" i="5"/>
  <c r="V461" i="5"/>
  <c r="B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P462" i="5"/>
  <c r="Q462" i="5"/>
  <c r="R462" i="5"/>
  <c r="S462" i="5"/>
  <c r="T462" i="5"/>
  <c r="U462" i="5"/>
  <c r="V462" i="5"/>
  <c r="B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P463" i="5"/>
  <c r="Q463" i="5"/>
  <c r="R463" i="5"/>
  <c r="S463" i="5"/>
  <c r="T463" i="5"/>
  <c r="U463" i="5"/>
  <c r="V463" i="5"/>
  <c r="B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P464" i="5"/>
  <c r="Q464" i="5"/>
  <c r="R464" i="5"/>
  <c r="S464" i="5"/>
  <c r="T464" i="5"/>
  <c r="U464" i="5"/>
  <c r="V464" i="5"/>
  <c r="B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P465" i="5"/>
  <c r="Q465" i="5"/>
  <c r="R465" i="5"/>
  <c r="S465" i="5"/>
  <c r="T465" i="5"/>
  <c r="U465" i="5"/>
  <c r="V465" i="5"/>
  <c r="B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P466" i="5"/>
  <c r="Q466" i="5"/>
  <c r="R466" i="5"/>
  <c r="S466" i="5"/>
  <c r="T466" i="5"/>
  <c r="U466" i="5"/>
  <c r="V466" i="5"/>
  <c r="B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P467" i="5"/>
  <c r="Q467" i="5"/>
  <c r="R467" i="5"/>
  <c r="S467" i="5"/>
  <c r="T467" i="5"/>
  <c r="U467" i="5"/>
  <c r="V467" i="5"/>
  <c r="B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P468" i="5"/>
  <c r="Q468" i="5"/>
  <c r="R468" i="5"/>
  <c r="S468" i="5"/>
  <c r="T468" i="5"/>
  <c r="U468" i="5"/>
  <c r="V468" i="5"/>
  <c r="B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P469" i="5"/>
  <c r="Q469" i="5"/>
  <c r="R469" i="5"/>
  <c r="S469" i="5"/>
  <c r="T469" i="5"/>
  <c r="U469" i="5"/>
  <c r="V469" i="5"/>
  <c r="B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P470" i="5"/>
  <c r="Q470" i="5"/>
  <c r="R470" i="5"/>
  <c r="S470" i="5"/>
  <c r="T470" i="5"/>
  <c r="U470" i="5"/>
  <c r="V470" i="5"/>
  <c r="B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P471" i="5"/>
  <c r="Q471" i="5"/>
  <c r="R471" i="5"/>
  <c r="S471" i="5"/>
  <c r="T471" i="5"/>
  <c r="U471" i="5"/>
  <c r="V471" i="5"/>
  <c r="B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P472" i="5"/>
  <c r="Q472" i="5"/>
  <c r="R472" i="5"/>
  <c r="S472" i="5"/>
  <c r="T472" i="5"/>
  <c r="U472" i="5"/>
  <c r="V472" i="5"/>
  <c r="B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P473" i="5"/>
  <c r="Q473" i="5"/>
  <c r="R473" i="5"/>
  <c r="S473" i="5"/>
  <c r="T473" i="5"/>
  <c r="U473" i="5"/>
  <c r="V473" i="5"/>
  <c r="B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P474" i="5"/>
  <c r="Q474" i="5"/>
  <c r="R474" i="5"/>
  <c r="S474" i="5"/>
  <c r="T474" i="5"/>
  <c r="U474" i="5"/>
  <c r="V474" i="5"/>
  <c r="B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P475" i="5"/>
  <c r="Q475" i="5"/>
  <c r="R475" i="5"/>
  <c r="S475" i="5"/>
  <c r="T475" i="5"/>
  <c r="U475" i="5"/>
  <c r="V475" i="5"/>
  <c r="B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P476" i="5"/>
  <c r="Q476" i="5"/>
  <c r="R476" i="5"/>
  <c r="S476" i="5"/>
  <c r="T476" i="5"/>
  <c r="U476" i="5"/>
  <c r="V476" i="5"/>
  <c r="B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P477" i="5"/>
  <c r="Q477" i="5"/>
  <c r="R477" i="5"/>
  <c r="S477" i="5"/>
  <c r="T477" i="5"/>
  <c r="U477" i="5"/>
  <c r="V477" i="5"/>
  <c r="B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P478" i="5"/>
  <c r="Q478" i="5"/>
  <c r="R478" i="5"/>
  <c r="S478" i="5"/>
  <c r="T478" i="5"/>
  <c r="U478" i="5"/>
  <c r="V478" i="5"/>
  <c r="B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P479" i="5"/>
  <c r="Q479" i="5"/>
  <c r="R479" i="5"/>
  <c r="S479" i="5"/>
  <c r="T479" i="5"/>
  <c r="U479" i="5"/>
  <c r="V479" i="5"/>
  <c r="B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P480" i="5"/>
  <c r="Q480" i="5"/>
  <c r="R480" i="5"/>
  <c r="S480" i="5"/>
  <c r="T480" i="5"/>
  <c r="U480" i="5"/>
  <c r="V480" i="5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P481" i="5"/>
  <c r="Q481" i="5"/>
  <c r="R481" i="5"/>
  <c r="S481" i="5"/>
  <c r="T481" i="5"/>
  <c r="U481" i="5"/>
  <c r="V481" i="5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P482" i="5"/>
  <c r="Q482" i="5"/>
  <c r="R482" i="5"/>
  <c r="S482" i="5"/>
  <c r="T482" i="5"/>
  <c r="U482" i="5"/>
  <c r="V482" i="5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P483" i="5"/>
  <c r="Q483" i="5"/>
  <c r="R483" i="5"/>
  <c r="S483" i="5"/>
  <c r="T483" i="5"/>
  <c r="U483" i="5"/>
  <c r="V483" i="5"/>
  <c r="B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P484" i="5"/>
  <c r="Q484" i="5"/>
  <c r="R484" i="5"/>
  <c r="S484" i="5"/>
  <c r="T484" i="5"/>
  <c r="U484" i="5"/>
  <c r="V484" i="5"/>
  <c r="B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P485" i="5"/>
  <c r="Q485" i="5"/>
  <c r="R485" i="5"/>
  <c r="S485" i="5"/>
  <c r="T485" i="5"/>
  <c r="U485" i="5"/>
  <c r="V485" i="5"/>
  <c r="B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P486" i="5"/>
  <c r="Q486" i="5"/>
  <c r="R486" i="5"/>
  <c r="S486" i="5"/>
  <c r="T486" i="5"/>
  <c r="U486" i="5"/>
  <c r="V486" i="5"/>
  <c r="B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P487" i="5"/>
  <c r="Q487" i="5"/>
  <c r="R487" i="5"/>
  <c r="S487" i="5"/>
  <c r="T487" i="5"/>
  <c r="U487" i="5"/>
  <c r="V487" i="5"/>
  <c r="B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P488" i="5"/>
  <c r="Q488" i="5"/>
  <c r="R488" i="5"/>
  <c r="S488" i="5"/>
  <c r="T488" i="5"/>
  <c r="U488" i="5"/>
  <c r="V488" i="5"/>
  <c r="B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P489" i="5"/>
  <c r="Q489" i="5"/>
  <c r="R489" i="5"/>
  <c r="S489" i="5"/>
  <c r="T489" i="5"/>
  <c r="U489" i="5"/>
  <c r="V489" i="5"/>
  <c r="B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P490" i="5"/>
  <c r="Q490" i="5"/>
  <c r="R490" i="5"/>
  <c r="S490" i="5"/>
  <c r="T490" i="5"/>
  <c r="U490" i="5"/>
  <c r="V490" i="5"/>
  <c r="B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P491" i="5"/>
  <c r="Q491" i="5"/>
  <c r="R491" i="5"/>
  <c r="S491" i="5"/>
  <c r="T491" i="5"/>
  <c r="U491" i="5"/>
  <c r="V491" i="5"/>
  <c r="B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P492" i="5"/>
  <c r="Q492" i="5"/>
  <c r="R492" i="5"/>
  <c r="S492" i="5"/>
  <c r="T492" i="5"/>
  <c r="U492" i="5"/>
  <c r="V492" i="5"/>
  <c r="B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P493" i="5"/>
  <c r="Q493" i="5"/>
  <c r="R493" i="5"/>
  <c r="S493" i="5"/>
  <c r="T493" i="5"/>
  <c r="U493" i="5"/>
  <c r="V493" i="5"/>
  <c r="B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P494" i="5"/>
  <c r="Q494" i="5"/>
  <c r="R494" i="5"/>
  <c r="S494" i="5"/>
  <c r="T494" i="5"/>
  <c r="U494" i="5"/>
  <c r="V494" i="5"/>
  <c r="B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P495" i="5"/>
  <c r="Q495" i="5"/>
  <c r="R495" i="5"/>
  <c r="S495" i="5"/>
  <c r="T495" i="5"/>
  <c r="U495" i="5"/>
  <c r="V495" i="5"/>
  <c r="B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P496" i="5"/>
  <c r="Q496" i="5"/>
  <c r="R496" i="5"/>
  <c r="S496" i="5"/>
  <c r="T496" i="5"/>
  <c r="U496" i="5"/>
  <c r="V496" i="5"/>
  <c r="B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P497" i="5"/>
  <c r="Q497" i="5"/>
  <c r="R497" i="5"/>
  <c r="S497" i="5"/>
  <c r="T497" i="5"/>
  <c r="U497" i="5"/>
  <c r="V497" i="5"/>
  <c r="B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P498" i="5"/>
  <c r="Q498" i="5"/>
  <c r="R498" i="5"/>
  <c r="S498" i="5"/>
  <c r="T498" i="5"/>
  <c r="U498" i="5"/>
  <c r="V498" i="5"/>
  <c r="B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P499" i="5"/>
  <c r="Q499" i="5"/>
  <c r="R499" i="5"/>
  <c r="S499" i="5"/>
  <c r="T499" i="5"/>
  <c r="U499" i="5"/>
  <c r="V499" i="5"/>
  <c r="B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P500" i="5"/>
  <c r="Q500" i="5"/>
  <c r="R500" i="5"/>
  <c r="S500" i="5"/>
  <c r="T500" i="5"/>
  <c r="U500" i="5"/>
  <c r="V500" i="5"/>
  <c r="B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P501" i="5"/>
  <c r="Q501" i="5"/>
  <c r="R501" i="5"/>
  <c r="S501" i="5"/>
  <c r="T501" i="5"/>
  <c r="U501" i="5"/>
  <c r="V501" i="5"/>
  <c r="B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P502" i="5"/>
  <c r="Q502" i="5"/>
  <c r="R502" i="5"/>
  <c r="S502" i="5"/>
  <c r="T502" i="5"/>
  <c r="U502" i="5"/>
  <c r="V502" i="5"/>
  <c r="B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P503" i="5"/>
  <c r="Q503" i="5"/>
  <c r="R503" i="5"/>
  <c r="S503" i="5"/>
  <c r="T503" i="5"/>
  <c r="U503" i="5"/>
  <c r="V503" i="5"/>
  <c r="B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P504" i="5"/>
  <c r="Q504" i="5"/>
  <c r="R504" i="5"/>
  <c r="S504" i="5"/>
  <c r="T504" i="5"/>
  <c r="U504" i="5"/>
  <c r="V504" i="5"/>
  <c r="B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P505" i="5"/>
  <c r="Q505" i="5"/>
  <c r="R505" i="5"/>
  <c r="S505" i="5"/>
  <c r="T505" i="5"/>
  <c r="U505" i="5"/>
  <c r="V505" i="5"/>
  <c r="B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P506" i="5"/>
  <c r="Q506" i="5"/>
  <c r="R506" i="5"/>
  <c r="S506" i="5"/>
  <c r="T506" i="5"/>
  <c r="U506" i="5"/>
  <c r="V506" i="5"/>
  <c r="B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P507" i="5"/>
  <c r="Q507" i="5"/>
  <c r="R507" i="5"/>
  <c r="S507" i="5"/>
  <c r="T507" i="5"/>
  <c r="U507" i="5"/>
  <c r="V507" i="5"/>
  <c r="B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P508" i="5"/>
  <c r="Q508" i="5"/>
  <c r="R508" i="5"/>
  <c r="S508" i="5"/>
  <c r="T508" i="5"/>
  <c r="U508" i="5"/>
  <c r="V508" i="5"/>
  <c r="B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P509" i="5"/>
  <c r="Q509" i="5"/>
  <c r="R509" i="5"/>
  <c r="S509" i="5"/>
  <c r="T509" i="5"/>
  <c r="U509" i="5"/>
  <c r="V509" i="5"/>
  <c r="B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P510" i="5"/>
  <c r="Q510" i="5"/>
  <c r="R510" i="5"/>
  <c r="S510" i="5"/>
  <c r="T510" i="5"/>
  <c r="U510" i="5"/>
  <c r="V510" i="5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P511" i="5"/>
  <c r="Q511" i="5"/>
  <c r="R511" i="5"/>
  <c r="S511" i="5"/>
  <c r="T511" i="5"/>
  <c r="U511" i="5"/>
  <c r="V511" i="5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P512" i="5"/>
  <c r="Q512" i="5"/>
  <c r="R512" i="5"/>
  <c r="S512" i="5"/>
  <c r="T512" i="5"/>
  <c r="U512" i="5"/>
  <c r="V512" i="5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P513" i="5"/>
  <c r="Q513" i="5"/>
  <c r="R513" i="5"/>
  <c r="S513" i="5"/>
  <c r="T513" i="5"/>
  <c r="U513" i="5"/>
  <c r="V513" i="5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P514" i="5"/>
  <c r="Q514" i="5"/>
  <c r="R514" i="5"/>
  <c r="S514" i="5"/>
  <c r="T514" i="5"/>
  <c r="U514" i="5"/>
  <c r="V514" i="5"/>
  <c r="B515" i="5"/>
  <c r="C515" i="5"/>
  <c r="D515" i="5"/>
  <c r="E515" i="5"/>
  <c r="F515" i="5"/>
  <c r="G515" i="5"/>
  <c r="H515" i="5"/>
  <c r="I515" i="5"/>
  <c r="J515" i="5"/>
  <c r="K515" i="5"/>
  <c r="L515" i="5"/>
  <c r="M515" i="5"/>
  <c r="N515" i="5"/>
  <c r="O515" i="5"/>
  <c r="P515" i="5"/>
  <c r="Q515" i="5"/>
  <c r="R515" i="5"/>
  <c r="S515" i="5"/>
  <c r="T515" i="5"/>
  <c r="U515" i="5"/>
  <c r="V515" i="5"/>
  <c r="B516" i="5"/>
  <c r="C516" i="5"/>
  <c r="D516" i="5"/>
  <c r="E516" i="5"/>
  <c r="F516" i="5"/>
  <c r="G516" i="5"/>
  <c r="H516" i="5"/>
  <c r="I516" i="5"/>
  <c r="J516" i="5"/>
  <c r="K516" i="5"/>
  <c r="L516" i="5"/>
  <c r="M516" i="5"/>
  <c r="N516" i="5"/>
  <c r="O516" i="5"/>
  <c r="P516" i="5"/>
  <c r="Q516" i="5"/>
  <c r="R516" i="5"/>
  <c r="S516" i="5"/>
  <c r="T516" i="5"/>
  <c r="U516" i="5"/>
  <c r="V516" i="5"/>
  <c r="B517" i="5"/>
  <c r="C517" i="5"/>
  <c r="D517" i="5"/>
  <c r="E517" i="5"/>
  <c r="F517" i="5"/>
  <c r="G517" i="5"/>
  <c r="H517" i="5"/>
  <c r="I517" i="5"/>
  <c r="J517" i="5"/>
  <c r="K517" i="5"/>
  <c r="L517" i="5"/>
  <c r="M517" i="5"/>
  <c r="N517" i="5"/>
  <c r="O517" i="5"/>
  <c r="P517" i="5"/>
  <c r="Q517" i="5"/>
  <c r="R517" i="5"/>
  <c r="S517" i="5"/>
  <c r="T517" i="5"/>
  <c r="U517" i="5"/>
  <c r="V517" i="5"/>
  <c r="B518" i="5"/>
  <c r="C518" i="5"/>
  <c r="D518" i="5"/>
  <c r="E518" i="5"/>
  <c r="F518" i="5"/>
  <c r="G518" i="5"/>
  <c r="H518" i="5"/>
  <c r="I518" i="5"/>
  <c r="J518" i="5"/>
  <c r="K518" i="5"/>
  <c r="L518" i="5"/>
  <c r="M518" i="5"/>
  <c r="N518" i="5"/>
  <c r="O518" i="5"/>
  <c r="P518" i="5"/>
  <c r="Q518" i="5"/>
  <c r="R518" i="5"/>
  <c r="S518" i="5"/>
  <c r="T518" i="5"/>
  <c r="U518" i="5"/>
  <c r="V518" i="5"/>
  <c r="B519" i="5"/>
  <c r="C519" i="5"/>
  <c r="D519" i="5"/>
  <c r="E519" i="5"/>
  <c r="F519" i="5"/>
  <c r="G519" i="5"/>
  <c r="H519" i="5"/>
  <c r="I519" i="5"/>
  <c r="J519" i="5"/>
  <c r="K519" i="5"/>
  <c r="L519" i="5"/>
  <c r="M519" i="5"/>
  <c r="N519" i="5"/>
  <c r="O519" i="5"/>
  <c r="P519" i="5"/>
  <c r="Q519" i="5"/>
  <c r="R519" i="5"/>
  <c r="S519" i="5"/>
  <c r="T519" i="5"/>
  <c r="U519" i="5"/>
  <c r="V519" i="5"/>
  <c r="B520" i="5"/>
  <c r="C520" i="5"/>
  <c r="D520" i="5"/>
  <c r="E520" i="5"/>
  <c r="F520" i="5"/>
  <c r="G520" i="5"/>
  <c r="H520" i="5"/>
  <c r="I520" i="5"/>
  <c r="J520" i="5"/>
  <c r="K520" i="5"/>
  <c r="L520" i="5"/>
  <c r="M520" i="5"/>
  <c r="N520" i="5"/>
  <c r="O520" i="5"/>
  <c r="P520" i="5"/>
  <c r="Q520" i="5"/>
  <c r="R520" i="5"/>
  <c r="S520" i="5"/>
  <c r="T520" i="5"/>
  <c r="U520" i="5"/>
  <c r="V520" i="5"/>
  <c r="B521" i="5"/>
  <c r="C521" i="5"/>
  <c r="D521" i="5"/>
  <c r="E521" i="5"/>
  <c r="F521" i="5"/>
  <c r="G521" i="5"/>
  <c r="H521" i="5"/>
  <c r="I521" i="5"/>
  <c r="J521" i="5"/>
  <c r="K521" i="5"/>
  <c r="L521" i="5"/>
  <c r="M521" i="5"/>
  <c r="N521" i="5"/>
  <c r="O521" i="5"/>
  <c r="P521" i="5"/>
  <c r="Q521" i="5"/>
  <c r="R521" i="5"/>
  <c r="S521" i="5"/>
  <c r="T521" i="5"/>
  <c r="U521" i="5"/>
  <c r="V521" i="5"/>
  <c r="B522" i="5"/>
  <c r="C522" i="5"/>
  <c r="D522" i="5"/>
  <c r="E522" i="5"/>
  <c r="F522" i="5"/>
  <c r="G522" i="5"/>
  <c r="H522" i="5"/>
  <c r="I522" i="5"/>
  <c r="J522" i="5"/>
  <c r="K522" i="5"/>
  <c r="L522" i="5"/>
  <c r="M522" i="5"/>
  <c r="N522" i="5"/>
  <c r="O522" i="5"/>
  <c r="P522" i="5"/>
  <c r="Q522" i="5"/>
  <c r="R522" i="5"/>
  <c r="S522" i="5"/>
  <c r="T522" i="5"/>
  <c r="U522" i="5"/>
  <c r="V522" i="5"/>
  <c r="B523" i="5"/>
  <c r="C523" i="5"/>
  <c r="D523" i="5"/>
  <c r="E523" i="5"/>
  <c r="F523" i="5"/>
  <c r="G523" i="5"/>
  <c r="H523" i="5"/>
  <c r="I523" i="5"/>
  <c r="J523" i="5"/>
  <c r="K523" i="5"/>
  <c r="L523" i="5"/>
  <c r="M523" i="5"/>
  <c r="N523" i="5"/>
  <c r="O523" i="5"/>
  <c r="P523" i="5"/>
  <c r="Q523" i="5"/>
  <c r="R523" i="5"/>
  <c r="S523" i="5"/>
  <c r="T523" i="5"/>
  <c r="U523" i="5"/>
  <c r="V523" i="5"/>
  <c r="B524" i="5"/>
  <c r="C524" i="5"/>
  <c r="D524" i="5"/>
  <c r="E524" i="5"/>
  <c r="F524" i="5"/>
  <c r="G524" i="5"/>
  <c r="H524" i="5"/>
  <c r="I524" i="5"/>
  <c r="J524" i="5"/>
  <c r="K524" i="5"/>
  <c r="L524" i="5"/>
  <c r="M524" i="5"/>
  <c r="N524" i="5"/>
  <c r="O524" i="5"/>
  <c r="P524" i="5"/>
  <c r="Q524" i="5"/>
  <c r="R524" i="5"/>
  <c r="S524" i="5"/>
  <c r="T524" i="5"/>
  <c r="U524" i="5"/>
  <c r="V524" i="5"/>
  <c r="B525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P525" i="5"/>
  <c r="Q525" i="5"/>
  <c r="R525" i="5"/>
  <c r="S525" i="5"/>
  <c r="T525" i="5"/>
  <c r="U525" i="5"/>
  <c r="V525" i="5"/>
  <c r="B526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P526" i="5"/>
  <c r="Q526" i="5"/>
  <c r="R526" i="5"/>
  <c r="S526" i="5"/>
  <c r="T526" i="5"/>
  <c r="U526" i="5"/>
  <c r="V526" i="5"/>
  <c r="B527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P527" i="5"/>
  <c r="Q527" i="5"/>
  <c r="R527" i="5"/>
  <c r="S527" i="5"/>
  <c r="T527" i="5"/>
  <c r="U527" i="5"/>
  <c r="V527" i="5"/>
  <c r="B528" i="5"/>
  <c r="C528" i="5"/>
  <c r="D528" i="5"/>
  <c r="E528" i="5"/>
  <c r="F528" i="5"/>
  <c r="G528" i="5"/>
  <c r="H528" i="5"/>
  <c r="I528" i="5"/>
  <c r="J528" i="5"/>
  <c r="K528" i="5"/>
  <c r="L528" i="5"/>
  <c r="M528" i="5"/>
  <c r="N528" i="5"/>
  <c r="O528" i="5"/>
  <c r="P528" i="5"/>
  <c r="Q528" i="5"/>
  <c r="R528" i="5"/>
  <c r="S528" i="5"/>
  <c r="T528" i="5"/>
  <c r="U528" i="5"/>
  <c r="V528" i="5"/>
  <c r="B529" i="5"/>
  <c r="C529" i="5"/>
  <c r="D529" i="5"/>
  <c r="E529" i="5"/>
  <c r="F529" i="5"/>
  <c r="G529" i="5"/>
  <c r="H529" i="5"/>
  <c r="I529" i="5"/>
  <c r="J529" i="5"/>
  <c r="K529" i="5"/>
  <c r="L529" i="5"/>
  <c r="M529" i="5"/>
  <c r="N529" i="5"/>
  <c r="O529" i="5"/>
  <c r="P529" i="5"/>
  <c r="Q529" i="5"/>
  <c r="R529" i="5"/>
  <c r="S529" i="5"/>
  <c r="T529" i="5"/>
  <c r="U529" i="5"/>
  <c r="V529" i="5"/>
  <c r="B530" i="5"/>
  <c r="C530" i="5"/>
  <c r="D530" i="5"/>
  <c r="E530" i="5"/>
  <c r="F530" i="5"/>
  <c r="G530" i="5"/>
  <c r="H530" i="5"/>
  <c r="I530" i="5"/>
  <c r="J530" i="5"/>
  <c r="K530" i="5"/>
  <c r="L530" i="5"/>
  <c r="M530" i="5"/>
  <c r="N530" i="5"/>
  <c r="O530" i="5"/>
  <c r="P530" i="5"/>
  <c r="Q530" i="5"/>
  <c r="R530" i="5"/>
  <c r="S530" i="5"/>
  <c r="T530" i="5"/>
  <c r="U530" i="5"/>
  <c r="V530" i="5"/>
  <c r="B531" i="5"/>
  <c r="C531" i="5"/>
  <c r="D531" i="5"/>
  <c r="E531" i="5"/>
  <c r="F531" i="5"/>
  <c r="G531" i="5"/>
  <c r="H531" i="5"/>
  <c r="I531" i="5"/>
  <c r="J531" i="5"/>
  <c r="K531" i="5"/>
  <c r="L531" i="5"/>
  <c r="M531" i="5"/>
  <c r="N531" i="5"/>
  <c r="O531" i="5"/>
  <c r="P531" i="5"/>
  <c r="Q531" i="5"/>
  <c r="R531" i="5"/>
  <c r="S531" i="5"/>
  <c r="T531" i="5"/>
  <c r="U531" i="5"/>
  <c r="V531" i="5"/>
  <c r="B532" i="5"/>
  <c r="C532" i="5"/>
  <c r="D532" i="5"/>
  <c r="E532" i="5"/>
  <c r="F532" i="5"/>
  <c r="G532" i="5"/>
  <c r="H532" i="5"/>
  <c r="I532" i="5"/>
  <c r="J532" i="5"/>
  <c r="K532" i="5"/>
  <c r="L532" i="5"/>
  <c r="M532" i="5"/>
  <c r="N532" i="5"/>
  <c r="O532" i="5"/>
  <c r="P532" i="5"/>
  <c r="Q532" i="5"/>
  <c r="R532" i="5"/>
  <c r="S532" i="5"/>
  <c r="T532" i="5"/>
  <c r="U532" i="5"/>
  <c r="V532" i="5"/>
  <c r="B533" i="5"/>
  <c r="C533" i="5"/>
  <c r="D533" i="5"/>
  <c r="E533" i="5"/>
  <c r="F533" i="5"/>
  <c r="G533" i="5"/>
  <c r="H533" i="5"/>
  <c r="I533" i="5"/>
  <c r="J533" i="5"/>
  <c r="K533" i="5"/>
  <c r="L533" i="5"/>
  <c r="M533" i="5"/>
  <c r="N533" i="5"/>
  <c r="O533" i="5"/>
  <c r="P533" i="5"/>
  <c r="Q533" i="5"/>
  <c r="R533" i="5"/>
  <c r="S533" i="5"/>
  <c r="T533" i="5"/>
  <c r="U533" i="5"/>
  <c r="V533" i="5"/>
  <c r="B534" i="5"/>
  <c r="C534" i="5"/>
  <c r="D534" i="5"/>
  <c r="E534" i="5"/>
  <c r="F534" i="5"/>
  <c r="G534" i="5"/>
  <c r="H534" i="5"/>
  <c r="I534" i="5"/>
  <c r="J534" i="5"/>
  <c r="K534" i="5"/>
  <c r="L534" i="5"/>
  <c r="M534" i="5"/>
  <c r="N534" i="5"/>
  <c r="O534" i="5"/>
  <c r="P534" i="5"/>
  <c r="Q534" i="5"/>
  <c r="R534" i="5"/>
  <c r="S534" i="5"/>
  <c r="T534" i="5"/>
  <c r="U534" i="5"/>
  <c r="V534" i="5"/>
  <c r="B535" i="5"/>
  <c r="C535" i="5"/>
  <c r="D535" i="5"/>
  <c r="E535" i="5"/>
  <c r="F535" i="5"/>
  <c r="G535" i="5"/>
  <c r="H535" i="5"/>
  <c r="I535" i="5"/>
  <c r="J535" i="5"/>
  <c r="K535" i="5"/>
  <c r="L535" i="5"/>
  <c r="M535" i="5"/>
  <c r="N535" i="5"/>
  <c r="O535" i="5"/>
  <c r="P535" i="5"/>
  <c r="Q535" i="5"/>
  <c r="R535" i="5"/>
  <c r="S535" i="5"/>
  <c r="T535" i="5"/>
  <c r="U535" i="5"/>
  <c r="V535" i="5"/>
  <c r="B536" i="5"/>
  <c r="C536" i="5"/>
  <c r="D536" i="5"/>
  <c r="E536" i="5"/>
  <c r="F536" i="5"/>
  <c r="G536" i="5"/>
  <c r="H536" i="5"/>
  <c r="I536" i="5"/>
  <c r="J536" i="5"/>
  <c r="K536" i="5"/>
  <c r="L536" i="5"/>
  <c r="M536" i="5"/>
  <c r="N536" i="5"/>
  <c r="O536" i="5"/>
  <c r="P536" i="5"/>
  <c r="Q536" i="5"/>
  <c r="R536" i="5"/>
  <c r="S536" i="5"/>
  <c r="T536" i="5"/>
  <c r="U536" i="5"/>
  <c r="V536" i="5"/>
  <c r="B537" i="5"/>
  <c r="C537" i="5"/>
  <c r="D537" i="5"/>
  <c r="E537" i="5"/>
  <c r="F537" i="5"/>
  <c r="G537" i="5"/>
  <c r="H537" i="5"/>
  <c r="I537" i="5"/>
  <c r="J537" i="5"/>
  <c r="K537" i="5"/>
  <c r="L537" i="5"/>
  <c r="M537" i="5"/>
  <c r="N537" i="5"/>
  <c r="O537" i="5"/>
  <c r="P537" i="5"/>
  <c r="Q537" i="5"/>
  <c r="R537" i="5"/>
  <c r="S537" i="5"/>
  <c r="T537" i="5"/>
  <c r="U537" i="5"/>
  <c r="V537" i="5"/>
  <c r="B538" i="5"/>
  <c r="C538" i="5"/>
  <c r="D538" i="5"/>
  <c r="E538" i="5"/>
  <c r="F538" i="5"/>
  <c r="G538" i="5"/>
  <c r="H538" i="5"/>
  <c r="I538" i="5"/>
  <c r="J538" i="5"/>
  <c r="K538" i="5"/>
  <c r="L538" i="5"/>
  <c r="M538" i="5"/>
  <c r="N538" i="5"/>
  <c r="O538" i="5"/>
  <c r="P538" i="5"/>
  <c r="Q538" i="5"/>
  <c r="R538" i="5"/>
  <c r="S538" i="5"/>
  <c r="T538" i="5"/>
  <c r="U538" i="5"/>
  <c r="V538" i="5"/>
  <c r="B539" i="5"/>
  <c r="C539" i="5"/>
  <c r="D539" i="5"/>
  <c r="E539" i="5"/>
  <c r="F539" i="5"/>
  <c r="G539" i="5"/>
  <c r="H539" i="5"/>
  <c r="I539" i="5"/>
  <c r="J539" i="5"/>
  <c r="K539" i="5"/>
  <c r="L539" i="5"/>
  <c r="M539" i="5"/>
  <c r="N539" i="5"/>
  <c r="O539" i="5"/>
  <c r="P539" i="5"/>
  <c r="Q539" i="5"/>
  <c r="R539" i="5"/>
  <c r="S539" i="5"/>
  <c r="T539" i="5"/>
  <c r="U539" i="5"/>
  <c r="V539" i="5"/>
  <c r="B540" i="5"/>
  <c r="C540" i="5"/>
  <c r="D540" i="5"/>
  <c r="E540" i="5"/>
  <c r="F540" i="5"/>
  <c r="G540" i="5"/>
  <c r="H540" i="5"/>
  <c r="I540" i="5"/>
  <c r="J540" i="5"/>
  <c r="K540" i="5"/>
  <c r="L540" i="5"/>
  <c r="M540" i="5"/>
  <c r="N540" i="5"/>
  <c r="O540" i="5"/>
  <c r="P540" i="5"/>
  <c r="Q540" i="5"/>
  <c r="R540" i="5"/>
  <c r="S540" i="5"/>
  <c r="T540" i="5"/>
  <c r="U540" i="5"/>
  <c r="V540" i="5"/>
  <c r="B541" i="5"/>
  <c r="C541" i="5"/>
  <c r="D541" i="5"/>
  <c r="E541" i="5"/>
  <c r="F541" i="5"/>
  <c r="G541" i="5"/>
  <c r="H541" i="5"/>
  <c r="I541" i="5"/>
  <c r="J541" i="5"/>
  <c r="K541" i="5"/>
  <c r="L541" i="5"/>
  <c r="M541" i="5"/>
  <c r="N541" i="5"/>
  <c r="O541" i="5"/>
  <c r="P541" i="5"/>
  <c r="Q541" i="5"/>
  <c r="R541" i="5"/>
  <c r="S541" i="5"/>
  <c r="T541" i="5"/>
  <c r="U541" i="5"/>
  <c r="V541" i="5"/>
  <c r="B542" i="5"/>
  <c r="C542" i="5"/>
  <c r="D542" i="5"/>
  <c r="E542" i="5"/>
  <c r="F542" i="5"/>
  <c r="G542" i="5"/>
  <c r="H542" i="5"/>
  <c r="I542" i="5"/>
  <c r="J542" i="5"/>
  <c r="K542" i="5"/>
  <c r="L542" i="5"/>
  <c r="M542" i="5"/>
  <c r="N542" i="5"/>
  <c r="O542" i="5"/>
  <c r="P542" i="5"/>
  <c r="Q542" i="5"/>
  <c r="R542" i="5"/>
  <c r="S542" i="5"/>
  <c r="T542" i="5"/>
  <c r="U542" i="5"/>
  <c r="V542" i="5"/>
  <c r="B543" i="5"/>
  <c r="C543" i="5"/>
  <c r="D543" i="5"/>
  <c r="E543" i="5"/>
  <c r="F543" i="5"/>
  <c r="G543" i="5"/>
  <c r="H543" i="5"/>
  <c r="I543" i="5"/>
  <c r="J543" i="5"/>
  <c r="K543" i="5"/>
  <c r="L543" i="5"/>
  <c r="M543" i="5"/>
  <c r="N543" i="5"/>
  <c r="O543" i="5"/>
  <c r="P543" i="5"/>
  <c r="Q543" i="5"/>
  <c r="R543" i="5"/>
  <c r="S543" i="5"/>
  <c r="T543" i="5"/>
  <c r="U543" i="5"/>
  <c r="V543" i="5"/>
  <c r="B544" i="5"/>
  <c r="C544" i="5"/>
  <c r="D544" i="5"/>
  <c r="E544" i="5"/>
  <c r="F544" i="5"/>
  <c r="G544" i="5"/>
  <c r="H544" i="5"/>
  <c r="I544" i="5"/>
  <c r="J544" i="5"/>
  <c r="K544" i="5"/>
  <c r="L544" i="5"/>
  <c r="M544" i="5"/>
  <c r="N544" i="5"/>
  <c r="O544" i="5"/>
  <c r="P544" i="5"/>
  <c r="Q544" i="5"/>
  <c r="R544" i="5"/>
  <c r="S544" i="5"/>
  <c r="T544" i="5"/>
  <c r="U544" i="5"/>
  <c r="V544" i="5"/>
  <c r="B545" i="5"/>
  <c r="C545" i="5"/>
  <c r="D545" i="5"/>
  <c r="E545" i="5"/>
  <c r="F545" i="5"/>
  <c r="G545" i="5"/>
  <c r="H545" i="5"/>
  <c r="I545" i="5"/>
  <c r="J545" i="5"/>
  <c r="K545" i="5"/>
  <c r="L545" i="5"/>
  <c r="M545" i="5"/>
  <c r="N545" i="5"/>
  <c r="O545" i="5"/>
  <c r="P545" i="5"/>
  <c r="Q545" i="5"/>
  <c r="R545" i="5"/>
  <c r="S545" i="5"/>
  <c r="T545" i="5"/>
  <c r="U545" i="5"/>
  <c r="V545" i="5"/>
  <c r="B546" i="5"/>
  <c r="C546" i="5"/>
  <c r="D546" i="5"/>
  <c r="E546" i="5"/>
  <c r="F546" i="5"/>
  <c r="G546" i="5"/>
  <c r="H546" i="5"/>
  <c r="I546" i="5"/>
  <c r="J546" i="5"/>
  <c r="K546" i="5"/>
  <c r="L546" i="5"/>
  <c r="M546" i="5"/>
  <c r="N546" i="5"/>
  <c r="O546" i="5"/>
  <c r="P546" i="5"/>
  <c r="Q546" i="5"/>
  <c r="R546" i="5"/>
  <c r="S546" i="5"/>
  <c r="T546" i="5"/>
  <c r="U546" i="5"/>
  <c r="V546" i="5"/>
  <c r="B547" i="5"/>
  <c r="C547" i="5"/>
  <c r="D547" i="5"/>
  <c r="E547" i="5"/>
  <c r="F547" i="5"/>
  <c r="G547" i="5"/>
  <c r="H547" i="5"/>
  <c r="I547" i="5"/>
  <c r="J547" i="5"/>
  <c r="K547" i="5"/>
  <c r="L547" i="5"/>
  <c r="M547" i="5"/>
  <c r="N547" i="5"/>
  <c r="O547" i="5"/>
  <c r="P547" i="5"/>
  <c r="Q547" i="5"/>
  <c r="R547" i="5"/>
  <c r="S547" i="5"/>
  <c r="T547" i="5"/>
  <c r="U547" i="5"/>
  <c r="V547" i="5"/>
  <c r="B548" i="5"/>
  <c r="C548" i="5"/>
  <c r="D548" i="5"/>
  <c r="E548" i="5"/>
  <c r="F548" i="5"/>
  <c r="G548" i="5"/>
  <c r="H548" i="5"/>
  <c r="I548" i="5"/>
  <c r="J548" i="5"/>
  <c r="K548" i="5"/>
  <c r="L548" i="5"/>
  <c r="M548" i="5"/>
  <c r="N548" i="5"/>
  <c r="O548" i="5"/>
  <c r="P548" i="5"/>
  <c r="Q548" i="5"/>
  <c r="R548" i="5"/>
  <c r="S548" i="5"/>
  <c r="T548" i="5"/>
  <c r="U548" i="5"/>
  <c r="V548" i="5"/>
  <c r="B549" i="5"/>
  <c r="C549" i="5"/>
  <c r="D549" i="5"/>
  <c r="E549" i="5"/>
  <c r="F549" i="5"/>
  <c r="G549" i="5"/>
  <c r="H549" i="5"/>
  <c r="I549" i="5"/>
  <c r="J549" i="5"/>
  <c r="K549" i="5"/>
  <c r="L549" i="5"/>
  <c r="M549" i="5"/>
  <c r="N549" i="5"/>
  <c r="O549" i="5"/>
  <c r="P549" i="5"/>
  <c r="Q549" i="5"/>
  <c r="R549" i="5"/>
  <c r="S549" i="5"/>
  <c r="T549" i="5"/>
  <c r="U549" i="5"/>
  <c r="V549" i="5"/>
  <c r="B550" i="5"/>
  <c r="C550" i="5"/>
  <c r="D550" i="5"/>
  <c r="E550" i="5"/>
  <c r="F550" i="5"/>
  <c r="G550" i="5"/>
  <c r="H550" i="5"/>
  <c r="I550" i="5"/>
  <c r="J550" i="5"/>
  <c r="K550" i="5"/>
  <c r="L550" i="5"/>
  <c r="M550" i="5"/>
  <c r="N550" i="5"/>
  <c r="O550" i="5"/>
  <c r="P550" i="5"/>
  <c r="Q550" i="5"/>
  <c r="R550" i="5"/>
  <c r="S550" i="5"/>
  <c r="T550" i="5"/>
  <c r="U550" i="5"/>
  <c r="V550" i="5"/>
  <c r="B551" i="5"/>
  <c r="C551" i="5"/>
  <c r="D551" i="5"/>
  <c r="E551" i="5"/>
  <c r="F551" i="5"/>
  <c r="G551" i="5"/>
  <c r="H551" i="5"/>
  <c r="I551" i="5"/>
  <c r="J551" i="5"/>
  <c r="K551" i="5"/>
  <c r="L551" i="5"/>
  <c r="M551" i="5"/>
  <c r="N551" i="5"/>
  <c r="O551" i="5"/>
  <c r="P551" i="5"/>
  <c r="Q551" i="5"/>
  <c r="R551" i="5"/>
  <c r="S551" i="5"/>
  <c r="T551" i="5"/>
  <c r="U551" i="5"/>
  <c r="V551" i="5"/>
  <c r="B552" i="5"/>
  <c r="C552" i="5"/>
  <c r="D552" i="5"/>
  <c r="E552" i="5"/>
  <c r="F552" i="5"/>
  <c r="G552" i="5"/>
  <c r="H552" i="5"/>
  <c r="I552" i="5"/>
  <c r="J552" i="5"/>
  <c r="K552" i="5"/>
  <c r="L552" i="5"/>
  <c r="M552" i="5"/>
  <c r="N552" i="5"/>
  <c r="O552" i="5"/>
  <c r="P552" i="5"/>
  <c r="Q552" i="5"/>
  <c r="R552" i="5"/>
  <c r="S552" i="5"/>
  <c r="T552" i="5"/>
  <c r="U552" i="5"/>
  <c r="V552" i="5"/>
  <c r="B553" i="5"/>
  <c r="C553" i="5"/>
  <c r="D553" i="5"/>
  <c r="E553" i="5"/>
  <c r="F553" i="5"/>
  <c r="G553" i="5"/>
  <c r="H553" i="5"/>
  <c r="I553" i="5"/>
  <c r="J553" i="5"/>
  <c r="K553" i="5"/>
  <c r="L553" i="5"/>
  <c r="M553" i="5"/>
  <c r="N553" i="5"/>
  <c r="O553" i="5"/>
  <c r="P553" i="5"/>
  <c r="Q553" i="5"/>
  <c r="R553" i="5"/>
  <c r="S553" i="5"/>
  <c r="T553" i="5"/>
  <c r="U553" i="5"/>
  <c r="V553" i="5"/>
  <c r="B554" i="5"/>
  <c r="C554" i="5"/>
  <c r="D554" i="5"/>
  <c r="E554" i="5"/>
  <c r="F554" i="5"/>
  <c r="G554" i="5"/>
  <c r="H554" i="5"/>
  <c r="I554" i="5"/>
  <c r="J554" i="5"/>
  <c r="K554" i="5"/>
  <c r="L554" i="5"/>
  <c r="M554" i="5"/>
  <c r="N554" i="5"/>
  <c r="O554" i="5"/>
  <c r="P554" i="5"/>
  <c r="Q554" i="5"/>
  <c r="R554" i="5"/>
  <c r="S554" i="5"/>
  <c r="T554" i="5"/>
  <c r="U554" i="5"/>
  <c r="V554" i="5"/>
  <c r="B555" i="5"/>
  <c r="C555" i="5"/>
  <c r="D555" i="5"/>
  <c r="E555" i="5"/>
  <c r="F555" i="5"/>
  <c r="G555" i="5"/>
  <c r="H555" i="5"/>
  <c r="I555" i="5"/>
  <c r="J555" i="5"/>
  <c r="K555" i="5"/>
  <c r="L555" i="5"/>
  <c r="M555" i="5"/>
  <c r="N555" i="5"/>
  <c r="O555" i="5"/>
  <c r="P555" i="5"/>
  <c r="Q555" i="5"/>
  <c r="R555" i="5"/>
  <c r="S555" i="5"/>
  <c r="T555" i="5"/>
  <c r="U555" i="5"/>
  <c r="V555" i="5"/>
  <c r="B556" i="5"/>
  <c r="C556" i="5"/>
  <c r="D556" i="5"/>
  <c r="E556" i="5"/>
  <c r="F556" i="5"/>
  <c r="G556" i="5"/>
  <c r="H556" i="5"/>
  <c r="I556" i="5"/>
  <c r="J556" i="5"/>
  <c r="K556" i="5"/>
  <c r="L556" i="5"/>
  <c r="M556" i="5"/>
  <c r="N556" i="5"/>
  <c r="O556" i="5"/>
  <c r="P556" i="5"/>
  <c r="Q556" i="5"/>
  <c r="R556" i="5"/>
  <c r="S556" i="5"/>
  <c r="T556" i="5"/>
  <c r="U556" i="5"/>
  <c r="V556" i="5"/>
  <c r="B557" i="5"/>
  <c r="C557" i="5"/>
  <c r="D557" i="5"/>
  <c r="E557" i="5"/>
  <c r="F557" i="5"/>
  <c r="G557" i="5"/>
  <c r="H557" i="5"/>
  <c r="I557" i="5"/>
  <c r="J557" i="5"/>
  <c r="K557" i="5"/>
  <c r="L557" i="5"/>
  <c r="M557" i="5"/>
  <c r="N557" i="5"/>
  <c r="O557" i="5"/>
  <c r="P557" i="5"/>
  <c r="Q557" i="5"/>
  <c r="R557" i="5"/>
  <c r="S557" i="5"/>
  <c r="T557" i="5"/>
  <c r="U557" i="5"/>
  <c r="V557" i="5"/>
  <c r="B558" i="5"/>
  <c r="C558" i="5"/>
  <c r="D558" i="5"/>
  <c r="E558" i="5"/>
  <c r="F558" i="5"/>
  <c r="G558" i="5"/>
  <c r="H558" i="5"/>
  <c r="I558" i="5"/>
  <c r="J558" i="5"/>
  <c r="K558" i="5"/>
  <c r="L558" i="5"/>
  <c r="M558" i="5"/>
  <c r="N558" i="5"/>
  <c r="O558" i="5"/>
  <c r="P558" i="5"/>
  <c r="Q558" i="5"/>
  <c r="R558" i="5"/>
  <c r="S558" i="5"/>
  <c r="T558" i="5"/>
  <c r="U558" i="5"/>
  <c r="V558" i="5"/>
  <c r="B559" i="5"/>
  <c r="C559" i="5"/>
  <c r="D559" i="5"/>
  <c r="E559" i="5"/>
  <c r="F559" i="5"/>
  <c r="G559" i="5"/>
  <c r="H559" i="5"/>
  <c r="I559" i="5"/>
  <c r="J559" i="5"/>
  <c r="K559" i="5"/>
  <c r="L559" i="5"/>
  <c r="M559" i="5"/>
  <c r="N559" i="5"/>
  <c r="O559" i="5"/>
  <c r="P559" i="5"/>
  <c r="Q559" i="5"/>
  <c r="R559" i="5"/>
  <c r="S559" i="5"/>
  <c r="T559" i="5"/>
  <c r="U559" i="5"/>
  <c r="V559" i="5"/>
  <c r="B560" i="5"/>
  <c r="C560" i="5"/>
  <c r="D560" i="5"/>
  <c r="E560" i="5"/>
  <c r="F560" i="5"/>
  <c r="G560" i="5"/>
  <c r="H560" i="5"/>
  <c r="I560" i="5"/>
  <c r="J560" i="5"/>
  <c r="K560" i="5"/>
  <c r="L560" i="5"/>
  <c r="M560" i="5"/>
  <c r="N560" i="5"/>
  <c r="O560" i="5"/>
  <c r="P560" i="5"/>
  <c r="Q560" i="5"/>
  <c r="R560" i="5"/>
  <c r="S560" i="5"/>
  <c r="T560" i="5"/>
  <c r="U560" i="5"/>
  <c r="V560" i="5"/>
  <c r="B561" i="5"/>
  <c r="C561" i="5"/>
  <c r="D561" i="5"/>
  <c r="E561" i="5"/>
  <c r="F561" i="5"/>
  <c r="G561" i="5"/>
  <c r="H561" i="5"/>
  <c r="I561" i="5"/>
  <c r="J561" i="5"/>
  <c r="K561" i="5"/>
  <c r="L561" i="5"/>
  <c r="M561" i="5"/>
  <c r="N561" i="5"/>
  <c r="O561" i="5"/>
  <c r="P561" i="5"/>
  <c r="Q561" i="5"/>
  <c r="R561" i="5"/>
  <c r="S561" i="5"/>
  <c r="T561" i="5"/>
  <c r="U561" i="5"/>
  <c r="V561" i="5"/>
  <c r="B562" i="5"/>
  <c r="C562" i="5"/>
  <c r="D562" i="5"/>
  <c r="E562" i="5"/>
  <c r="F562" i="5"/>
  <c r="G562" i="5"/>
  <c r="H562" i="5"/>
  <c r="I562" i="5"/>
  <c r="J562" i="5"/>
  <c r="K562" i="5"/>
  <c r="L562" i="5"/>
  <c r="M562" i="5"/>
  <c r="N562" i="5"/>
  <c r="O562" i="5"/>
  <c r="P562" i="5"/>
  <c r="Q562" i="5"/>
  <c r="R562" i="5"/>
  <c r="S562" i="5"/>
  <c r="T562" i="5"/>
  <c r="U562" i="5"/>
  <c r="V562" i="5"/>
  <c r="B563" i="5"/>
  <c r="C563" i="5"/>
  <c r="D563" i="5"/>
  <c r="E563" i="5"/>
  <c r="F563" i="5"/>
  <c r="G563" i="5"/>
  <c r="H563" i="5"/>
  <c r="I563" i="5"/>
  <c r="J563" i="5"/>
  <c r="K563" i="5"/>
  <c r="L563" i="5"/>
  <c r="M563" i="5"/>
  <c r="N563" i="5"/>
  <c r="O563" i="5"/>
  <c r="P563" i="5"/>
  <c r="Q563" i="5"/>
  <c r="R563" i="5"/>
  <c r="S563" i="5"/>
  <c r="T563" i="5"/>
  <c r="U563" i="5"/>
  <c r="V563" i="5"/>
  <c r="B564" i="5"/>
  <c r="C564" i="5"/>
  <c r="D564" i="5"/>
  <c r="E564" i="5"/>
  <c r="F564" i="5"/>
  <c r="G564" i="5"/>
  <c r="H564" i="5"/>
  <c r="I564" i="5"/>
  <c r="J564" i="5"/>
  <c r="K564" i="5"/>
  <c r="L564" i="5"/>
  <c r="M564" i="5"/>
  <c r="N564" i="5"/>
  <c r="O564" i="5"/>
  <c r="P564" i="5"/>
  <c r="Q564" i="5"/>
  <c r="R564" i="5"/>
  <c r="S564" i="5"/>
  <c r="T564" i="5"/>
  <c r="U564" i="5"/>
  <c r="V564" i="5"/>
  <c r="B565" i="5"/>
  <c r="C565" i="5"/>
  <c r="D565" i="5"/>
  <c r="E565" i="5"/>
  <c r="F565" i="5"/>
  <c r="G565" i="5"/>
  <c r="H565" i="5"/>
  <c r="I565" i="5"/>
  <c r="J565" i="5"/>
  <c r="K565" i="5"/>
  <c r="L565" i="5"/>
  <c r="M565" i="5"/>
  <c r="N565" i="5"/>
  <c r="O565" i="5"/>
  <c r="P565" i="5"/>
  <c r="Q565" i="5"/>
  <c r="R565" i="5"/>
  <c r="S565" i="5"/>
  <c r="T565" i="5"/>
  <c r="U565" i="5"/>
  <c r="V565" i="5"/>
  <c r="B566" i="5"/>
  <c r="C566" i="5"/>
  <c r="D566" i="5"/>
  <c r="E566" i="5"/>
  <c r="F566" i="5"/>
  <c r="G566" i="5"/>
  <c r="H566" i="5"/>
  <c r="I566" i="5"/>
  <c r="J566" i="5"/>
  <c r="K566" i="5"/>
  <c r="L566" i="5"/>
  <c r="M566" i="5"/>
  <c r="N566" i="5"/>
  <c r="O566" i="5"/>
  <c r="P566" i="5"/>
  <c r="Q566" i="5"/>
  <c r="R566" i="5"/>
  <c r="S566" i="5"/>
  <c r="T566" i="5"/>
  <c r="U566" i="5"/>
  <c r="V566" i="5"/>
  <c r="B567" i="5"/>
  <c r="C567" i="5"/>
  <c r="D567" i="5"/>
  <c r="E567" i="5"/>
  <c r="F567" i="5"/>
  <c r="G567" i="5"/>
  <c r="H567" i="5"/>
  <c r="I567" i="5"/>
  <c r="J567" i="5"/>
  <c r="K567" i="5"/>
  <c r="L567" i="5"/>
  <c r="M567" i="5"/>
  <c r="N567" i="5"/>
  <c r="O567" i="5"/>
  <c r="P567" i="5"/>
  <c r="Q567" i="5"/>
  <c r="R567" i="5"/>
  <c r="S567" i="5"/>
  <c r="T567" i="5"/>
  <c r="U567" i="5"/>
  <c r="V567" i="5"/>
  <c r="B568" i="5"/>
  <c r="C568" i="5"/>
  <c r="D568" i="5"/>
  <c r="E568" i="5"/>
  <c r="F568" i="5"/>
  <c r="G568" i="5"/>
  <c r="H568" i="5"/>
  <c r="I568" i="5"/>
  <c r="J568" i="5"/>
  <c r="K568" i="5"/>
  <c r="L568" i="5"/>
  <c r="M568" i="5"/>
  <c r="N568" i="5"/>
  <c r="O568" i="5"/>
  <c r="P568" i="5"/>
  <c r="Q568" i="5"/>
  <c r="R568" i="5"/>
  <c r="S568" i="5"/>
  <c r="T568" i="5"/>
  <c r="U568" i="5"/>
  <c r="V568" i="5"/>
  <c r="B569" i="5"/>
  <c r="C569" i="5"/>
  <c r="D569" i="5"/>
  <c r="E569" i="5"/>
  <c r="F569" i="5"/>
  <c r="G569" i="5"/>
  <c r="H569" i="5"/>
  <c r="I569" i="5"/>
  <c r="J569" i="5"/>
  <c r="K569" i="5"/>
  <c r="L569" i="5"/>
  <c r="M569" i="5"/>
  <c r="N569" i="5"/>
  <c r="O569" i="5"/>
  <c r="P569" i="5"/>
  <c r="Q569" i="5"/>
  <c r="R569" i="5"/>
  <c r="S569" i="5"/>
  <c r="T569" i="5"/>
  <c r="U569" i="5"/>
  <c r="V569" i="5"/>
  <c r="B570" i="5"/>
  <c r="C570" i="5"/>
  <c r="D570" i="5"/>
  <c r="E570" i="5"/>
  <c r="F570" i="5"/>
  <c r="G570" i="5"/>
  <c r="H570" i="5"/>
  <c r="I570" i="5"/>
  <c r="J570" i="5"/>
  <c r="K570" i="5"/>
  <c r="L570" i="5"/>
  <c r="M570" i="5"/>
  <c r="N570" i="5"/>
  <c r="O570" i="5"/>
  <c r="P570" i="5"/>
  <c r="Q570" i="5"/>
  <c r="R570" i="5"/>
  <c r="S570" i="5"/>
  <c r="T570" i="5"/>
  <c r="U570" i="5"/>
  <c r="V570" i="5"/>
  <c r="B571" i="5"/>
  <c r="C571" i="5"/>
  <c r="D571" i="5"/>
  <c r="E571" i="5"/>
  <c r="F571" i="5"/>
  <c r="G571" i="5"/>
  <c r="H571" i="5"/>
  <c r="I571" i="5"/>
  <c r="J571" i="5"/>
  <c r="K571" i="5"/>
  <c r="L571" i="5"/>
  <c r="M571" i="5"/>
  <c r="N571" i="5"/>
  <c r="O571" i="5"/>
  <c r="P571" i="5"/>
  <c r="Q571" i="5"/>
  <c r="R571" i="5"/>
  <c r="S571" i="5"/>
  <c r="T571" i="5"/>
  <c r="U571" i="5"/>
  <c r="V571" i="5"/>
  <c r="B572" i="5"/>
  <c r="C572" i="5"/>
  <c r="D572" i="5"/>
  <c r="E572" i="5"/>
  <c r="F572" i="5"/>
  <c r="G572" i="5"/>
  <c r="H572" i="5"/>
  <c r="I572" i="5"/>
  <c r="J572" i="5"/>
  <c r="K572" i="5"/>
  <c r="L572" i="5"/>
  <c r="M572" i="5"/>
  <c r="N572" i="5"/>
  <c r="O572" i="5"/>
  <c r="P572" i="5"/>
  <c r="Q572" i="5"/>
  <c r="R572" i="5"/>
  <c r="S572" i="5"/>
  <c r="T572" i="5"/>
  <c r="U572" i="5"/>
  <c r="V572" i="5"/>
  <c r="B573" i="5"/>
  <c r="C573" i="5"/>
  <c r="D573" i="5"/>
  <c r="E573" i="5"/>
  <c r="F573" i="5"/>
  <c r="G573" i="5"/>
  <c r="H573" i="5"/>
  <c r="I573" i="5"/>
  <c r="J573" i="5"/>
  <c r="K573" i="5"/>
  <c r="L573" i="5"/>
  <c r="M573" i="5"/>
  <c r="N573" i="5"/>
  <c r="O573" i="5"/>
  <c r="P573" i="5"/>
  <c r="Q573" i="5"/>
  <c r="R573" i="5"/>
  <c r="S573" i="5"/>
  <c r="T573" i="5"/>
  <c r="U573" i="5"/>
  <c r="V573" i="5"/>
  <c r="B574" i="5"/>
  <c r="C574" i="5"/>
  <c r="D574" i="5"/>
  <c r="E574" i="5"/>
  <c r="F574" i="5"/>
  <c r="G574" i="5"/>
  <c r="H574" i="5"/>
  <c r="I574" i="5"/>
  <c r="J574" i="5"/>
  <c r="K574" i="5"/>
  <c r="L574" i="5"/>
  <c r="M574" i="5"/>
  <c r="N574" i="5"/>
  <c r="O574" i="5"/>
  <c r="P574" i="5"/>
  <c r="Q574" i="5"/>
  <c r="R574" i="5"/>
  <c r="S574" i="5"/>
  <c r="T574" i="5"/>
  <c r="U574" i="5"/>
  <c r="V574" i="5"/>
  <c r="B575" i="5"/>
  <c r="C575" i="5"/>
  <c r="D575" i="5"/>
  <c r="E575" i="5"/>
  <c r="F575" i="5"/>
  <c r="G575" i="5"/>
  <c r="H575" i="5"/>
  <c r="I575" i="5"/>
  <c r="J575" i="5"/>
  <c r="K575" i="5"/>
  <c r="L575" i="5"/>
  <c r="M575" i="5"/>
  <c r="N575" i="5"/>
  <c r="O575" i="5"/>
  <c r="P575" i="5"/>
  <c r="Q575" i="5"/>
  <c r="R575" i="5"/>
  <c r="S575" i="5"/>
  <c r="T575" i="5"/>
  <c r="U575" i="5"/>
  <c r="V575" i="5"/>
  <c r="B576" i="5"/>
  <c r="C576" i="5"/>
  <c r="D576" i="5"/>
  <c r="E576" i="5"/>
  <c r="F576" i="5"/>
  <c r="G576" i="5"/>
  <c r="H576" i="5"/>
  <c r="I576" i="5"/>
  <c r="J576" i="5"/>
  <c r="K576" i="5"/>
  <c r="L576" i="5"/>
  <c r="M576" i="5"/>
  <c r="N576" i="5"/>
  <c r="O576" i="5"/>
  <c r="P576" i="5"/>
  <c r="Q576" i="5"/>
  <c r="R576" i="5"/>
  <c r="S576" i="5"/>
  <c r="T576" i="5"/>
  <c r="U576" i="5"/>
  <c r="V576" i="5"/>
  <c r="B577" i="5"/>
  <c r="C577" i="5"/>
  <c r="D577" i="5"/>
  <c r="E577" i="5"/>
  <c r="F577" i="5"/>
  <c r="G577" i="5"/>
  <c r="H577" i="5"/>
  <c r="I577" i="5"/>
  <c r="J577" i="5"/>
  <c r="K577" i="5"/>
  <c r="L577" i="5"/>
  <c r="M577" i="5"/>
  <c r="N577" i="5"/>
  <c r="O577" i="5"/>
  <c r="P577" i="5"/>
  <c r="Q577" i="5"/>
  <c r="R577" i="5"/>
  <c r="S577" i="5"/>
  <c r="T577" i="5"/>
  <c r="U577" i="5"/>
  <c r="V577" i="5"/>
  <c r="B578" i="5"/>
  <c r="C578" i="5"/>
  <c r="D578" i="5"/>
  <c r="E578" i="5"/>
  <c r="F578" i="5"/>
  <c r="G578" i="5"/>
  <c r="H578" i="5"/>
  <c r="I578" i="5"/>
  <c r="J578" i="5"/>
  <c r="K578" i="5"/>
  <c r="L578" i="5"/>
  <c r="M578" i="5"/>
  <c r="N578" i="5"/>
  <c r="O578" i="5"/>
  <c r="P578" i="5"/>
  <c r="Q578" i="5"/>
  <c r="R578" i="5"/>
  <c r="S578" i="5"/>
  <c r="T578" i="5"/>
  <c r="U578" i="5"/>
  <c r="V578" i="5"/>
  <c r="B579" i="5"/>
  <c r="C579" i="5"/>
  <c r="D579" i="5"/>
  <c r="E579" i="5"/>
  <c r="F579" i="5"/>
  <c r="G579" i="5"/>
  <c r="H579" i="5"/>
  <c r="I579" i="5"/>
  <c r="J579" i="5"/>
  <c r="K579" i="5"/>
  <c r="L579" i="5"/>
  <c r="M579" i="5"/>
  <c r="N579" i="5"/>
  <c r="O579" i="5"/>
  <c r="P579" i="5"/>
  <c r="Q579" i="5"/>
  <c r="R579" i="5"/>
  <c r="S579" i="5"/>
  <c r="T579" i="5"/>
  <c r="U579" i="5"/>
  <c r="V579" i="5"/>
  <c r="B580" i="5"/>
  <c r="C580" i="5"/>
  <c r="D580" i="5"/>
  <c r="E580" i="5"/>
  <c r="F580" i="5"/>
  <c r="G580" i="5"/>
  <c r="H580" i="5"/>
  <c r="I580" i="5"/>
  <c r="J580" i="5"/>
  <c r="K580" i="5"/>
  <c r="L580" i="5"/>
  <c r="M580" i="5"/>
  <c r="N580" i="5"/>
  <c r="O580" i="5"/>
  <c r="P580" i="5"/>
  <c r="Q580" i="5"/>
  <c r="R580" i="5"/>
  <c r="S580" i="5"/>
  <c r="T580" i="5"/>
  <c r="U580" i="5"/>
  <c r="V580" i="5"/>
  <c r="B581" i="5"/>
  <c r="C581" i="5"/>
  <c r="D581" i="5"/>
  <c r="E581" i="5"/>
  <c r="F581" i="5"/>
  <c r="G581" i="5"/>
  <c r="H581" i="5"/>
  <c r="I581" i="5"/>
  <c r="J581" i="5"/>
  <c r="K581" i="5"/>
  <c r="L581" i="5"/>
  <c r="M581" i="5"/>
  <c r="N581" i="5"/>
  <c r="O581" i="5"/>
  <c r="P581" i="5"/>
  <c r="Q581" i="5"/>
  <c r="R581" i="5"/>
  <c r="S581" i="5"/>
  <c r="T581" i="5"/>
  <c r="U581" i="5"/>
  <c r="V581" i="5"/>
  <c r="B582" i="5"/>
  <c r="C582" i="5"/>
  <c r="D582" i="5"/>
  <c r="E582" i="5"/>
  <c r="F582" i="5"/>
  <c r="G582" i="5"/>
  <c r="H582" i="5"/>
  <c r="I582" i="5"/>
  <c r="J582" i="5"/>
  <c r="K582" i="5"/>
  <c r="L582" i="5"/>
  <c r="M582" i="5"/>
  <c r="N582" i="5"/>
  <c r="O582" i="5"/>
  <c r="P582" i="5"/>
  <c r="Q582" i="5"/>
  <c r="R582" i="5"/>
  <c r="S582" i="5"/>
  <c r="T582" i="5"/>
  <c r="U582" i="5"/>
  <c r="V582" i="5"/>
  <c r="B583" i="5"/>
  <c r="C583" i="5"/>
  <c r="D583" i="5"/>
  <c r="E583" i="5"/>
  <c r="F583" i="5"/>
  <c r="G583" i="5"/>
  <c r="H583" i="5"/>
  <c r="I583" i="5"/>
  <c r="J583" i="5"/>
  <c r="K583" i="5"/>
  <c r="L583" i="5"/>
  <c r="M583" i="5"/>
  <c r="N583" i="5"/>
  <c r="O583" i="5"/>
  <c r="P583" i="5"/>
  <c r="Q583" i="5"/>
  <c r="R583" i="5"/>
  <c r="S583" i="5"/>
  <c r="T583" i="5"/>
  <c r="U583" i="5"/>
  <c r="V583" i="5"/>
  <c r="B584" i="5"/>
  <c r="C584" i="5"/>
  <c r="D584" i="5"/>
  <c r="E584" i="5"/>
  <c r="F584" i="5"/>
  <c r="G584" i="5"/>
  <c r="H584" i="5"/>
  <c r="I584" i="5"/>
  <c r="J584" i="5"/>
  <c r="K584" i="5"/>
  <c r="L584" i="5"/>
  <c r="M584" i="5"/>
  <c r="N584" i="5"/>
  <c r="O584" i="5"/>
  <c r="P584" i="5"/>
  <c r="Q584" i="5"/>
  <c r="R584" i="5"/>
  <c r="S584" i="5"/>
  <c r="T584" i="5"/>
  <c r="U584" i="5"/>
  <c r="V584" i="5"/>
  <c r="B585" i="5"/>
  <c r="C585" i="5"/>
  <c r="D585" i="5"/>
  <c r="E585" i="5"/>
  <c r="F585" i="5"/>
  <c r="G585" i="5"/>
  <c r="H585" i="5"/>
  <c r="I585" i="5"/>
  <c r="J585" i="5"/>
  <c r="K585" i="5"/>
  <c r="L585" i="5"/>
  <c r="M585" i="5"/>
  <c r="N585" i="5"/>
  <c r="O585" i="5"/>
  <c r="P585" i="5"/>
  <c r="Q585" i="5"/>
  <c r="R585" i="5"/>
  <c r="S585" i="5"/>
  <c r="T585" i="5"/>
  <c r="U585" i="5"/>
  <c r="V585" i="5"/>
  <c r="B586" i="5"/>
  <c r="C586" i="5"/>
  <c r="D586" i="5"/>
  <c r="E586" i="5"/>
  <c r="F586" i="5"/>
  <c r="G586" i="5"/>
  <c r="H586" i="5"/>
  <c r="I586" i="5"/>
  <c r="J586" i="5"/>
  <c r="K586" i="5"/>
  <c r="L586" i="5"/>
  <c r="M586" i="5"/>
  <c r="N586" i="5"/>
  <c r="O586" i="5"/>
  <c r="P586" i="5"/>
  <c r="Q586" i="5"/>
  <c r="R586" i="5"/>
  <c r="S586" i="5"/>
  <c r="T586" i="5"/>
  <c r="U586" i="5"/>
  <c r="V586" i="5"/>
  <c r="B587" i="5"/>
  <c r="C587" i="5"/>
  <c r="D587" i="5"/>
  <c r="E587" i="5"/>
  <c r="F587" i="5"/>
  <c r="G587" i="5"/>
  <c r="H587" i="5"/>
  <c r="I587" i="5"/>
  <c r="J587" i="5"/>
  <c r="K587" i="5"/>
  <c r="L587" i="5"/>
  <c r="M587" i="5"/>
  <c r="N587" i="5"/>
  <c r="O587" i="5"/>
  <c r="P587" i="5"/>
  <c r="Q587" i="5"/>
  <c r="R587" i="5"/>
  <c r="S587" i="5"/>
  <c r="T587" i="5"/>
  <c r="U587" i="5"/>
  <c r="V587" i="5"/>
  <c r="B588" i="5"/>
  <c r="C588" i="5"/>
  <c r="D588" i="5"/>
  <c r="E588" i="5"/>
  <c r="F588" i="5"/>
  <c r="G588" i="5"/>
  <c r="H588" i="5"/>
  <c r="I588" i="5"/>
  <c r="J588" i="5"/>
  <c r="K588" i="5"/>
  <c r="L588" i="5"/>
  <c r="M588" i="5"/>
  <c r="N588" i="5"/>
  <c r="O588" i="5"/>
  <c r="P588" i="5"/>
  <c r="Q588" i="5"/>
  <c r="R588" i="5"/>
  <c r="S588" i="5"/>
  <c r="T588" i="5"/>
  <c r="U588" i="5"/>
  <c r="V588" i="5"/>
  <c r="B589" i="5"/>
  <c r="C589" i="5"/>
  <c r="D589" i="5"/>
  <c r="E589" i="5"/>
  <c r="F589" i="5"/>
  <c r="G589" i="5"/>
  <c r="H589" i="5"/>
  <c r="I589" i="5"/>
  <c r="J589" i="5"/>
  <c r="K589" i="5"/>
  <c r="L589" i="5"/>
  <c r="M589" i="5"/>
  <c r="N589" i="5"/>
  <c r="O589" i="5"/>
  <c r="P589" i="5"/>
  <c r="Q589" i="5"/>
  <c r="R589" i="5"/>
  <c r="S589" i="5"/>
  <c r="T589" i="5"/>
  <c r="U589" i="5"/>
  <c r="V589" i="5"/>
  <c r="B590" i="5"/>
  <c r="C590" i="5"/>
  <c r="D590" i="5"/>
  <c r="E590" i="5"/>
  <c r="F590" i="5"/>
  <c r="G590" i="5"/>
  <c r="H590" i="5"/>
  <c r="I590" i="5"/>
  <c r="J590" i="5"/>
  <c r="K590" i="5"/>
  <c r="L590" i="5"/>
  <c r="M590" i="5"/>
  <c r="N590" i="5"/>
  <c r="O590" i="5"/>
  <c r="P590" i="5"/>
  <c r="Q590" i="5"/>
  <c r="R590" i="5"/>
  <c r="S590" i="5"/>
  <c r="T590" i="5"/>
  <c r="U590" i="5"/>
  <c r="V590" i="5"/>
  <c r="B591" i="5"/>
  <c r="C591" i="5"/>
  <c r="D591" i="5"/>
  <c r="E591" i="5"/>
  <c r="F591" i="5"/>
  <c r="G591" i="5"/>
  <c r="H591" i="5"/>
  <c r="I591" i="5"/>
  <c r="J591" i="5"/>
  <c r="K591" i="5"/>
  <c r="L591" i="5"/>
  <c r="M591" i="5"/>
  <c r="N591" i="5"/>
  <c r="O591" i="5"/>
  <c r="P591" i="5"/>
  <c r="Q591" i="5"/>
  <c r="R591" i="5"/>
  <c r="S591" i="5"/>
  <c r="T591" i="5"/>
  <c r="U591" i="5"/>
  <c r="V591" i="5"/>
  <c r="B592" i="5"/>
  <c r="C592" i="5"/>
  <c r="D592" i="5"/>
  <c r="E592" i="5"/>
  <c r="F592" i="5"/>
  <c r="G592" i="5"/>
  <c r="H592" i="5"/>
  <c r="I592" i="5"/>
  <c r="J592" i="5"/>
  <c r="K592" i="5"/>
  <c r="L592" i="5"/>
  <c r="M592" i="5"/>
  <c r="N592" i="5"/>
  <c r="O592" i="5"/>
  <c r="P592" i="5"/>
  <c r="Q592" i="5"/>
  <c r="R592" i="5"/>
  <c r="S592" i="5"/>
  <c r="T592" i="5"/>
  <c r="U592" i="5"/>
  <c r="V592" i="5"/>
  <c r="B593" i="5"/>
  <c r="C593" i="5"/>
  <c r="D593" i="5"/>
  <c r="E593" i="5"/>
  <c r="F593" i="5"/>
  <c r="G593" i="5"/>
  <c r="H593" i="5"/>
  <c r="I593" i="5"/>
  <c r="J593" i="5"/>
  <c r="K593" i="5"/>
  <c r="L593" i="5"/>
  <c r="M593" i="5"/>
  <c r="N593" i="5"/>
  <c r="O593" i="5"/>
  <c r="P593" i="5"/>
  <c r="Q593" i="5"/>
  <c r="R593" i="5"/>
  <c r="S593" i="5"/>
  <c r="T593" i="5"/>
  <c r="U593" i="5"/>
  <c r="V593" i="5"/>
  <c r="B594" i="5"/>
  <c r="C594" i="5"/>
  <c r="D594" i="5"/>
  <c r="E594" i="5"/>
  <c r="F594" i="5"/>
  <c r="G594" i="5"/>
  <c r="H594" i="5"/>
  <c r="I594" i="5"/>
  <c r="J594" i="5"/>
  <c r="K594" i="5"/>
  <c r="L594" i="5"/>
  <c r="M594" i="5"/>
  <c r="N594" i="5"/>
  <c r="O594" i="5"/>
  <c r="P594" i="5"/>
  <c r="Q594" i="5"/>
  <c r="R594" i="5"/>
  <c r="S594" i="5"/>
  <c r="T594" i="5"/>
  <c r="U594" i="5"/>
  <c r="V594" i="5"/>
  <c r="B595" i="5"/>
  <c r="C595" i="5"/>
  <c r="D595" i="5"/>
  <c r="E595" i="5"/>
  <c r="F595" i="5"/>
  <c r="G595" i="5"/>
  <c r="H595" i="5"/>
  <c r="I595" i="5"/>
  <c r="J595" i="5"/>
  <c r="K595" i="5"/>
  <c r="L595" i="5"/>
  <c r="M595" i="5"/>
  <c r="N595" i="5"/>
  <c r="O595" i="5"/>
  <c r="P595" i="5"/>
  <c r="Q595" i="5"/>
  <c r="R595" i="5"/>
  <c r="S595" i="5"/>
  <c r="T595" i="5"/>
  <c r="U595" i="5"/>
  <c r="V595" i="5"/>
  <c r="B596" i="5"/>
  <c r="C596" i="5"/>
  <c r="D596" i="5"/>
  <c r="E596" i="5"/>
  <c r="F596" i="5"/>
  <c r="G596" i="5"/>
  <c r="H596" i="5"/>
  <c r="I596" i="5"/>
  <c r="J596" i="5"/>
  <c r="K596" i="5"/>
  <c r="L596" i="5"/>
  <c r="M596" i="5"/>
  <c r="N596" i="5"/>
  <c r="O596" i="5"/>
  <c r="P596" i="5"/>
  <c r="Q596" i="5"/>
  <c r="R596" i="5"/>
  <c r="S596" i="5"/>
  <c r="T596" i="5"/>
  <c r="U596" i="5"/>
  <c r="V596" i="5"/>
  <c r="B597" i="5"/>
  <c r="C597" i="5"/>
  <c r="D597" i="5"/>
  <c r="E597" i="5"/>
  <c r="F597" i="5"/>
  <c r="G597" i="5"/>
  <c r="H597" i="5"/>
  <c r="I597" i="5"/>
  <c r="J597" i="5"/>
  <c r="K597" i="5"/>
  <c r="L597" i="5"/>
  <c r="M597" i="5"/>
  <c r="N597" i="5"/>
  <c r="O597" i="5"/>
  <c r="P597" i="5"/>
  <c r="Q597" i="5"/>
  <c r="R597" i="5"/>
  <c r="S597" i="5"/>
  <c r="T597" i="5"/>
  <c r="U597" i="5"/>
  <c r="V597" i="5"/>
  <c r="B598" i="5"/>
  <c r="C598" i="5"/>
  <c r="D598" i="5"/>
  <c r="E598" i="5"/>
  <c r="F598" i="5"/>
  <c r="G598" i="5"/>
  <c r="H598" i="5"/>
  <c r="I598" i="5"/>
  <c r="J598" i="5"/>
  <c r="K598" i="5"/>
  <c r="L598" i="5"/>
  <c r="M598" i="5"/>
  <c r="N598" i="5"/>
  <c r="O598" i="5"/>
  <c r="P598" i="5"/>
  <c r="Q598" i="5"/>
  <c r="R598" i="5"/>
  <c r="S598" i="5"/>
  <c r="T598" i="5"/>
  <c r="U598" i="5"/>
  <c r="V598" i="5"/>
  <c r="B599" i="5"/>
  <c r="C599" i="5"/>
  <c r="D599" i="5"/>
  <c r="E599" i="5"/>
  <c r="F599" i="5"/>
  <c r="G599" i="5"/>
  <c r="H599" i="5"/>
  <c r="I599" i="5"/>
  <c r="J599" i="5"/>
  <c r="K599" i="5"/>
  <c r="L599" i="5"/>
  <c r="M599" i="5"/>
  <c r="N599" i="5"/>
  <c r="O599" i="5"/>
  <c r="P599" i="5"/>
  <c r="Q599" i="5"/>
  <c r="R599" i="5"/>
  <c r="S599" i="5"/>
  <c r="T599" i="5"/>
  <c r="U599" i="5"/>
  <c r="V599" i="5"/>
  <c r="B600" i="5"/>
  <c r="C600" i="5"/>
  <c r="D600" i="5"/>
  <c r="E600" i="5"/>
  <c r="F600" i="5"/>
  <c r="G600" i="5"/>
  <c r="H600" i="5"/>
  <c r="I600" i="5"/>
  <c r="J600" i="5"/>
  <c r="K600" i="5"/>
  <c r="L600" i="5"/>
  <c r="M600" i="5"/>
  <c r="N600" i="5"/>
  <c r="O600" i="5"/>
  <c r="P600" i="5"/>
  <c r="Q600" i="5"/>
  <c r="R600" i="5"/>
  <c r="S600" i="5"/>
  <c r="T600" i="5"/>
  <c r="U600" i="5"/>
  <c r="V600" i="5"/>
  <c r="B601" i="5"/>
  <c r="C601" i="5"/>
  <c r="D601" i="5"/>
  <c r="E601" i="5"/>
  <c r="F601" i="5"/>
  <c r="G601" i="5"/>
  <c r="H601" i="5"/>
  <c r="I601" i="5"/>
  <c r="J601" i="5"/>
  <c r="K601" i="5"/>
  <c r="L601" i="5"/>
  <c r="M601" i="5"/>
  <c r="N601" i="5"/>
  <c r="O601" i="5"/>
  <c r="P601" i="5"/>
  <c r="Q601" i="5"/>
  <c r="R601" i="5"/>
  <c r="S601" i="5"/>
  <c r="T601" i="5"/>
  <c r="U601" i="5"/>
  <c r="V601" i="5"/>
  <c r="B602" i="5"/>
  <c r="C602" i="5"/>
  <c r="D602" i="5"/>
  <c r="E602" i="5"/>
  <c r="F602" i="5"/>
  <c r="G602" i="5"/>
  <c r="H602" i="5"/>
  <c r="I602" i="5"/>
  <c r="J602" i="5"/>
  <c r="K602" i="5"/>
  <c r="L602" i="5"/>
  <c r="M602" i="5"/>
  <c r="N602" i="5"/>
  <c r="O602" i="5"/>
  <c r="P602" i="5"/>
  <c r="Q602" i="5"/>
  <c r="R602" i="5"/>
  <c r="S602" i="5"/>
  <c r="T602" i="5"/>
  <c r="U602" i="5"/>
  <c r="V602" i="5"/>
  <c r="B603" i="5"/>
  <c r="C603" i="5"/>
  <c r="D603" i="5"/>
  <c r="E603" i="5"/>
  <c r="F603" i="5"/>
  <c r="G603" i="5"/>
  <c r="H603" i="5"/>
  <c r="I603" i="5"/>
  <c r="J603" i="5"/>
  <c r="K603" i="5"/>
  <c r="L603" i="5"/>
  <c r="M603" i="5"/>
  <c r="N603" i="5"/>
  <c r="O603" i="5"/>
  <c r="P603" i="5"/>
  <c r="Q603" i="5"/>
  <c r="R603" i="5"/>
  <c r="S603" i="5"/>
  <c r="T603" i="5"/>
  <c r="U603" i="5"/>
  <c r="V603" i="5"/>
  <c r="B604" i="5"/>
  <c r="C604" i="5"/>
  <c r="D604" i="5"/>
  <c r="E604" i="5"/>
  <c r="F604" i="5"/>
  <c r="G604" i="5"/>
  <c r="H604" i="5"/>
  <c r="I604" i="5"/>
  <c r="J604" i="5"/>
  <c r="K604" i="5"/>
  <c r="L604" i="5"/>
  <c r="M604" i="5"/>
  <c r="N604" i="5"/>
  <c r="O604" i="5"/>
  <c r="P604" i="5"/>
  <c r="Q604" i="5"/>
  <c r="R604" i="5"/>
  <c r="S604" i="5"/>
  <c r="T604" i="5"/>
  <c r="U604" i="5"/>
  <c r="V604" i="5"/>
  <c r="B605" i="5"/>
  <c r="C605" i="5"/>
  <c r="D605" i="5"/>
  <c r="E605" i="5"/>
  <c r="F605" i="5"/>
  <c r="G605" i="5"/>
  <c r="H605" i="5"/>
  <c r="I605" i="5"/>
  <c r="J605" i="5"/>
  <c r="K605" i="5"/>
  <c r="L605" i="5"/>
  <c r="M605" i="5"/>
  <c r="N605" i="5"/>
  <c r="O605" i="5"/>
  <c r="P605" i="5"/>
  <c r="Q605" i="5"/>
  <c r="R605" i="5"/>
  <c r="S605" i="5"/>
  <c r="T605" i="5"/>
  <c r="U605" i="5"/>
  <c r="V605" i="5"/>
  <c r="B606" i="5"/>
  <c r="C606" i="5"/>
  <c r="D606" i="5"/>
  <c r="E606" i="5"/>
  <c r="F606" i="5"/>
  <c r="G606" i="5"/>
  <c r="H606" i="5"/>
  <c r="I606" i="5"/>
  <c r="J606" i="5"/>
  <c r="K606" i="5"/>
  <c r="L606" i="5"/>
  <c r="M606" i="5"/>
  <c r="N606" i="5"/>
  <c r="O606" i="5"/>
  <c r="P606" i="5"/>
  <c r="Q606" i="5"/>
  <c r="R606" i="5"/>
  <c r="S606" i="5"/>
  <c r="T606" i="5"/>
  <c r="U606" i="5"/>
  <c r="V606" i="5"/>
  <c r="B607" i="5"/>
  <c r="C607" i="5"/>
  <c r="D607" i="5"/>
  <c r="E607" i="5"/>
  <c r="F607" i="5"/>
  <c r="G607" i="5"/>
  <c r="H607" i="5"/>
  <c r="I607" i="5"/>
  <c r="J607" i="5"/>
  <c r="K607" i="5"/>
  <c r="L607" i="5"/>
  <c r="M607" i="5"/>
  <c r="N607" i="5"/>
  <c r="O607" i="5"/>
  <c r="P607" i="5"/>
  <c r="Q607" i="5"/>
  <c r="R607" i="5"/>
  <c r="S607" i="5"/>
  <c r="T607" i="5"/>
  <c r="U607" i="5"/>
  <c r="V607" i="5"/>
  <c r="B608" i="5"/>
  <c r="C608" i="5"/>
  <c r="D608" i="5"/>
  <c r="E608" i="5"/>
  <c r="F608" i="5"/>
  <c r="G608" i="5"/>
  <c r="H608" i="5"/>
  <c r="I608" i="5"/>
  <c r="J608" i="5"/>
  <c r="K608" i="5"/>
  <c r="L608" i="5"/>
  <c r="M608" i="5"/>
  <c r="N608" i="5"/>
  <c r="O608" i="5"/>
  <c r="P608" i="5"/>
  <c r="Q608" i="5"/>
  <c r="R608" i="5"/>
  <c r="S608" i="5"/>
  <c r="T608" i="5"/>
  <c r="U608" i="5"/>
  <c r="V608" i="5"/>
  <c r="B609" i="5"/>
  <c r="C609" i="5"/>
  <c r="D609" i="5"/>
  <c r="E609" i="5"/>
  <c r="F609" i="5"/>
  <c r="G609" i="5"/>
  <c r="H609" i="5"/>
  <c r="I609" i="5"/>
  <c r="J609" i="5"/>
  <c r="K609" i="5"/>
  <c r="L609" i="5"/>
  <c r="M609" i="5"/>
  <c r="N609" i="5"/>
  <c r="O609" i="5"/>
  <c r="P609" i="5"/>
  <c r="Q609" i="5"/>
  <c r="R609" i="5"/>
  <c r="S609" i="5"/>
  <c r="T609" i="5"/>
  <c r="U609" i="5"/>
  <c r="V609" i="5"/>
  <c r="B610" i="5"/>
  <c r="C610" i="5"/>
  <c r="D610" i="5"/>
  <c r="E610" i="5"/>
  <c r="F610" i="5"/>
  <c r="G610" i="5"/>
  <c r="H610" i="5"/>
  <c r="I610" i="5"/>
  <c r="J610" i="5"/>
  <c r="K610" i="5"/>
  <c r="L610" i="5"/>
  <c r="M610" i="5"/>
  <c r="N610" i="5"/>
  <c r="O610" i="5"/>
  <c r="P610" i="5"/>
  <c r="Q610" i="5"/>
  <c r="R610" i="5"/>
  <c r="S610" i="5"/>
  <c r="T610" i="5"/>
  <c r="U610" i="5"/>
  <c r="V610" i="5"/>
  <c r="B611" i="5"/>
  <c r="C611" i="5"/>
  <c r="D611" i="5"/>
  <c r="E611" i="5"/>
  <c r="F611" i="5"/>
  <c r="G611" i="5"/>
  <c r="H611" i="5"/>
  <c r="I611" i="5"/>
  <c r="J611" i="5"/>
  <c r="K611" i="5"/>
  <c r="L611" i="5"/>
  <c r="M611" i="5"/>
  <c r="N611" i="5"/>
  <c r="O611" i="5"/>
  <c r="P611" i="5"/>
  <c r="Q611" i="5"/>
  <c r="R611" i="5"/>
  <c r="S611" i="5"/>
  <c r="T611" i="5"/>
  <c r="U611" i="5"/>
  <c r="V611" i="5"/>
  <c r="B612" i="5"/>
  <c r="C612" i="5"/>
  <c r="D612" i="5"/>
  <c r="E612" i="5"/>
  <c r="F612" i="5"/>
  <c r="G612" i="5"/>
  <c r="H612" i="5"/>
  <c r="I612" i="5"/>
  <c r="J612" i="5"/>
  <c r="K612" i="5"/>
  <c r="L612" i="5"/>
  <c r="M612" i="5"/>
  <c r="N612" i="5"/>
  <c r="O612" i="5"/>
  <c r="P612" i="5"/>
  <c r="Q612" i="5"/>
  <c r="R612" i="5"/>
  <c r="S612" i="5"/>
  <c r="T612" i="5"/>
  <c r="U612" i="5"/>
  <c r="V612" i="5"/>
  <c r="B613" i="5"/>
  <c r="C613" i="5"/>
  <c r="D613" i="5"/>
  <c r="E613" i="5"/>
  <c r="F613" i="5"/>
  <c r="G613" i="5"/>
  <c r="H613" i="5"/>
  <c r="I613" i="5"/>
  <c r="J613" i="5"/>
  <c r="K613" i="5"/>
  <c r="L613" i="5"/>
  <c r="M613" i="5"/>
  <c r="N613" i="5"/>
  <c r="O613" i="5"/>
  <c r="P613" i="5"/>
  <c r="Q613" i="5"/>
  <c r="R613" i="5"/>
  <c r="S613" i="5"/>
  <c r="T613" i="5"/>
  <c r="U613" i="5"/>
  <c r="V613" i="5"/>
  <c r="B614" i="5"/>
  <c r="C614" i="5"/>
  <c r="D614" i="5"/>
  <c r="E614" i="5"/>
  <c r="F614" i="5"/>
  <c r="G614" i="5"/>
  <c r="H614" i="5"/>
  <c r="I614" i="5"/>
  <c r="J614" i="5"/>
  <c r="K614" i="5"/>
  <c r="L614" i="5"/>
  <c r="M614" i="5"/>
  <c r="N614" i="5"/>
  <c r="O614" i="5"/>
  <c r="P614" i="5"/>
  <c r="Q614" i="5"/>
  <c r="R614" i="5"/>
  <c r="S614" i="5"/>
  <c r="T614" i="5"/>
  <c r="U614" i="5"/>
  <c r="V614" i="5"/>
  <c r="B615" i="5"/>
  <c r="C615" i="5"/>
  <c r="D615" i="5"/>
  <c r="E615" i="5"/>
  <c r="F615" i="5"/>
  <c r="G615" i="5"/>
  <c r="H615" i="5"/>
  <c r="I615" i="5"/>
  <c r="J615" i="5"/>
  <c r="K615" i="5"/>
  <c r="L615" i="5"/>
  <c r="M615" i="5"/>
  <c r="N615" i="5"/>
  <c r="O615" i="5"/>
  <c r="P615" i="5"/>
  <c r="Q615" i="5"/>
  <c r="R615" i="5"/>
  <c r="S615" i="5"/>
  <c r="T615" i="5"/>
  <c r="U615" i="5"/>
  <c r="V615" i="5"/>
  <c r="B616" i="5"/>
  <c r="C616" i="5"/>
  <c r="D616" i="5"/>
  <c r="E616" i="5"/>
  <c r="F616" i="5"/>
  <c r="G616" i="5"/>
  <c r="H616" i="5"/>
  <c r="I616" i="5"/>
  <c r="J616" i="5"/>
  <c r="K616" i="5"/>
  <c r="L616" i="5"/>
  <c r="M616" i="5"/>
  <c r="N616" i="5"/>
  <c r="O616" i="5"/>
  <c r="P616" i="5"/>
  <c r="Q616" i="5"/>
  <c r="R616" i="5"/>
  <c r="S616" i="5"/>
  <c r="T616" i="5"/>
  <c r="U616" i="5"/>
  <c r="V616" i="5"/>
  <c r="B617" i="5"/>
  <c r="C617" i="5"/>
  <c r="D617" i="5"/>
  <c r="E617" i="5"/>
  <c r="F617" i="5"/>
  <c r="G617" i="5"/>
  <c r="H617" i="5"/>
  <c r="I617" i="5"/>
  <c r="J617" i="5"/>
  <c r="K617" i="5"/>
  <c r="L617" i="5"/>
  <c r="M617" i="5"/>
  <c r="N617" i="5"/>
  <c r="O617" i="5"/>
  <c r="P617" i="5"/>
  <c r="Q617" i="5"/>
  <c r="R617" i="5"/>
  <c r="S617" i="5"/>
  <c r="T617" i="5"/>
  <c r="U617" i="5"/>
  <c r="V617" i="5"/>
  <c r="B618" i="5"/>
  <c r="C618" i="5"/>
  <c r="D618" i="5"/>
  <c r="E618" i="5"/>
  <c r="F618" i="5"/>
  <c r="G618" i="5"/>
  <c r="H618" i="5"/>
  <c r="I618" i="5"/>
  <c r="J618" i="5"/>
  <c r="K618" i="5"/>
  <c r="L618" i="5"/>
  <c r="M618" i="5"/>
  <c r="N618" i="5"/>
  <c r="O618" i="5"/>
  <c r="P618" i="5"/>
  <c r="Q618" i="5"/>
  <c r="R618" i="5"/>
  <c r="S618" i="5"/>
  <c r="T618" i="5"/>
  <c r="U618" i="5"/>
  <c r="V618" i="5"/>
  <c r="B619" i="5"/>
  <c r="C619" i="5"/>
  <c r="D619" i="5"/>
  <c r="E619" i="5"/>
  <c r="F619" i="5"/>
  <c r="G619" i="5"/>
  <c r="H619" i="5"/>
  <c r="I619" i="5"/>
  <c r="J619" i="5"/>
  <c r="K619" i="5"/>
  <c r="L619" i="5"/>
  <c r="M619" i="5"/>
  <c r="N619" i="5"/>
  <c r="O619" i="5"/>
  <c r="P619" i="5"/>
  <c r="Q619" i="5"/>
  <c r="R619" i="5"/>
  <c r="S619" i="5"/>
  <c r="T619" i="5"/>
  <c r="U619" i="5"/>
  <c r="V619" i="5"/>
  <c r="B620" i="5"/>
  <c r="C620" i="5"/>
  <c r="D620" i="5"/>
  <c r="E620" i="5"/>
  <c r="F620" i="5"/>
  <c r="G620" i="5"/>
  <c r="H620" i="5"/>
  <c r="I620" i="5"/>
  <c r="J620" i="5"/>
  <c r="K620" i="5"/>
  <c r="L620" i="5"/>
  <c r="M620" i="5"/>
  <c r="N620" i="5"/>
  <c r="O620" i="5"/>
  <c r="P620" i="5"/>
  <c r="Q620" i="5"/>
  <c r="R620" i="5"/>
  <c r="S620" i="5"/>
  <c r="T620" i="5"/>
  <c r="U620" i="5"/>
  <c r="V620" i="5"/>
  <c r="B621" i="5"/>
  <c r="C621" i="5"/>
  <c r="D621" i="5"/>
  <c r="E621" i="5"/>
  <c r="F621" i="5"/>
  <c r="G621" i="5"/>
  <c r="H621" i="5"/>
  <c r="I621" i="5"/>
  <c r="J621" i="5"/>
  <c r="K621" i="5"/>
  <c r="L621" i="5"/>
  <c r="M621" i="5"/>
  <c r="N621" i="5"/>
  <c r="O621" i="5"/>
  <c r="P621" i="5"/>
  <c r="Q621" i="5"/>
  <c r="R621" i="5"/>
  <c r="S621" i="5"/>
  <c r="T621" i="5"/>
  <c r="U621" i="5"/>
  <c r="V621" i="5"/>
  <c r="B622" i="5"/>
  <c r="C622" i="5"/>
  <c r="D622" i="5"/>
  <c r="E622" i="5"/>
  <c r="F622" i="5"/>
  <c r="G622" i="5"/>
  <c r="H622" i="5"/>
  <c r="I622" i="5"/>
  <c r="J622" i="5"/>
  <c r="K622" i="5"/>
  <c r="L622" i="5"/>
  <c r="M622" i="5"/>
  <c r="N622" i="5"/>
  <c r="O622" i="5"/>
  <c r="P622" i="5"/>
  <c r="Q622" i="5"/>
  <c r="R622" i="5"/>
  <c r="S622" i="5"/>
  <c r="T622" i="5"/>
  <c r="U622" i="5"/>
  <c r="V622" i="5"/>
  <c r="B623" i="5"/>
  <c r="C623" i="5"/>
  <c r="D623" i="5"/>
  <c r="E623" i="5"/>
  <c r="F623" i="5"/>
  <c r="G623" i="5"/>
  <c r="H623" i="5"/>
  <c r="I623" i="5"/>
  <c r="J623" i="5"/>
  <c r="K623" i="5"/>
  <c r="L623" i="5"/>
  <c r="M623" i="5"/>
  <c r="N623" i="5"/>
  <c r="O623" i="5"/>
  <c r="P623" i="5"/>
  <c r="Q623" i="5"/>
  <c r="R623" i="5"/>
  <c r="S623" i="5"/>
  <c r="T623" i="5"/>
  <c r="U623" i="5"/>
  <c r="V623" i="5"/>
  <c r="B624" i="5"/>
  <c r="C624" i="5"/>
  <c r="D624" i="5"/>
  <c r="E624" i="5"/>
  <c r="F624" i="5"/>
  <c r="G624" i="5"/>
  <c r="H624" i="5"/>
  <c r="I624" i="5"/>
  <c r="J624" i="5"/>
  <c r="K624" i="5"/>
  <c r="L624" i="5"/>
  <c r="M624" i="5"/>
  <c r="N624" i="5"/>
  <c r="O624" i="5"/>
  <c r="P624" i="5"/>
  <c r="Q624" i="5"/>
  <c r="R624" i="5"/>
  <c r="S624" i="5"/>
  <c r="T624" i="5"/>
  <c r="U624" i="5"/>
  <c r="V624" i="5"/>
  <c r="B625" i="5"/>
  <c r="C625" i="5"/>
  <c r="D625" i="5"/>
  <c r="E625" i="5"/>
  <c r="F625" i="5"/>
  <c r="G625" i="5"/>
  <c r="H625" i="5"/>
  <c r="I625" i="5"/>
  <c r="J625" i="5"/>
  <c r="K625" i="5"/>
  <c r="L625" i="5"/>
  <c r="M625" i="5"/>
  <c r="N625" i="5"/>
  <c r="O625" i="5"/>
  <c r="P625" i="5"/>
  <c r="Q625" i="5"/>
  <c r="R625" i="5"/>
  <c r="S625" i="5"/>
  <c r="T625" i="5"/>
  <c r="U625" i="5"/>
  <c r="V625" i="5"/>
  <c r="B626" i="5"/>
  <c r="C626" i="5"/>
  <c r="D626" i="5"/>
  <c r="E626" i="5"/>
  <c r="F626" i="5"/>
  <c r="G626" i="5"/>
  <c r="H626" i="5"/>
  <c r="I626" i="5"/>
  <c r="J626" i="5"/>
  <c r="K626" i="5"/>
  <c r="L626" i="5"/>
  <c r="M626" i="5"/>
  <c r="N626" i="5"/>
  <c r="O626" i="5"/>
  <c r="P626" i="5"/>
  <c r="Q626" i="5"/>
  <c r="R626" i="5"/>
  <c r="S626" i="5"/>
  <c r="T626" i="5"/>
  <c r="U626" i="5"/>
  <c r="V626" i="5"/>
  <c r="B627" i="5"/>
  <c r="C627" i="5"/>
  <c r="D627" i="5"/>
  <c r="E627" i="5"/>
  <c r="F627" i="5"/>
  <c r="G627" i="5"/>
  <c r="H627" i="5"/>
  <c r="I627" i="5"/>
  <c r="J627" i="5"/>
  <c r="K627" i="5"/>
  <c r="L627" i="5"/>
  <c r="M627" i="5"/>
  <c r="N627" i="5"/>
  <c r="O627" i="5"/>
  <c r="P627" i="5"/>
  <c r="Q627" i="5"/>
  <c r="R627" i="5"/>
  <c r="S627" i="5"/>
  <c r="T627" i="5"/>
  <c r="U627" i="5"/>
  <c r="V627" i="5"/>
  <c r="B628" i="5"/>
  <c r="C628" i="5"/>
  <c r="D628" i="5"/>
  <c r="E628" i="5"/>
  <c r="F628" i="5"/>
  <c r="G628" i="5"/>
  <c r="H628" i="5"/>
  <c r="I628" i="5"/>
  <c r="J628" i="5"/>
  <c r="K628" i="5"/>
  <c r="L628" i="5"/>
  <c r="M628" i="5"/>
  <c r="N628" i="5"/>
  <c r="O628" i="5"/>
  <c r="P628" i="5"/>
  <c r="Q628" i="5"/>
  <c r="R628" i="5"/>
  <c r="S628" i="5"/>
  <c r="T628" i="5"/>
  <c r="U628" i="5"/>
  <c r="V628" i="5"/>
  <c r="B629" i="5"/>
  <c r="C629" i="5"/>
  <c r="D629" i="5"/>
  <c r="E629" i="5"/>
  <c r="F629" i="5"/>
  <c r="G629" i="5"/>
  <c r="H629" i="5"/>
  <c r="I629" i="5"/>
  <c r="J629" i="5"/>
  <c r="K629" i="5"/>
  <c r="L629" i="5"/>
  <c r="M629" i="5"/>
  <c r="N629" i="5"/>
  <c r="O629" i="5"/>
  <c r="P629" i="5"/>
  <c r="Q629" i="5"/>
  <c r="R629" i="5"/>
  <c r="S629" i="5"/>
  <c r="T629" i="5"/>
  <c r="U629" i="5"/>
  <c r="V629" i="5"/>
  <c r="B630" i="5"/>
  <c r="C630" i="5"/>
  <c r="D630" i="5"/>
  <c r="E630" i="5"/>
  <c r="F630" i="5"/>
  <c r="G630" i="5"/>
  <c r="H630" i="5"/>
  <c r="I630" i="5"/>
  <c r="J630" i="5"/>
  <c r="K630" i="5"/>
  <c r="L630" i="5"/>
  <c r="M630" i="5"/>
  <c r="N630" i="5"/>
  <c r="O630" i="5"/>
  <c r="P630" i="5"/>
  <c r="Q630" i="5"/>
  <c r="R630" i="5"/>
  <c r="S630" i="5"/>
  <c r="T630" i="5"/>
  <c r="U630" i="5"/>
  <c r="V630" i="5"/>
  <c r="B631" i="5"/>
  <c r="C631" i="5"/>
  <c r="D631" i="5"/>
  <c r="E631" i="5"/>
  <c r="F631" i="5"/>
  <c r="G631" i="5"/>
  <c r="H631" i="5"/>
  <c r="I631" i="5"/>
  <c r="J631" i="5"/>
  <c r="K631" i="5"/>
  <c r="L631" i="5"/>
  <c r="M631" i="5"/>
  <c r="N631" i="5"/>
  <c r="O631" i="5"/>
  <c r="P631" i="5"/>
  <c r="Q631" i="5"/>
  <c r="R631" i="5"/>
  <c r="S631" i="5"/>
  <c r="T631" i="5"/>
  <c r="U631" i="5"/>
  <c r="V631" i="5"/>
  <c r="B632" i="5"/>
  <c r="C632" i="5"/>
  <c r="D632" i="5"/>
  <c r="E632" i="5"/>
  <c r="F632" i="5"/>
  <c r="G632" i="5"/>
  <c r="H632" i="5"/>
  <c r="I632" i="5"/>
  <c r="J632" i="5"/>
  <c r="K632" i="5"/>
  <c r="L632" i="5"/>
  <c r="M632" i="5"/>
  <c r="N632" i="5"/>
  <c r="O632" i="5"/>
  <c r="P632" i="5"/>
  <c r="Q632" i="5"/>
  <c r="R632" i="5"/>
  <c r="S632" i="5"/>
  <c r="T632" i="5"/>
  <c r="U632" i="5"/>
  <c r="V632" i="5"/>
  <c r="B633" i="5"/>
  <c r="C633" i="5"/>
  <c r="D633" i="5"/>
  <c r="E633" i="5"/>
  <c r="F633" i="5"/>
  <c r="G633" i="5"/>
  <c r="H633" i="5"/>
  <c r="I633" i="5"/>
  <c r="J633" i="5"/>
  <c r="K633" i="5"/>
  <c r="L633" i="5"/>
  <c r="M633" i="5"/>
  <c r="N633" i="5"/>
  <c r="O633" i="5"/>
  <c r="P633" i="5"/>
  <c r="Q633" i="5"/>
  <c r="R633" i="5"/>
  <c r="S633" i="5"/>
  <c r="T633" i="5"/>
  <c r="U633" i="5"/>
  <c r="V633" i="5"/>
  <c r="B634" i="5"/>
  <c r="C634" i="5"/>
  <c r="D634" i="5"/>
  <c r="E634" i="5"/>
  <c r="F634" i="5"/>
  <c r="G634" i="5"/>
  <c r="H634" i="5"/>
  <c r="I634" i="5"/>
  <c r="J634" i="5"/>
  <c r="K634" i="5"/>
  <c r="L634" i="5"/>
  <c r="M634" i="5"/>
  <c r="N634" i="5"/>
  <c r="O634" i="5"/>
  <c r="P634" i="5"/>
  <c r="Q634" i="5"/>
  <c r="R634" i="5"/>
  <c r="S634" i="5"/>
  <c r="T634" i="5"/>
  <c r="U634" i="5"/>
  <c r="V634" i="5"/>
  <c r="B635" i="5"/>
  <c r="C635" i="5"/>
  <c r="D635" i="5"/>
  <c r="E635" i="5"/>
  <c r="F635" i="5"/>
  <c r="G635" i="5"/>
  <c r="H635" i="5"/>
  <c r="I635" i="5"/>
  <c r="J635" i="5"/>
  <c r="K635" i="5"/>
  <c r="L635" i="5"/>
  <c r="M635" i="5"/>
  <c r="N635" i="5"/>
  <c r="O635" i="5"/>
  <c r="P635" i="5"/>
  <c r="Q635" i="5"/>
  <c r="R635" i="5"/>
  <c r="S635" i="5"/>
  <c r="T635" i="5"/>
  <c r="U635" i="5"/>
  <c r="V635" i="5"/>
  <c r="B636" i="5"/>
  <c r="C636" i="5"/>
  <c r="D636" i="5"/>
  <c r="E636" i="5"/>
  <c r="F636" i="5"/>
  <c r="G636" i="5"/>
  <c r="H636" i="5"/>
  <c r="I636" i="5"/>
  <c r="J636" i="5"/>
  <c r="K636" i="5"/>
  <c r="L636" i="5"/>
  <c r="M636" i="5"/>
  <c r="N636" i="5"/>
  <c r="O636" i="5"/>
  <c r="P636" i="5"/>
  <c r="Q636" i="5"/>
  <c r="R636" i="5"/>
  <c r="S636" i="5"/>
  <c r="T636" i="5"/>
  <c r="U636" i="5"/>
  <c r="V636" i="5"/>
  <c r="B637" i="5"/>
  <c r="C637" i="5"/>
  <c r="D637" i="5"/>
  <c r="E637" i="5"/>
  <c r="F637" i="5"/>
  <c r="G637" i="5"/>
  <c r="H637" i="5"/>
  <c r="I637" i="5"/>
  <c r="J637" i="5"/>
  <c r="K637" i="5"/>
  <c r="L637" i="5"/>
  <c r="M637" i="5"/>
  <c r="N637" i="5"/>
  <c r="O637" i="5"/>
  <c r="P637" i="5"/>
  <c r="Q637" i="5"/>
  <c r="R637" i="5"/>
  <c r="S637" i="5"/>
  <c r="T637" i="5"/>
  <c r="U637" i="5"/>
  <c r="V637" i="5"/>
  <c r="B638" i="5"/>
  <c r="C638" i="5"/>
  <c r="D638" i="5"/>
  <c r="E638" i="5"/>
  <c r="F638" i="5"/>
  <c r="G638" i="5"/>
  <c r="H638" i="5"/>
  <c r="I638" i="5"/>
  <c r="J638" i="5"/>
  <c r="K638" i="5"/>
  <c r="L638" i="5"/>
  <c r="M638" i="5"/>
  <c r="N638" i="5"/>
  <c r="O638" i="5"/>
  <c r="P638" i="5"/>
  <c r="Q638" i="5"/>
  <c r="R638" i="5"/>
  <c r="S638" i="5"/>
  <c r="T638" i="5"/>
  <c r="U638" i="5"/>
  <c r="V638" i="5"/>
  <c r="B639" i="5"/>
  <c r="C639" i="5"/>
  <c r="D639" i="5"/>
  <c r="E639" i="5"/>
  <c r="F639" i="5"/>
  <c r="G639" i="5"/>
  <c r="H639" i="5"/>
  <c r="I639" i="5"/>
  <c r="J639" i="5"/>
  <c r="K639" i="5"/>
  <c r="L639" i="5"/>
  <c r="M639" i="5"/>
  <c r="N639" i="5"/>
  <c r="O639" i="5"/>
  <c r="P639" i="5"/>
  <c r="Q639" i="5"/>
  <c r="R639" i="5"/>
  <c r="S639" i="5"/>
  <c r="T639" i="5"/>
  <c r="U639" i="5"/>
  <c r="V639" i="5"/>
  <c r="B640" i="5"/>
  <c r="C640" i="5"/>
  <c r="D640" i="5"/>
  <c r="E640" i="5"/>
  <c r="F640" i="5"/>
  <c r="G640" i="5"/>
  <c r="H640" i="5"/>
  <c r="I640" i="5"/>
  <c r="J640" i="5"/>
  <c r="K640" i="5"/>
  <c r="L640" i="5"/>
  <c r="M640" i="5"/>
  <c r="N640" i="5"/>
  <c r="O640" i="5"/>
  <c r="P640" i="5"/>
  <c r="Q640" i="5"/>
  <c r="R640" i="5"/>
  <c r="S640" i="5"/>
  <c r="T640" i="5"/>
  <c r="U640" i="5"/>
  <c r="V640" i="5"/>
  <c r="B641" i="5"/>
  <c r="C641" i="5"/>
  <c r="D641" i="5"/>
  <c r="E641" i="5"/>
  <c r="F641" i="5"/>
  <c r="G641" i="5"/>
  <c r="H641" i="5"/>
  <c r="I641" i="5"/>
  <c r="J641" i="5"/>
  <c r="K641" i="5"/>
  <c r="L641" i="5"/>
  <c r="M641" i="5"/>
  <c r="N641" i="5"/>
  <c r="O641" i="5"/>
  <c r="P641" i="5"/>
  <c r="Q641" i="5"/>
  <c r="R641" i="5"/>
  <c r="S641" i="5"/>
  <c r="T641" i="5"/>
  <c r="U641" i="5"/>
  <c r="V641" i="5"/>
  <c r="B642" i="5"/>
  <c r="C642" i="5"/>
  <c r="D642" i="5"/>
  <c r="E642" i="5"/>
  <c r="F642" i="5"/>
  <c r="G642" i="5"/>
  <c r="H642" i="5"/>
  <c r="I642" i="5"/>
  <c r="J642" i="5"/>
  <c r="K642" i="5"/>
  <c r="L642" i="5"/>
  <c r="M642" i="5"/>
  <c r="N642" i="5"/>
  <c r="O642" i="5"/>
  <c r="P642" i="5"/>
  <c r="Q642" i="5"/>
  <c r="R642" i="5"/>
  <c r="S642" i="5"/>
  <c r="T642" i="5"/>
  <c r="U642" i="5"/>
  <c r="V642" i="5"/>
  <c r="B643" i="5"/>
  <c r="C643" i="5"/>
  <c r="D643" i="5"/>
  <c r="E643" i="5"/>
  <c r="F643" i="5"/>
  <c r="G643" i="5"/>
  <c r="H643" i="5"/>
  <c r="I643" i="5"/>
  <c r="J643" i="5"/>
  <c r="K643" i="5"/>
  <c r="L643" i="5"/>
  <c r="M643" i="5"/>
  <c r="N643" i="5"/>
  <c r="O643" i="5"/>
  <c r="P643" i="5"/>
  <c r="Q643" i="5"/>
  <c r="R643" i="5"/>
  <c r="S643" i="5"/>
  <c r="T643" i="5"/>
  <c r="U643" i="5"/>
  <c r="V643" i="5"/>
  <c r="B644" i="5"/>
  <c r="C644" i="5"/>
  <c r="D644" i="5"/>
  <c r="E644" i="5"/>
  <c r="F644" i="5"/>
  <c r="G644" i="5"/>
  <c r="H644" i="5"/>
  <c r="I644" i="5"/>
  <c r="J644" i="5"/>
  <c r="K644" i="5"/>
  <c r="L644" i="5"/>
  <c r="M644" i="5"/>
  <c r="N644" i="5"/>
  <c r="O644" i="5"/>
  <c r="P644" i="5"/>
  <c r="Q644" i="5"/>
  <c r="R644" i="5"/>
  <c r="S644" i="5"/>
  <c r="T644" i="5"/>
  <c r="U644" i="5"/>
  <c r="V644" i="5"/>
  <c r="B645" i="5"/>
  <c r="C645" i="5"/>
  <c r="D645" i="5"/>
  <c r="E645" i="5"/>
  <c r="F645" i="5"/>
  <c r="G645" i="5"/>
  <c r="H645" i="5"/>
  <c r="I645" i="5"/>
  <c r="J645" i="5"/>
  <c r="K645" i="5"/>
  <c r="L645" i="5"/>
  <c r="M645" i="5"/>
  <c r="N645" i="5"/>
  <c r="O645" i="5"/>
  <c r="P645" i="5"/>
  <c r="Q645" i="5"/>
  <c r="R645" i="5"/>
  <c r="S645" i="5"/>
  <c r="T645" i="5"/>
  <c r="U645" i="5"/>
  <c r="V645" i="5"/>
  <c r="B646" i="5"/>
  <c r="C646" i="5"/>
  <c r="D646" i="5"/>
  <c r="E646" i="5"/>
  <c r="F646" i="5"/>
  <c r="G646" i="5"/>
  <c r="H646" i="5"/>
  <c r="I646" i="5"/>
  <c r="J646" i="5"/>
  <c r="K646" i="5"/>
  <c r="L646" i="5"/>
  <c r="M646" i="5"/>
  <c r="N646" i="5"/>
  <c r="O646" i="5"/>
  <c r="P646" i="5"/>
  <c r="Q646" i="5"/>
  <c r="R646" i="5"/>
  <c r="S646" i="5"/>
  <c r="T646" i="5"/>
  <c r="U646" i="5"/>
  <c r="V646" i="5"/>
  <c r="B647" i="5"/>
  <c r="C647" i="5"/>
  <c r="D647" i="5"/>
  <c r="E647" i="5"/>
  <c r="F647" i="5"/>
  <c r="G647" i="5"/>
  <c r="H647" i="5"/>
  <c r="I647" i="5"/>
  <c r="J647" i="5"/>
  <c r="K647" i="5"/>
  <c r="L647" i="5"/>
  <c r="M647" i="5"/>
  <c r="N647" i="5"/>
  <c r="O647" i="5"/>
  <c r="P647" i="5"/>
  <c r="Q647" i="5"/>
  <c r="R647" i="5"/>
  <c r="S647" i="5"/>
  <c r="T647" i="5"/>
  <c r="U647" i="5"/>
  <c r="V647" i="5"/>
  <c r="B648" i="5"/>
  <c r="C648" i="5"/>
  <c r="D648" i="5"/>
  <c r="E648" i="5"/>
  <c r="F648" i="5"/>
  <c r="G648" i="5"/>
  <c r="H648" i="5"/>
  <c r="I648" i="5"/>
  <c r="J648" i="5"/>
  <c r="K648" i="5"/>
  <c r="L648" i="5"/>
  <c r="M648" i="5"/>
  <c r="N648" i="5"/>
  <c r="O648" i="5"/>
  <c r="P648" i="5"/>
  <c r="Q648" i="5"/>
  <c r="R648" i="5"/>
  <c r="S648" i="5"/>
  <c r="T648" i="5"/>
  <c r="U648" i="5"/>
  <c r="V648" i="5"/>
  <c r="B649" i="5"/>
  <c r="C649" i="5"/>
  <c r="D649" i="5"/>
  <c r="E649" i="5"/>
  <c r="F649" i="5"/>
  <c r="G649" i="5"/>
  <c r="H649" i="5"/>
  <c r="I649" i="5"/>
  <c r="J649" i="5"/>
  <c r="K649" i="5"/>
  <c r="L649" i="5"/>
  <c r="M649" i="5"/>
  <c r="N649" i="5"/>
  <c r="O649" i="5"/>
  <c r="P649" i="5"/>
  <c r="Q649" i="5"/>
  <c r="R649" i="5"/>
  <c r="S649" i="5"/>
  <c r="T649" i="5"/>
  <c r="U649" i="5"/>
  <c r="V649" i="5"/>
  <c r="B650" i="5"/>
  <c r="C650" i="5"/>
  <c r="D650" i="5"/>
  <c r="E650" i="5"/>
  <c r="F650" i="5"/>
  <c r="G650" i="5"/>
  <c r="H650" i="5"/>
  <c r="I650" i="5"/>
  <c r="J650" i="5"/>
  <c r="K650" i="5"/>
  <c r="L650" i="5"/>
  <c r="M650" i="5"/>
  <c r="N650" i="5"/>
  <c r="O650" i="5"/>
  <c r="P650" i="5"/>
  <c r="Q650" i="5"/>
  <c r="R650" i="5"/>
  <c r="S650" i="5"/>
  <c r="T650" i="5"/>
  <c r="U650" i="5"/>
  <c r="V650" i="5"/>
  <c r="B651" i="5"/>
  <c r="C651" i="5"/>
  <c r="D651" i="5"/>
  <c r="E651" i="5"/>
  <c r="F651" i="5"/>
  <c r="G651" i="5"/>
  <c r="H651" i="5"/>
  <c r="I651" i="5"/>
  <c r="J651" i="5"/>
  <c r="K651" i="5"/>
  <c r="L651" i="5"/>
  <c r="M651" i="5"/>
  <c r="N651" i="5"/>
  <c r="O651" i="5"/>
  <c r="P651" i="5"/>
  <c r="Q651" i="5"/>
  <c r="R651" i="5"/>
  <c r="S651" i="5"/>
  <c r="T651" i="5"/>
  <c r="U651" i="5"/>
  <c r="V651" i="5"/>
  <c r="B652" i="5"/>
  <c r="C652" i="5"/>
  <c r="D652" i="5"/>
  <c r="E652" i="5"/>
  <c r="F652" i="5"/>
  <c r="G652" i="5"/>
  <c r="H652" i="5"/>
  <c r="I652" i="5"/>
  <c r="J652" i="5"/>
  <c r="K652" i="5"/>
  <c r="L652" i="5"/>
  <c r="M652" i="5"/>
  <c r="N652" i="5"/>
  <c r="O652" i="5"/>
  <c r="P652" i="5"/>
  <c r="Q652" i="5"/>
  <c r="R652" i="5"/>
  <c r="S652" i="5"/>
  <c r="T652" i="5"/>
  <c r="U652" i="5"/>
  <c r="V652" i="5"/>
  <c r="B653" i="5"/>
  <c r="C653" i="5"/>
  <c r="D653" i="5"/>
  <c r="E653" i="5"/>
  <c r="F653" i="5"/>
  <c r="G653" i="5"/>
  <c r="H653" i="5"/>
  <c r="I653" i="5"/>
  <c r="J653" i="5"/>
  <c r="K653" i="5"/>
  <c r="L653" i="5"/>
  <c r="M653" i="5"/>
  <c r="N653" i="5"/>
  <c r="O653" i="5"/>
  <c r="P653" i="5"/>
  <c r="Q653" i="5"/>
  <c r="R653" i="5"/>
  <c r="S653" i="5"/>
  <c r="T653" i="5"/>
  <c r="U653" i="5"/>
  <c r="V653" i="5"/>
  <c r="B654" i="5"/>
  <c r="C654" i="5"/>
  <c r="D654" i="5"/>
  <c r="E654" i="5"/>
  <c r="F654" i="5"/>
  <c r="G654" i="5"/>
  <c r="H654" i="5"/>
  <c r="I654" i="5"/>
  <c r="J654" i="5"/>
  <c r="K654" i="5"/>
  <c r="L654" i="5"/>
  <c r="M654" i="5"/>
  <c r="N654" i="5"/>
  <c r="O654" i="5"/>
  <c r="P654" i="5"/>
  <c r="Q654" i="5"/>
  <c r="R654" i="5"/>
  <c r="S654" i="5"/>
  <c r="T654" i="5"/>
  <c r="U654" i="5"/>
  <c r="V654" i="5"/>
  <c r="B655" i="5"/>
  <c r="C655" i="5"/>
  <c r="D655" i="5"/>
  <c r="E655" i="5"/>
  <c r="F655" i="5"/>
  <c r="G655" i="5"/>
  <c r="H655" i="5"/>
  <c r="I655" i="5"/>
  <c r="J655" i="5"/>
  <c r="K655" i="5"/>
  <c r="L655" i="5"/>
  <c r="M655" i="5"/>
  <c r="N655" i="5"/>
  <c r="O655" i="5"/>
  <c r="P655" i="5"/>
  <c r="Q655" i="5"/>
  <c r="R655" i="5"/>
  <c r="S655" i="5"/>
  <c r="T655" i="5"/>
  <c r="U655" i="5"/>
  <c r="V655" i="5"/>
  <c r="B656" i="5"/>
  <c r="C656" i="5"/>
  <c r="D656" i="5"/>
  <c r="E656" i="5"/>
  <c r="F656" i="5"/>
  <c r="G656" i="5"/>
  <c r="H656" i="5"/>
  <c r="I656" i="5"/>
  <c r="J656" i="5"/>
  <c r="K656" i="5"/>
  <c r="L656" i="5"/>
  <c r="M656" i="5"/>
  <c r="N656" i="5"/>
  <c r="O656" i="5"/>
  <c r="P656" i="5"/>
  <c r="Q656" i="5"/>
  <c r="R656" i="5"/>
  <c r="S656" i="5"/>
  <c r="T656" i="5"/>
  <c r="U656" i="5"/>
  <c r="V656" i="5"/>
  <c r="B657" i="5"/>
  <c r="C657" i="5"/>
  <c r="D657" i="5"/>
  <c r="E657" i="5"/>
  <c r="F657" i="5"/>
  <c r="G657" i="5"/>
  <c r="H657" i="5"/>
  <c r="I657" i="5"/>
  <c r="J657" i="5"/>
  <c r="K657" i="5"/>
  <c r="L657" i="5"/>
  <c r="M657" i="5"/>
  <c r="N657" i="5"/>
  <c r="O657" i="5"/>
  <c r="P657" i="5"/>
  <c r="Q657" i="5"/>
  <c r="R657" i="5"/>
  <c r="S657" i="5"/>
  <c r="T657" i="5"/>
  <c r="U657" i="5"/>
  <c r="V657" i="5"/>
  <c r="B658" i="5"/>
  <c r="C658" i="5"/>
  <c r="D658" i="5"/>
  <c r="E658" i="5"/>
  <c r="F658" i="5"/>
  <c r="G658" i="5"/>
  <c r="H658" i="5"/>
  <c r="I658" i="5"/>
  <c r="J658" i="5"/>
  <c r="K658" i="5"/>
  <c r="L658" i="5"/>
  <c r="M658" i="5"/>
  <c r="N658" i="5"/>
  <c r="O658" i="5"/>
  <c r="P658" i="5"/>
  <c r="Q658" i="5"/>
  <c r="R658" i="5"/>
  <c r="S658" i="5"/>
  <c r="T658" i="5"/>
  <c r="U658" i="5"/>
  <c r="V658" i="5"/>
  <c r="B659" i="5"/>
  <c r="C659" i="5"/>
  <c r="D659" i="5"/>
  <c r="E659" i="5"/>
  <c r="F659" i="5"/>
  <c r="G659" i="5"/>
  <c r="H659" i="5"/>
  <c r="I659" i="5"/>
  <c r="J659" i="5"/>
  <c r="K659" i="5"/>
  <c r="L659" i="5"/>
  <c r="M659" i="5"/>
  <c r="N659" i="5"/>
  <c r="O659" i="5"/>
  <c r="P659" i="5"/>
  <c r="Q659" i="5"/>
  <c r="R659" i="5"/>
  <c r="S659" i="5"/>
  <c r="T659" i="5"/>
  <c r="U659" i="5"/>
  <c r="V659" i="5"/>
  <c r="B660" i="5"/>
  <c r="C660" i="5"/>
  <c r="D660" i="5"/>
  <c r="E660" i="5"/>
  <c r="F660" i="5"/>
  <c r="G660" i="5"/>
  <c r="H660" i="5"/>
  <c r="I660" i="5"/>
  <c r="J660" i="5"/>
  <c r="K660" i="5"/>
  <c r="L660" i="5"/>
  <c r="M660" i="5"/>
  <c r="N660" i="5"/>
  <c r="O660" i="5"/>
  <c r="P660" i="5"/>
  <c r="Q660" i="5"/>
  <c r="R660" i="5"/>
  <c r="S660" i="5"/>
  <c r="T660" i="5"/>
  <c r="U660" i="5"/>
  <c r="V660" i="5"/>
  <c r="B661" i="5"/>
  <c r="C661" i="5"/>
  <c r="D661" i="5"/>
  <c r="E661" i="5"/>
  <c r="F661" i="5"/>
  <c r="G661" i="5"/>
  <c r="H661" i="5"/>
  <c r="I661" i="5"/>
  <c r="J661" i="5"/>
  <c r="K661" i="5"/>
  <c r="L661" i="5"/>
  <c r="M661" i="5"/>
  <c r="N661" i="5"/>
  <c r="O661" i="5"/>
  <c r="P661" i="5"/>
  <c r="Q661" i="5"/>
  <c r="R661" i="5"/>
  <c r="S661" i="5"/>
  <c r="T661" i="5"/>
  <c r="U661" i="5"/>
  <c r="V661" i="5"/>
  <c r="B662" i="5"/>
  <c r="C662" i="5"/>
  <c r="D662" i="5"/>
  <c r="E662" i="5"/>
  <c r="F662" i="5"/>
  <c r="G662" i="5"/>
  <c r="H662" i="5"/>
  <c r="I662" i="5"/>
  <c r="J662" i="5"/>
  <c r="K662" i="5"/>
  <c r="L662" i="5"/>
  <c r="M662" i="5"/>
  <c r="N662" i="5"/>
  <c r="O662" i="5"/>
  <c r="P662" i="5"/>
  <c r="Q662" i="5"/>
  <c r="R662" i="5"/>
  <c r="S662" i="5"/>
  <c r="T662" i="5"/>
  <c r="U662" i="5"/>
  <c r="V662" i="5"/>
  <c r="B663" i="5"/>
  <c r="C663" i="5"/>
  <c r="D663" i="5"/>
  <c r="E663" i="5"/>
  <c r="F663" i="5"/>
  <c r="G663" i="5"/>
  <c r="H663" i="5"/>
  <c r="I663" i="5"/>
  <c r="J663" i="5"/>
  <c r="K663" i="5"/>
  <c r="L663" i="5"/>
  <c r="M663" i="5"/>
  <c r="N663" i="5"/>
  <c r="O663" i="5"/>
  <c r="P663" i="5"/>
  <c r="Q663" i="5"/>
  <c r="R663" i="5"/>
  <c r="S663" i="5"/>
  <c r="T663" i="5"/>
  <c r="U663" i="5"/>
  <c r="V663" i="5"/>
  <c r="B664" i="5"/>
  <c r="C664" i="5"/>
  <c r="D664" i="5"/>
  <c r="E664" i="5"/>
  <c r="F664" i="5"/>
  <c r="G664" i="5"/>
  <c r="H664" i="5"/>
  <c r="I664" i="5"/>
  <c r="J664" i="5"/>
  <c r="K664" i="5"/>
  <c r="L664" i="5"/>
  <c r="M664" i="5"/>
  <c r="N664" i="5"/>
  <c r="O664" i="5"/>
  <c r="P664" i="5"/>
  <c r="Q664" i="5"/>
  <c r="R664" i="5"/>
  <c r="S664" i="5"/>
  <c r="T664" i="5"/>
  <c r="U664" i="5"/>
  <c r="V664" i="5"/>
  <c r="B665" i="5"/>
  <c r="C665" i="5"/>
  <c r="D665" i="5"/>
  <c r="E665" i="5"/>
  <c r="F665" i="5"/>
  <c r="G665" i="5"/>
  <c r="H665" i="5"/>
  <c r="I665" i="5"/>
  <c r="J665" i="5"/>
  <c r="K665" i="5"/>
  <c r="L665" i="5"/>
  <c r="M665" i="5"/>
  <c r="N665" i="5"/>
  <c r="O665" i="5"/>
  <c r="P665" i="5"/>
  <c r="Q665" i="5"/>
  <c r="R665" i="5"/>
  <c r="S665" i="5"/>
  <c r="T665" i="5"/>
  <c r="U665" i="5"/>
  <c r="V665" i="5"/>
  <c r="B666" i="5"/>
  <c r="C666" i="5"/>
  <c r="D666" i="5"/>
  <c r="E666" i="5"/>
  <c r="F666" i="5"/>
  <c r="G666" i="5"/>
  <c r="H666" i="5"/>
  <c r="I666" i="5"/>
  <c r="J666" i="5"/>
  <c r="K666" i="5"/>
  <c r="L666" i="5"/>
  <c r="M666" i="5"/>
  <c r="N666" i="5"/>
  <c r="O666" i="5"/>
  <c r="P666" i="5"/>
  <c r="Q666" i="5"/>
  <c r="R666" i="5"/>
  <c r="S666" i="5"/>
  <c r="T666" i="5"/>
  <c r="U666" i="5"/>
  <c r="V666" i="5"/>
  <c r="B667" i="5"/>
  <c r="C667" i="5"/>
  <c r="D667" i="5"/>
  <c r="E667" i="5"/>
  <c r="F667" i="5"/>
  <c r="G667" i="5"/>
  <c r="H667" i="5"/>
  <c r="I667" i="5"/>
  <c r="J667" i="5"/>
  <c r="K667" i="5"/>
  <c r="L667" i="5"/>
  <c r="M667" i="5"/>
  <c r="N667" i="5"/>
  <c r="O667" i="5"/>
  <c r="P667" i="5"/>
  <c r="Q667" i="5"/>
  <c r="R667" i="5"/>
  <c r="S667" i="5"/>
  <c r="T667" i="5"/>
  <c r="U667" i="5"/>
  <c r="V667" i="5"/>
  <c r="B668" i="5"/>
  <c r="C668" i="5"/>
  <c r="D668" i="5"/>
  <c r="E668" i="5"/>
  <c r="F668" i="5"/>
  <c r="G668" i="5"/>
  <c r="H668" i="5"/>
  <c r="I668" i="5"/>
  <c r="J668" i="5"/>
  <c r="K668" i="5"/>
  <c r="L668" i="5"/>
  <c r="M668" i="5"/>
  <c r="N668" i="5"/>
  <c r="O668" i="5"/>
  <c r="P668" i="5"/>
  <c r="Q668" i="5"/>
  <c r="R668" i="5"/>
  <c r="S668" i="5"/>
  <c r="T668" i="5"/>
  <c r="U668" i="5"/>
  <c r="V668" i="5"/>
  <c r="B669" i="5"/>
  <c r="C669" i="5"/>
  <c r="D669" i="5"/>
  <c r="E669" i="5"/>
  <c r="F669" i="5"/>
  <c r="G669" i="5"/>
  <c r="H669" i="5"/>
  <c r="I669" i="5"/>
  <c r="J669" i="5"/>
  <c r="K669" i="5"/>
  <c r="L669" i="5"/>
  <c r="M669" i="5"/>
  <c r="N669" i="5"/>
  <c r="O669" i="5"/>
  <c r="P669" i="5"/>
  <c r="Q669" i="5"/>
  <c r="R669" i="5"/>
  <c r="S669" i="5"/>
  <c r="T669" i="5"/>
  <c r="U669" i="5"/>
  <c r="V669" i="5"/>
  <c r="B670" i="5"/>
  <c r="C670" i="5"/>
  <c r="D670" i="5"/>
  <c r="E670" i="5"/>
  <c r="F670" i="5"/>
  <c r="G670" i="5"/>
  <c r="H670" i="5"/>
  <c r="I670" i="5"/>
  <c r="J670" i="5"/>
  <c r="K670" i="5"/>
  <c r="L670" i="5"/>
  <c r="M670" i="5"/>
  <c r="N670" i="5"/>
  <c r="O670" i="5"/>
  <c r="P670" i="5"/>
  <c r="Q670" i="5"/>
  <c r="R670" i="5"/>
  <c r="S670" i="5"/>
  <c r="T670" i="5"/>
  <c r="U670" i="5"/>
  <c r="V670" i="5"/>
  <c r="B671" i="5"/>
  <c r="C671" i="5"/>
  <c r="D671" i="5"/>
  <c r="E671" i="5"/>
  <c r="F671" i="5"/>
  <c r="G671" i="5"/>
  <c r="H671" i="5"/>
  <c r="I671" i="5"/>
  <c r="J671" i="5"/>
  <c r="K671" i="5"/>
  <c r="L671" i="5"/>
  <c r="M671" i="5"/>
  <c r="N671" i="5"/>
  <c r="O671" i="5"/>
  <c r="P671" i="5"/>
  <c r="Q671" i="5"/>
  <c r="R671" i="5"/>
  <c r="S671" i="5"/>
  <c r="T671" i="5"/>
  <c r="U671" i="5"/>
  <c r="V671" i="5"/>
  <c r="B672" i="5"/>
  <c r="C672" i="5"/>
  <c r="D672" i="5"/>
  <c r="E672" i="5"/>
  <c r="F672" i="5"/>
  <c r="G672" i="5"/>
  <c r="H672" i="5"/>
  <c r="I672" i="5"/>
  <c r="J672" i="5"/>
  <c r="K672" i="5"/>
  <c r="L672" i="5"/>
  <c r="M672" i="5"/>
  <c r="N672" i="5"/>
  <c r="O672" i="5"/>
  <c r="P672" i="5"/>
  <c r="Q672" i="5"/>
  <c r="R672" i="5"/>
  <c r="S672" i="5"/>
  <c r="T672" i="5"/>
  <c r="U672" i="5"/>
  <c r="V672" i="5"/>
  <c r="B673" i="5"/>
  <c r="C673" i="5"/>
  <c r="D673" i="5"/>
  <c r="E673" i="5"/>
  <c r="F673" i="5"/>
  <c r="G673" i="5"/>
  <c r="H673" i="5"/>
  <c r="I673" i="5"/>
  <c r="J673" i="5"/>
  <c r="K673" i="5"/>
  <c r="L673" i="5"/>
  <c r="M673" i="5"/>
  <c r="N673" i="5"/>
  <c r="O673" i="5"/>
  <c r="P673" i="5"/>
  <c r="Q673" i="5"/>
  <c r="R673" i="5"/>
  <c r="S673" i="5"/>
  <c r="T673" i="5"/>
  <c r="U673" i="5"/>
  <c r="V673" i="5"/>
  <c r="B674" i="5"/>
  <c r="C674" i="5"/>
  <c r="D674" i="5"/>
  <c r="E674" i="5"/>
  <c r="F674" i="5"/>
  <c r="G674" i="5"/>
  <c r="H674" i="5"/>
  <c r="I674" i="5"/>
  <c r="J674" i="5"/>
  <c r="K674" i="5"/>
  <c r="L674" i="5"/>
  <c r="M674" i="5"/>
  <c r="N674" i="5"/>
  <c r="O674" i="5"/>
  <c r="P674" i="5"/>
  <c r="Q674" i="5"/>
  <c r="R674" i="5"/>
  <c r="S674" i="5"/>
  <c r="T674" i="5"/>
  <c r="U674" i="5"/>
  <c r="V674" i="5"/>
  <c r="B675" i="5"/>
  <c r="C675" i="5"/>
  <c r="D675" i="5"/>
  <c r="E675" i="5"/>
  <c r="F675" i="5"/>
  <c r="G675" i="5"/>
  <c r="H675" i="5"/>
  <c r="I675" i="5"/>
  <c r="J675" i="5"/>
  <c r="K675" i="5"/>
  <c r="L675" i="5"/>
  <c r="M675" i="5"/>
  <c r="N675" i="5"/>
  <c r="O675" i="5"/>
  <c r="P675" i="5"/>
  <c r="Q675" i="5"/>
  <c r="R675" i="5"/>
  <c r="S675" i="5"/>
  <c r="T675" i="5"/>
  <c r="U675" i="5"/>
  <c r="V675" i="5"/>
  <c r="B676" i="5"/>
  <c r="C676" i="5"/>
  <c r="D676" i="5"/>
  <c r="E676" i="5"/>
  <c r="F676" i="5"/>
  <c r="G676" i="5"/>
  <c r="H676" i="5"/>
  <c r="I676" i="5"/>
  <c r="J676" i="5"/>
  <c r="K676" i="5"/>
  <c r="L676" i="5"/>
  <c r="M676" i="5"/>
  <c r="N676" i="5"/>
  <c r="O676" i="5"/>
  <c r="P676" i="5"/>
  <c r="Q676" i="5"/>
  <c r="R676" i="5"/>
  <c r="S676" i="5"/>
  <c r="T676" i="5"/>
  <c r="U676" i="5"/>
  <c r="V676" i="5"/>
  <c r="B677" i="5"/>
  <c r="C677" i="5"/>
  <c r="D677" i="5"/>
  <c r="E677" i="5"/>
  <c r="F677" i="5"/>
  <c r="G677" i="5"/>
  <c r="H677" i="5"/>
  <c r="I677" i="5"/>
  <c r="J677" i="5"/>
  <c r="K677" i="5"/>
  <c r="L677" i="5"/>
  <c r="M677" i="5"/>
  <c r="N677" i="5"/>
  <c r="O677" i="5"/>
  <c r="P677" i="5"/>
  <c r="Q677" i="5"/>
  <c r="R677" i="5"/>
  <c r="S677" i="5"/>
  <c r="T677" i="5"/>
  <c r="U677" i="5"/>
  <c r="V677" i="5"/>
  <c r="B678" i="5"/>
  <c r="C678" i="5"/>
  <c r="D678" i="5"/>
  <c r="E678" i="5"/>
  <c r="F678" i="5"/>
  <c r="G678" i="5"/>
  <c r="H678" i="5"/>
  <c r="I678" i="5"/>
  <c r="J678" i="5"/>
  <c r="K678" i="5"/>
  <c r="L678" i="5"/>
  <c r="M678" i="5"/>
  <c r="N678" i="5"/>
  <c r="O678" i="5"/>
  <c r="P678" i="5"/>
  <c r="Q678" i="5"/>
  <c r="R678" i="5"/>
  <c r="S678" i="5"/>
  <c r="T678" i="5"/>
  <c r="U678" i="5"/>
  <c r="V678" i="5"/>
  <c r="B679" i="5"/>
  <c r="C679" i="5"/>
  <c r="D679" i="5"/>
  <c r="E679" i="5"/>
  <c r="F679" i="5"/>
  <c r="G679" i="5"/>
  <c r="H679" i="5"/>
  <c r="I679" i="5"/>
  <c r="J679" i="5"/>
  <c r="K679" i="5"/>
  <c r="L679" i="5"/>
  <c r="M679" i="5"/>
  <c r="N679" i="5"/>
  <c r="O679" i="5"/>
  <c r="P679" i="5"/>
  <c r="Q679" i="5"/>
  <c r="R679" i="5"/>
  <c r="S679" i="5"/>
  <c r="T679" i="5"/>
  <c r="U679" i="5"/>
  <c r="V679" i="5"/>
  <c r="B680" i="5"/>
  <c r="C680" i="5"/>
  <c r="D680" i="5"/>
  <c r="E680" i="5"/>
  <c r="F680" i="5"/>
  <c r="G680" i="5"/>
  <c r="H680" i="5"/>
  <c r="I680" i="5"/>
  <c r="J680" i="5"/>
  <c r="K680" i="5"/>
  <c r="L680" i="5"/>
  <c r="M680" i="5"/>
  <c r="N680" i="5"/>
  <c r="O680" i="5"/>
  <c r="P680" i="5"/>
  <c r="Q680" i="5"/>
  <c r="R680" i="5"/>
  <c r="S680" i="5"/>
  <c r="T680" i="5"/>
  <c r="U680" i="5"/>
  <c r="V680" i="5"/>
  <c r="B681" i="5"/>
  <c r="C681" i="5"/>
  <c r="D681" i="5"/>
  <c r="E681" i="5"/>
  <c r="F681" i="5"/>
  <c r="G681" i="5"/>
  <c r="H681" i="5"/>
  <c r="I681" i="5"/>
  <c r="J681" i="5"/>
  <c r="K681" i="5"/>
  <c r="L681" i="5"/>
  <c r="M681" i="5"/>
  <c r="N681" i="5"/>
  <c r="O681" i="5"/>
  <c r="P681" i="5"/>
  <c r="Q681" i="5"/>
  <c r="R681" i="5"/>
  <c r="S681" i="5"/>
  <c r="T681" i="5"/>
  <c r="U681" i="5"/>
  <c r="V681" i="5"/>
  <c r="B682" i="5"/>
  <c r="C682" i="5"/>
  <c r="D682" i="5"/>
  <c r="E682" i="5"/>
  <c r="F682" i="5"/>
  <c r="G682" i="5"/>
  <c r="H682" i="5"/>
  <c r="I682" i="5"/>
  <c r="J682" i="5"/>
  <c r="K682" i="5"/>
  <c r="L682" i="5"/>
  <c r="M682" i="5"/>
  <c r="N682" i="5"/>
  <c r="O682" i="5"/>
  <c r="P682" i="5"/>
  <c r="Q682" i="5"/>
  <c r="R682" i="5"/>
  <c r="S682" i="5"/>
  <c r="T682" i="5"/>
  <c r="U682" i="5"/>
  <c r="V682" i="5"/>
  <c r="B683" i="5"/>
  <c r="C683" i="5"/>
  <c r="D683" i="5"/>
  <c r="E683" i="5"/>
  <c r="F683" i="5"/>
  <c r="G683" i="5"/>
  <c r="H683" i="5"/>
  <c r="I683" i="5"/>
  <c r="J683" i="5"/>
  <c r="K683" i="5"/>
  <c r="L683" i="5"/>
  <c r="M683" i="5"/>
  <c r="N683" i="5"/>
  <c r="O683" i="5"/>
  <c r="P683" i="5"/>
  <c r="Q683" i="5"/>
  <c r="R683" i="5"/>
  <c r="S683" i="5"/>
  <c r="T683" i="5"/>
  <c r="U683" i="5"/>
  <c r="V683" i="5"/>
  <c r="B684" i="5"/>
  <c r="C684" i="5"/>
  <c r="D684" i="5"/>
  <c r="E684" i="5"/>
  <c r="F684" i="5"/>
  <c r="G684" i="5"/>
  <c r="H684" i="5"/>
  <c r="I684" i="5"/>
  <c r="J684" i="5"/>
  <c r="K684" i="5"/>
  <c r="L684" i="5"/>
  <c r="M684" i="5"/>
  <c r="N684" i="5"/>
  <c r="O684" i="5"/>
  <c r="P684" i="5"/>
  <c r="Q684" i="5"/>
  <c r="R684" i="5"/>
  <c r="S684" i="5"/>
  <c r="T684" i="5"/>
  <c r="U684" i="5"/>
  <c r="V684" i="5"/>
  <c r="B685" i="5"/>
  <c r="C685" i="5"/>
  <c r="D685" i="5"/>
  <c r="E685" i="5"/>
  <c r="F685" i="5"/>
  <c r="G685" i="5"/>
  <c r="H685" i="5"/>
  <c r="I685" i="5"/>
  <c r="J685" i="5"/>
  <c r="K685" i="5"/>
  <c r="L685" i="5"/>
  <c r="M685" i="5"/>
  <c r="N685" i="5"/>
  <c r="O685" i="5"/>
  <c r="P685" i="5"/>
  <c r="Q685" i="5"/>
  <c r="R685" i="5"/>
  <c r="S685" i="5"/>
  <c r="T685" i="5"/>
  <c r="U685" i="5"/>
  <c r="V685" i="5"/>
  <c r="B686" i="5"/>
  <c r="C686" i="5"/>
  <c r="D686" i="5"/>
  <c r="E686" i="5"/>
  <c r="F686" i="5"/>
  <c r="G686" i="5"/>
  <c r="H686" i="5"/>
  <c r="I686" i="5"/>
  <c r="J686" i="5"/>
  <c r="K686" i="5"/>
  <c r="L686" i="5"/>
  <c r="M686" i="5"/>
  <c r="N686" i="5"/>
  <c r="O686" i="5"/>
  <c r="P686" i="5"/>
  <c r="Q686" i="5"/>
  <c r="R686" i="5"/>
  <c r="S686" i="5"/>
  <c r="T686" i="5"/>
  <c r="U686" i="5"/>
  <c r="V686" i="5"/>
  <c r="B687" i="5"/>
  <c r="C687" i="5"/>
  <c r="D687" i="5"/>
  <c r="E687" i="5"/>
  <c r="F687" i="5"/>
  <c r="G687" i="5"/>
  <c r="H687" i="5"/>
  <c r="I687" i="5"/>
  <c r="J687" i="5"/>
  <c r="K687" i="5"/>
  <c r="L687" i="5"/>
  <c r="M687" i="5"/>
  <c r="N687" i="5"/>
  <c r="O687" i="5"/>
  <c r="P687" i="5"/>
  <c r="Q687" i="5"/>
  <c r="R687" i="5"/>
  <c r="S687" i="5"/>
  <c r="T687" i="5"/>
  <c r="U687" i="5"/>
  <c r="V687" i="5"/>
  <c r="B688" i="5"/>
  <c r="C688" i="5"/>
  <c r="D688" i="5"/>
  <c r="E688" i="5"/>
  <c r="F688" i="5"/>
  <c r="G688" i="5"/>
  <c r="H688" i="5"/>
  <c r="I688" i="5"/>
  <c r="J688" i="5"/>
  <c r="K688" i="5"/>
  <c r="L688" i="5"/>
  <c r="M688" i="5"/>
  <c r="N688" i="5"/>
  <c r="O688" i="5"/>
  <c r="P688" i="5"/>
  <c r="Q688" i="5"/>
  <c r="R688" i="5"/>
  <c r="S688" i="5"/>
  <c r="T688" i="5"/>
  <c r="U688" i="5"/>
  <c r="V688" i="5"/>
  <c r="B689" i="5"/>
  <c r="C689" i="5"/>
  <c r="D689" i="5"/>
  <c r="E689" i="5"/>
  <c r="F689" i="5"/>
  <c r="G689" i="5"/>
  <c r="H689" i="5"/>
  <c r="I689" i="5"/>
  <c r="J689" i="5"/>
  <c r="K689" i="5"/>
  <c r="L689" i="5"/>
  <c r="M689" i="5"/>
  <c r="N689" i="5"/>
  <c r="O689" i="5"/>
  <c r="P689" i="5"/>
  <c r="Q689" i="5"/>
  <c r="R689" i="5"/>
  <c r="S689" i="5"/>
  <c r="T689" i="5"/>
  <c r="U689" i="5"/>
  <c r="V689" i="5"/>
  <c r="B690" i="5"/>
  <c r="C690" i="5"/>
  <c r="D690" i="5"/>
  <c r="E690" i="5"/>
  <c r="F690" i="5"/>
  <c r="G690" i="5"/>
  <c r="H690" i="5"/>
  <c r="I690" i="5"/>
  <c r="J690" i="5"/>
  <c r="K690" i="5"/>
  <c r="L690" i="5"/>
  <c r="M690" i="5"/>
  <c r="N690" i="5"/>
  <c r="O690" i="5"/>
  <c r="P690" i="5"/>
  <c r="Q690" i="5"/>
  <c r="R690" i="5"/>
  <c r="S690" i="5"/>
  <c r="T690" i="5"/>
  <c r="U690" i="5"/>
  <c r="V690" i="5"/>
  <c r="B691" i="5"/>
  <c r="C691" i="5"/>
  <c r="D691" i="5"/>
  <c r="E691" i="5"/>
  <c r="F691" i="5"/>
  <c r="G691" i="5"/>
  <c r="H691" i="5"/>
  <c r="I691" i="5"/>
  <c r="J691" i="5"/>
  <c r="K691" i="5"/>
  <c r="L691" i="5"/>
  <c r="M691" i="5"/>
  <c r="N691" i="5"/>
  <c r="O691" i="5"/>
  <c r="P691" i="5"/>
  <c r="Q691" i="5"/>
  <c r="R691" i="5"/>
  <c r="S691" i="5"/>
  <c r="T691" i="5"/>
  <c r="U691" i="5"/>
  <c r="V691" i="5"/>
  <c r="B692" i="5"/>
  <c r="C692" i="5"/>
  <c r="D692" i="5"/>
  <c r="E692" i="5"/>
  <c r="F692" i="5"/>
  <c r="G692" i="5"/>
  <c r="H692" i="5"/>
  <c r="I692" i="5"/>
  <c r="J692" i="5"/>
  <c r="K692" i="5"/>
  <c r="L692" i="5"/>
  <c r="M692" i="5"/>
  <c r="N692" i="5"/>
  <c r="O692" i="5"/>
  <c r="P692" i="5"/>
  <c r="Q692" i="5"/>
  <c r="R692" i="5"/>
  <c r="S692" i="5"/>
  <c r="T692" i="5"/>
  <c r="U692" i="5"/>
  <c r="V692" i="5"/>
  <c r="B693" i="5"/>
  <c r="C693" i="5"/>
  <c r="D693" i="5"/>
  <c r="E693" i="5"/>
  <c r="F693" i="5"/>
  <c r="G693" i="5"/>
  <c r="H693" i="5"/>
  <c r="I693" i="5"/>
  <c r="J693" i="5"/>
  <c r="K693" i="5"/>
  <c r="L693" i="5"/>
  <c r="M693" i="5"/>
  <c r="N693" i="5"/>
  <c r="O693" i="5"/>
  <c r="P693" i="5"/>
  <c r="Q693" i="5"/>
  <c r="R693" i="5"/>
  <c r="S693" i="5"/>
  <c r="T693" i="5"/>
  <c r="U693" i="5"/>
  <c r="V693" i="5"/>
  <c r="B694" i="5"/>
  <c r="C694" i="5"/>
  <c r="D694" i="5"/>
  <c r="E694" i="5"/>
  <c r="F694" i="5"/>
  <c r="G694" i="5"/>
  <c r="H694" i="5"/>
  <c r="I694" i="5"/>
  <c r="J694" i="5"/>
  <c r="K694" i="5"/>
  <c r="L694" i="5"/>
  <c r="M694" i="5"/>
  <c r="N694" i="5"/>
  <c r="O694" i="5"/>
  <c r="P694" i="5"/>
  <c r="Q694" i="5"/>
  <c r="R694" i="5"/>
  <c r="S694" i="5"/>
  <c r="T694" i="5"/>
  <c r="U694" i="5"/>
  <c r="V694" i="5"/>
  <c r="B695" i="5"/>
  <c r="C695" i="5"/>
  <c r="D695" i="5"/>
  <c r="E695" i="5"/>
  <c r="F695" i="5"/>
  <c r="G695" i="5"/>
  <c r="H695" i="5"/>
  <c r="I695" i="5"/>
  <c r="J695" i="5"/>
  <c r="K695" i="5"/>
  <c r="L695" i="5"/>
  <c r="M695" i="5"/>
  <c r="N695" i="5"/>
  <c r="O695" i="5"/>
  <c r="P695" i="5"/>
  <c r="Q695" i="5"/>
  <c r="R695" i="5"/>
  <c r="S695" i="5"/>
  <c r="T695" i="5"/>
  <c r="U695" i="5"/>
  <c r="V695" i="5"/>
  <c r="B696" i="5"/>
  <c r="C696" i="5"/>
  <c r="D696" i="5"/>
  <c r="E696" i="5"/>
  <c r="F696" i="5"/>
  <c r="G696" i="5"/>
  <c r="H696" i="5"/>
  <c r="I696" i="5"/>
  <c r="J696" i="5"/>
  <c r="K696" i="5"/>
  <c r="L696" i="5"/>
  <c r="M696" i="5"/>
  <c r="N696" i="5"/>
  <c r="O696" i="5"/>
  <c r="P696" i="5"/>
  <c r="Q696" i="5"/>
  <c r="R696" i="5"/>
  <c r="S696" i="5"/>
  <c r="T696" i="5"/>
  <c r="U696" i="5"/>
  <c r="V696" i="5"/>
  <c r="B697" i="5"/>
  <c r="C697" i="5"/>
  <c r="D697" i="5"/>
  <c r="E697" i="5"/>
  <c r="F697" i="5"/>
  <c r="G697" i="5"/>
  <c r="H697" i="5"/>
  <c r="I697" i="5"/>
  <c r="J697" i="5"/>
  <c r="K697" i="5"/>
  <c r="L697" i="5"/>
  <c r="M697" i="5"/>
  <c r="N697" i="5"/>
  <c r="O697" i="5"/>
  <c r="P697" i="5"/>
  <c r="Q697" i="5"/>
  <c r="R697" i="5"/>
  <c r="S697" i="5"/>
  <c r="T697" i="5"/>
  <c r="U697" i="5"/>
  <c r="V697" i="5"/>
  <c r="B698" i="5"/>
  <c r="C698" i="5"/>
  <c r="D698" i="5"/>
  <c r="E698" i="5"/>
  <c r="F698" i="5"/>
  <c r="G698" i="5"/>
  <c r="H698" i="5"/>
  <c r="I698" i="5"/>
  <c r="J698" i="5"/>
  <c r="K698" i="5"/>
  <c r="L698" i="5"/>
  <c r="M698" i="5"/>
  <c r="N698" i="5"/>
  <c r="O698" i="5"/>
  <c r="P698" i="5"/>
  <c r="Q698" i="5"/>
  <c r="R698" i="5"/>
  <c r="S698" i="5"/>
  <c r="T698" i="5"/>
  <c r="U698" i="5"/>
  <c r="V698" i="5"/>
  <c r="B699" i="5"/>
  <c r="C699" i="5"/>
  <c r="D699" i="5"/>
  <c r="E699" i="5"/>
  <c r="F699" i="5"/>
  <c r="G699" i="5"/>
  <c r="H699" i="5"/>
  <c r="I699" i="5"/>
  <c r="J699" i="5"/>
  <c r="K699" i="5"/>
  <c r="L699" i="5"/>
  <c r="M699" i="5"/>
  <c r="N699" i="5"/>
  <c r="O699" i="5"/>
  <c r="P699" i="5"/>
  <c r="Q699" i="5"/>
  <c r="R699" i="5"/>
  <c r="S699" i="5"/>
  <c r="T699" i="5"/>
  <c r="U699" i="5"/>
  <c r="V699" i="5"/>
  <c r="B700" i="5"/>
  <c r="C700" i="5"/>
  <c r="D700" i="5"/>
  <c r="E700" i="5"/>
  <c r="F700" i="5"/>
  <c r="G700" i="5"/>
  <c r="H700" i="5"/>
  <c r="I700" i="5"/>
  <c r="J700" i="5"/>
  <c r="K700" i="5"/>
  <c r="L700" i="5"/>
  <c r="M700" i="5"/>
  <c r="N700" i="5"/>
  <c r="O700" i="5"/>
  <c r="P700" i="5"/>
  <c r="Q700" i="5"/>
  <c r="R700" i="5"/>
  <c r="S700" i="5"/>
  <c r="T700" i="5"/>
  <c r="U700" i="5"/>
  <c r="V700" i="5"/>
  <c r="B701" i="5"/>
  <c r="C701" i="5"/>
  <c r="D701" i="5"/>
  <c r="E701" i="5"/>
  <c r="F701" i="5"/>
  <c r="G701" i="5"/>
  <c r="H701" i="5"/>
  <c r="I701" i="5"/>
  <c r="J701" i="5"/>
  <c r="K701" i="5"/>
  <c r="L701" i="5"/>
  <c r="M701" i="5"/>
  <c r="N701" i="5"/>
  <c r="O701" i="5"/>
  <c r="P701" i="5"/>
  <c r="Q701" i="5"/>
  <c r="R701" i="5"/>
  <c r="S701" i="5"/>
  <c r="T701" i="5"/>
  <c r="U701" i="5"/>
  <c r="V701" i="5"/>
  <c r="B702" i="5"/>
  <c r="C702" i="5"/>
  <c r="D702" i="5"/>
  <c r="E702" i="5"/>
  <c r="F702" i="5"/>
  <c r="G702" i="5"/>
  <c r="H702" i="5"/>
  <c r="I702" i="5"/>
  <c r="J702" i="5"/>
  <c r="K702" i="5"/>
  <c r="L702" i="5"/>
  <c r="M702" i="5"/>
  <c r="N702" i="5"/>
  <c r="O702" i="5"/>
  <c r="P702" i="5"/>
  <c r="Q702" i="5"/>
  <c r="R702" i="5"/>
  <c r="S702" i="5"/>
  <c r="T702" i="5"/>
  <c r="U702" i="5"/>
  <c r="V702" i="5"/>
  <c r="B703" i="5"/>
  <c r="C703" i="5"/>
  <c r="D703" i="5"/>
  <c r="E703" i="5"/>
  <c r="F703" i="5"/>
  <c r="G703" i="5"/>
  <c r="H703" i="5"/>
  <c r="I703" i="5"/>
  <c r="J703" i="5"/>
  <c r="K703" i="5"/>
  <c r="L703" i="5"/>
  <c r="M703" i="5"/>
  <c r="N703" i="5"/>
  <c r="O703" i="5"/>
  <c r="P703" i="5"/>
  <c r="Q703" i="5"/>
  <c r="R703" i="5"/>
  <c r="S703" i="5"/>
  <c r="T703" i="5"/>
  <c r="U703" i="5"/>
  <c r="V703" i="5"/>
  <c r="B704" i="5"/>
  <c r="C704" i="5"/>
  <c r="D704" i="5"/>
  <c r="E704" i="5"/>
  <c r="F704" i="5"/>
  <c r="G704" i="5"/>
  <c r="H704" i="5"/>
  <c r="I704" i="5"/>
  <c r="J704" i="5"/>
  <c r="K704" i="5"/>
  <c r="L704" i="5"/>
  <c r="M704" i="5"/>
  <c r="N704" i="5"/>
  <c r="O704" i="5"/>
  <c r="P704" i="5"/>
  <c r="Q704" i="5"/>
  <c r="R704" i="5"/>
  <c r="S704" i="5"/>
  <c r="T704" i="5"/>
  <c r="U704" i="5"/>
  <c r="V704" i="5"/>
  <c r="B705" i="5"/>
  <c r="C705" i="5"/>
  <c r="D705" i="5"/>
  <c r="E705" i="5"/>
  <c r="F705" i="5"/>
  <c r="G705" i="5"/>
  <c r="H705" i="5"/>
  <c r="I705" i="5"/>
  <c r="J705" i="5"/>
  <c r="K705" i="5"/>
  <c r="L705" i="5"/>
  <c r="M705" i="5"/>
  <c r="N705" i="5"/>
  <c r="O705" i="5"/>
  <c r="P705" i="5"/>
  <c r="Q705" i="5"/>
  <c r="R705" i="5"/>
  <c r="S705" i="5"/>
  <c r="T705" i="5"/>
  <c r="U705" i="5"/>
  <c r="V705" i="5"/>
  <c r="B706" i="5"/>
  <c r="C706" i="5"/>
  <c r="D706" i="5"/>
  <c r="E706" i="5"/>
  <c r="F706" i="5"/>
  <c r="G706" i="5"/>
  <c r="H706" i="5"/>
  <c r="I706" i="5"/>
  <c r="J706" i="5"/>
  <c r="K706" i="5"/>
  <c r="L706" i="5"/>
  <c r="M706" i="5"/>
  <c r="N706" i="5"/>
  <c r="O706" i="5"/>
  <c r="P706" i="5"/>
  <c r="Q706" i="5"/>
  <c r="R706" i="5"/>
  <c r="S706" i="5"/>
  <c r="T706" i="5"/>
  <c r="U706" i="5"/>
  <c r="V706" i="5"/>
  <c r="B707" i="5"/>
  <c r="C707" i="5"/>
  <c r="D707" i="5"/>
  <c r="E707" i="5"/>
  <c r="F707" i="5"/>
  <c r="G707" i="5"/>
  <c r="H707" i="5"/>
  <c r="I707" i="5"/>
  <c r="J707" i="5"/>
  <c r="K707" i="5"/>
  <c r="L707" i="5"/>
  <c r="M707" i="5"/>
  <c r="N707" i="5"/>
  <c r="O707" i="5"/>
  <c r="P707" i="5"/>
  <c r="Q707" i="5"/>
  <c r="R707" i="5"/>
  <c r="S707" i="5"/>
  <c r="T707" i="5"/>
  <c r="U707" i="5"/>
  <c r="V707" i="5"/>
  <c r="B708" i="5"/>
  <c r="C708" i="5"/>
  <c r="D708" i="5"/>
  <c r="E708" i="5"/>
  <c r="F708" i="5"/>
  <c r="G708" i="5"/>
  <c r="H708" i="5"/>
  <c r="I708" i="5"/>
  <c r="J708" i="5"/>
  <c r="K708" i="5"/>
  <c r="L708" i="5"/>
  <c r="M708" i="5"/>
  <c r="N708" i="5"/>
  <c r="O708" i="5"/>
  <c r="P708" i="5"/>
  <c r="Q708" i="5"/>
  <c r="R708" i="5"/>
  <c r="S708" i="5"/>
  <c r="T708" i="5"/>
  <c r="U708" i="5"/>
  <c r="V708" i="5"/>
  <c r="B709" i="5"/>
  <c r="C709" i="5"/>
  <c r="D709" i="5"/>
  <c r="E709" i="5"/>
  <c r="F709" i="5"/>
  <c r="G709" i="5"/>
  <c r="H709" i="5"/>
  <c r="I709" i="5"/>
  <c r="J709" i="5"/>
  <c r="K709" i="5"/>
  <c r="L709" i="5"/>
  <c r="M709" i="5"/>
  <c r="N709" i="5"/>
  <c r="O709" i="5"/>
  <c r="P709" i="5"/>
  <c r="Q709" i="5"/>
  <c r="R709" i="5"/>
  <c r="S709" i="5"/>
  <c r="T709" i="5"/>
  <c r="U709" i="5"/>
  <c r="V709" i="5"/>
  <c r="B710" i="5"/>
  <c r="C710" i="5"/>
  <c r="D710" i="5"/>
  <c r="E710" i="5"/>
  <c r="F710" i="5"/>
  <c r="G710" i="5"/>
  <c r="H710" i="5"/>
  <c r="I710" i="5"/>
  <c r="J710" i="5"/>
  <c r="K710" i="5"/>
  <c r="L710" i="5"/>
  <c r="M710" i="5"/>
  <c r="N710" i="5"/>
  <c r="O710" i="5"/>
  <c r="P710" i="5"/>
  <c r="Q710" i="5"/>
  <c r="R710" i="5"/>
  <c r="S710" i="5"/>
  <c r="T710" i="5"/>
  <c r="U710" i="5"/>
  <c r="V710" i="5"/>
  <c r="B711" i="5"/>
  <c r="C711" i="5"/>
  <c r="D711" i="5"/>
  <c r="E711" i="5"/>
  <c r="F711" i="5"/>
  <c r="G711" i="5"/>
  <c r="H711" i="5"/>
  <c r="I711" i="5"/>
  <c r="J711" i="5"/>
  <c r="K711" i="5"/>
  <c r="L711" i="5"/>
  <c r="M711" i="5"/>
  <c r="N711" i="5"/>
  <c r="O711" i="5"/>
  <c r="P711" i="5"/>
  <c r="Q711" i="5"/>
  <c r="R711" i="5"/>
  <c r="S711" i="5"/>
  <c r="T711" i="5"/>
  <c r="U711" i="5"/>
  <c r="V711" i="5"/>
  <c r="B712" i="5"/>
  <c r="C712" i="5"/>
  <c r="D712" i="5"/>
  <c r="E712" i="5"/>
  <c r="F712" i="5"/>
  <c r="G712" i="5"/>
  <c r="H712" i="5"/>
  <c r="I712" i="5"/>
  <c r="J712" i="5"/>
  <c r="K712" i="5"/>
  <c r="L712" i="5"/>
  <c r="M712" i="5"/>
  <c r="N712" i="5"/>
  <c r="O712" i="5"/>
  <c r="P712" i="5"/>
  <c r="Q712" i="5"/>
  <c r="R712" i="5"/>
  <c r="S712" i="5"/>
  <c r="T712" i="5"/>
  <c r="U712" i="5"/>
  <c r="V712" i="5"/>
  <c r="B713" i="5"/>
  <c r="C713" i="5"/>
  <c r="D713" i="5"/>
  <c r="E713" i="5"/>
  <c r="F713" i="5"/>
  <c r="G713" i="5"/>
  <c r="H713" i="5"/>
  <c r="I713" i="5"/>
  <c r="J713" i="5"/>
  <c r="K713" i="5"/>
  <c r="L713" i="5"/>
  <c r="M713" i="5"/>
  <c r="N713" i="5"/>
  <c r="O713" i="5"/>
  <c r="P713" i="5"/>
  <c r="Q713" i="5"/>
  <c r="R713" i="5"/>
  <c r="S713" i="5"/>
  <c r="T713" i="5"/>
  <c r="U713" i="5"/>
  <c r="V713" i="5"/>
  <c r="B714" i="5"/>
  <c r="C714" i="5"/>
  <c r="D714" i="5"/>
  <c r="E714" i="5"/>
  <c r="F714" i="5"/>
  <c r="G714" i="5"/>
  <c r="H714" i="5"/>
  <c r="I714" i="5"/>
  <c r="J714" i="5"/>
  <c r="K714" i="5"/>
  <c r="L714" i="5"/>
  <c r="M714" i="5"/>
  <c r="N714" i="5"/>
  <c r="O714" i="5"/>
  <c r="P714" i="5"/>
  <c r="Q714" i="5"/>
  <c r="R714" i="5"/>
  <c r="S714" i="5"/>
  <c r="T714" i="5"/>
  <c r="U714" i="5"/>
  <c r="V714" i="5"/>
  <c r="B715" i="5"/>
  <c r="C715" i="5"/>
  <c r="D715" i="5"/>
  <c r="E715" i="5"/>
  <c r="F715" i="5"/>
  <c r="G715" i="5"/>
  <c r="H715" i="5"/>
  <c r="I715" i="5"/>
  <c r="J715" i="5"/>
  <c r="K715" i="5"/>
  <c r="L715" i="5"/>
  <c r="M715" i="5"/>
  <c r="N715" i="5"/>
  <c r="O715" i="5"/>
  <c r="P715" i="5"/>
  <c r="Q715" i="5"/>
  <c r="R715" i="5"/>
  <c r="S715" i="5"/>
  <c r="T715" i="5"/>
  <c r="U715" i="5"/>
  <c r="V715" i="5"/>
  <c r="B716" i="5"/>
  <c r="C716" i="5"/>
  <c r="D716" i="5"/>
  <c r="E716" i="5"/>
  <c r="F716" i="5"/>
  <c r="G716" i="5"/>
  <c r="H716" i="5"/>
  <c r="I716" i="5"/>
  <c r="J716" i="5"/>
  <c r="K716" i="5"/>
  <c r="L716" i="5"/>
  <c r="M716" i="5"/>
  <c r="N716" i="5"/>
  <c r="O716" i="5"/>
  <c r="P716" i="5"/>
  <c r="Q716" i="5"/>
  <c r="R716" i="5"/>
  <c r="S716" i="5"/>
  <c r="T716" i="5"/>
  <c r="U716" i="5"/>
  <c r="V716" i="5"/>
  <c r="B717" i="5"/>
  <c r="C717" i="5"/>
  <c r="D717" i="5"/>
  <c r="E717" i="5"/>
  <c r="F717" i="5"/>
  <c r="G717" i="5"/>
  <c r="H717" i="5"/>
  <c r="I717" i="5"/>
  <c r="J717" i="5"/>
  <c r="K717" i="5"/>
  <c r="L717" i="5"/>
  <c r="M717" i="5"/>
  <c r="N717" i="5"/>
  <c r="O717" i="5"/>
  <c r="P717" i="5"/>
  <c r="Q717" i="5"/>
  <c r="R717" i="5"/>
  <c r="S717" i="5"/>
  <c r="T717" i="5"/>
  <c r="U717" i="5"/>
  <c r="V717" i="5"/>
  <c r="B718" i="5"/>
  <c r="C718" i="5"/>
  <c r="D718" i="5"/>
  <c r="E718" i="5"/>
  <c r="F718" i="5"/>
  <c r="G718" i="5"/>
  <c r="H718" i="5"/>
  <c r="I718" i="5"/>
  <c r="J718" i="5"/>
  <c r="K718" i="5"/>
  <c r="L718" i="5"/>
  <c r="M718" i="5"/>
  <c r="N718" i="5"/>
  <c r="O718" i="5"/>
  <c r="P718" i="5"/>
  <c r="Q718" i="5"/>
  <c r="R718" i="5"/>
  <c r="S718" i="5"/>
  <c r="T718" i="5"/>
  <c r="U718" i="5"/>
  <c r="V718" i="5"/>
  <c r="B719" i="5"/>
  <c r="C719" i="5"/>
  <c r="D719" i="5"/>
  <c r="E719" i="5"/>
  <c r="F719" i="5"/>
  <c r="G719" i="5"/>
  <c r="H719" i="5"/>
  <c r="I719" i="5"/>
  <c r="J719" i="5"/>
  <c r="K719" i="5"/>
  <c r="L719" i="5"/>
  <c r="M719" i="5"/>
  <c r="N719" i="5"/>
  <c r="O719" i="5"/>
  <c r="P719" i="5"/>
  <c r="Q719" i="5"/>
  <c r="R719" i="5"/>
  <c r="S719" i="5"/>
  <c r="T719" i="5"/>
  <c r="U719" i="5"/>
  <c r="V719" i="5"/>
  <c r="B720" i="5"/>
  <c r="C720" i="5"/>
  <c r="D720" i="5"/>
  <c r="E720" i="5"/>
  <c r="F720" i="5"/>
  <c r="G720" i="5"/>
  <c r="H720" i="5"/>
  <c r="I720" i="5"/>
  <c r="J720" i="5"/>
  <c r="K720" i="5"/>
  <c r="L720" i="5"/>
  <c r="M720" i="5"/>
  <c r="N720" i="5"/>
  <c r="O720" i="5"/>
  <c r="P720" i="5"/>
  <c r="Q720" i="5"/>
  <c r="R720" i="5"/>
  <c r="S720" i="5"/>
  <c r="T720" i="5"/>
  <c r="U720" i="5"/>
  <c r="V720" i="5"/>
  <c r="B721" i="5"/>
  <c r="C721" i="5"/>
  <c r="D721" i="5"/>
  <c r="E721" i="5"/>
  <c r="F721" i="5"/>
  <c r="G721" i="5"/>
  <c r="H721" i="5"/>
  <c r="I721" i="5"/>
  <c r="J721" i="5"/>
  <c r="K721" i="5"/>
  <c r="L721" i="5"/>
  <c r="M721" i="5"/>
  <c r="N721" i="5"/>
  <c r="O721" i="5"/>
  <c r="P721" i="5"/>
  <c r="Q721" i="5"/>
  <c r="R721" i="5"/>
  <c r="S721" i="5"/>
  <c r="T721" i="5"/>
  <c r="U721" i="5"/>
  <c r="V721" i="5"/>
  <c r="B722" i="5"/>
  <c r="C722" i="5"/>
  <c r="D722" i="5"/>
  <c r="E722" i="5"/>
  <c r="F722" i="5"/>
  <c r="G722" i="5"/>
  <c r="H722" i="5"/>
  <c r="I722" i="5"/>
  <c r="J722" i="5"/>
  <c r="K722" i="5"/>
  <c r="L722" i="5"/>
  <c r="M722" i="5"/>
  <c r="N722" i="5"/>
  <c r="O722" i="5"/>
  <c r="P722" i="5"/>
  <c r="Q722" i="5"/>
  <c r="R722" i="5"/>
  <c r="S722" i="5"/>
  <c r="T722" i="5"/>
  <c r="U722" i="5"/>
  <c r="V722" i="5"/>
  <c r="B723" i="5"/>
  <c r="C723" i="5"/>
  <c r="D723" i="5"/>
  <c r="E723" i="5"/>
  <c r="F723" i="5"/>
  <c r="G723" i="5"/>
  <c r="H723" i="5"/>
  <c r="I723" i="5"/>
  <c r="J723" i="5"/>
  <c r="K723" i="5"/>
  <c r="L723" i="5"/>
  <c r="M723" i="5"/>
  <c r="N723" i="5"/>
  <c r="O723" i="5"/>
  <c r="P723" i="5"/>
  <c r="Q723" i="5"/>
  <c r="R723" i="5"/>
  <c r="S723" i="5"/>
  <c r="T723" i="5"/>
  <c r="U723" i="5"/>
  <c r="V723" i="5"/>
  <c r="B724" i="5"/>
  <c r="C724" i="5"/>
  <c r="D724" i="5"/>
  <c r="E724" i="5"/>
  <c r="F724" i="5"/>
  <c r="G724" i="5"/>
  <c r="H724" i="5"/>
  <c r="I724" i="5"/>
  <c r="J724" i="5"/>
  <c r="K724" i="5"/>
  <c r="L724" i="5"/>
  <c r="M724" i="5"/>
  <c r="N724" i="5"/>
  <c r="O724" i="5"/>
  <c r="P724" i="5"/>
  <c r="Q724" i="5"/>
  <c r="R724" i="5"/>
  <c r="S724" i="5"/>
  <c r="T724" i="5"/>
  <c r="U724" i="5"/>
  <c r="V724" i="5"/>
  <c r="B725" i="5"/>
  <c r="C725" i="5"/>
  <c r="D725" i="5"/>
  <c r="E725" i="5"/>
  <c r="F725" i="5"/>
  <c r="G725" i="5"/>
  <c r="H725" i="5"/>
  <c r="I725" i="5"/>
  <c r="J725" i="5"/>
  <c r="K725" i="5"/>
  <c r="L725" i="5"/>
  <c r="M725" i="5"/>
  <c r="N725" i="5"/>
  <c r="O725" i="5"/>
  <c r="P725" i="5"/>
  <c r="Q725" i="5"/>
  <c r="R725" i="5"/>
  <c r="S725" i="5"/>
  <c r="T725" i="5"/>
  <c r="U725" i="5"/>
  <c r="V725" i="5"/>
  <c r="B726" i="5"/>
  <c r="C726" i="5"/>
  <c r="D726" i="5"/>
  <c r="E726" i="5"/>
  <c r="F726" i="5"/>
  <c r="G726" i="5"/>
  <c r="H726" i="5"/>
  <c r="I726" i="5"/>
  <c r="J726" i="5"/>
  <c r="K726" i="5"/>
  <c r="L726" i="5"/>
  <c r="M726" i="5"/>
  <c r="N726" i="5"/>
  <c r="O726" i="5"/>
  <c r="P726" i="5"/>
  <c r="Q726" i="5"/>
  <c r="R726" i="5"/>
  <c r="S726" i="5"/>
  <c r="T726" i="5"/>
  <c r="U726" i="5"/>
  <c r="V726" i="5"/>
  <c r="B727" i="5"/>
  <c r="C727" i="5"/>
  <c r="D727" i="5"/>
  <c r="E727" i="5"/>
  <c r="F727" i="5"/>
  <c r="G727" i="5"/>
  <c r="H727" i="5"/>
  <c r="I727" i="5"/>
  <c r="J727" i="5"/>
  <c r="K727" i="5"/>
  <c r="L727" i="5"/>
  <c r="M727" i="5"/>
  <c r="N727" i="5"/>
  <c r="O727" i="5"/>
  <c r="P727" i="5"/>
  <c r="Q727" i="5"/>
  <c r="R727" i="5"/>
  <c r="S727" i="5"/>
  <c r="T727" i="5"/>
  <c r="U727" i="5"/>
  <c r="V727" i="5"/>
  <c r="B728" i="5"/>
  <c r="C728" i="5"/>
  <c r="D728" i="5"/>
  <c r="E728" i="5"/>
  <c r="F728" i="5"/>
  <c r="G728" i="5"/>
  <c r="H728" i="5"/>
  <c r="I728" i="5"/>
  <c r="J728" i="5"/>
  <c r="K728" i="5"/>
  <c r="L728" i="5"/>
  <c r="M728" i="5"/>
  <c r="N728" i="5"/>
  <c r="O728" i="5"/>
  <c r="P728" i="5"/>
  <c r="Q728" i="5"/>
  <c r="R728" i="5"/>
  <c r="S728" i="5"/>
  <c r="T728" i="5"/>
  <c r="U728" i="5"/>
  <c r="V728" i="5"/>
  <c r="B729" i="5"/>
  <c r="C729" i="5"/>
  <c r="D729" i="5"/>
  <c r="E729" i="5"/>
  <c r="F729" i="5"/>
  <c r="G729" i="5"/>
  <c r="H729" i="5"/>
  <c r="I729" i="5"/>
  <c r="J729" i="5"/>
  <c r="K729" i="5"/>
  <c r="L729" i="5"/>
  <c r="M729" i="5"/>
  <c r="N729" i="5"/>
  <c r="O729" i="5"/>
  <c r="P729" i="5"/>
  <c r="Q729" i="5"/>
  <c r="R729" i="5"/>
  <c r="S729" i="5"/>
  <c r="T729" i="5"/>
  <c r="U729" i="5"/>
  <c r="V729" i="5"/>
  <c r="B730" i="5"/>
  <c r="C730" i="5"/>
  <c r="D730" i="5"/>
  <c r="E730" i="5"/>
  <c r="F730" i="5"/>
  <c r="G730" i="5"/>
  <c r="H730" i="5"/>
  <c r="I730" i="5"/>
  <c r="J730" i="5"/>
  <c r="K730" i="5"/>
  <c r="L730" i="5"/>
  <c r="M730" i="5"/>
  <c r="N730" i="5"/>
  <c r="O730" i="5"/>
  <c r="P730" i="5"/>
  <c r="Q730" i="5"/>
  <c r="R730" i="5"/>
  <c r="S730" i="5"/>
  <c r="T730" i="5"/>
  <c r="U730" i="5"/>
  <c r="V730" i="5"/>
  <c r="B731" i="5"/>
  <c r="C731" i="5"/>
  <c r="D731" i="5"/>
  <c r="E731" i="5"/>
  <c r="F731" i="5"/>
  <c r="G731" i="5"/>
  <c r="H731" i="5"/>
  <c r="I731" i="5"/>
  <c r="J731" i="5"/>
  <c r="K731" i="5"/>
  <c r="L731" i="5"/>
  <c r="M731" i="5"/>
  <c r="N731" i="5"/>
  <c r="O731" i="5"/>
  <c r="P731" i="5"/>
  <c r="Q731" i="5"/>
  <c r="R731" i="5"/>
  <c r="S731" i="5"/>
  <c r="T731" i="5"/>
  <c r="U731" i="5"/>
  <c r="V731" i="5"/>
  <c r="B732" i="5"/>
  <c r="C732" i="5"/>
  <c r="D732" i="5"/>
  <c r="E732" i="5"/>
  <c r="F732" i="5"/>
  <c r="G732" i="5"/>
  <c r="H732" i="5"/>
  <c r="I732" i="5"/>
  <c r="J732" i="5"/>
  <c r="K732" i="5"/>
  <c r="L732" i="5"/>
  <c r="M732" i="5"/>
  <c r="N732" i="5"/>
  <c r="O732" i="5"/>
  <c r="P732" i="5"/>
  <c r="Q732" i="5"/>
  <c r="R732" i="5"/>
  <c r="S732" i="5"/>
  <c r="T732" i="5"/>
  <c r="U732" i="5"/>
  <c r="V732" i="5"/>
  <c r="B733" i="5"/>
  <c r="C733" i="5"/>
  <c r="D733" i="5"/>
  <c r="E733" i="5"/>
  <c r="F733" i="5"/>
  <c r="G733" i="5"/>
  <c r="H733" i="5"/>
  <c r="I733" i="5"/>
  <c r="J733" i="5"/>
  <c r="K733" i="5"/>
  <c r="L733" i="5"/>
  <c r="M733" i="5"/>
  <c r="N733" i="5"/>
  <c r="O733" i="5"/>
  <c r="P733" i="5"/>
  <c r="Q733" i="5"/>
  <c r="R733" i="5"/>
  <c r="S733" i="5"/>
  <c r="T733" i="5"/>
  <c r="U733" i="5"/>
  <c r="V733" i="5"/>
  <c r="B734" i="5"/>
  <c r="C734" i="5"/>
  <c r="D734" i="5"/>
  <c r="E734" i="5"/>
  <c r="F734" i="5"/>
  <c r="G734" i="5"/>
  <c r="H734" i="5"/>
  <c r="I734" i="5"/>
  <c r="J734" i="5"/>
  <c r="K734" i="5"/>
  <c r="L734" i="5"/>
  <c r="M734" i="5"/>
  <c r="N734" i="5"/>
  <c r="O734" i="5"/>
  <c r="P734" i="5"/>
  <c r="Q734" i="5"/>
  <c r="R734" i="5"/>
  <c r="S734" i="5"/>
  <c r="T734" i="5"/>
  <c r="U734" i="5"/>
  <c r="V734" i="5"/>
  <c r="B735" i="5"/>
  <c r="C735" i="5"/>
  <c r="D735" i="5"/>
  <c r="E735" i="5"/>
  <c r="F735" i="5"/>
  <c r="G735" i="5"/>
  <c r="H735" i="5"/>
  <c r="I735" i="5"/>
  <c r="J735" i="5"/>
  <c r="K735" i="5"/>
  <c r="L735" i="5"/>
  <c r="M735" i="5"/>
  <c r="N735" i="5"/>
  <c r="O735" i="5"/>
  <c r="P735" i="5"/>
  <c r="Q735" i="5"/>
  <c r="R735" i="5"/>
  <c r="S735" i="5"/>
  <c r="T735" i="5"/>
  <c r="U735" i="5"/>
  <c r="V735" i="5"/>
  <c r="B736" i="5"/>
  <c r="C736" i="5"/>
  <c r="D736" i="5"/>
  <c r="E736" i="5"/>
  <c r="F736" i="5"/>
  <c r="G736" i="5"/>
  <c r="H736" i="5"/>
  <c r="I736" i="5"/>
  <c r="J736" i="5"/>
  <c r="K736" i="5"/>
  <c r="L736" i="5"/>
  <c r="M736" i="5"/>
  <c r="N736" i="5"/>
  <c r="O736" i="5"/>
  <c r="P736" i="5"/>
  <c r="Q736" i="5"/>
  <c r="R736" i="5"/>
  <c r="S736" i="5"/>
  <c r="T736" i="5"/>
  <c r="U736" i="5"/>
  <c r="V736" i="5"/>
  <c r="B737" i="5"/>
  <c r="C737" i="5"/>
  <c r="D737" i="5"/>
  <c r="E737" i="5"/>
  <c r="F737" i="5"/>
  <c r="G737" i="5"/>
  <c r="H737" i="5"/>
  <c r="I737" i="5"/>
  <c r="J737" i="5"/>
  <c r="K737" i="5"/>
  <c r="L737" i="5"/>
  <c r="M737" i="5"/>
  <c r="N737" i="5"/>
  <c r="O737" i="5"/>
  <c r="P737" i="5"/>
  <c r="Q737" i="5"/>
  <c r="R737" i="5"/>
  <c r="S737" i="5"/>
  <c r="T737" i="5"/>
  <c r="U737" i="5"/>
  <c r="V737" i="5"/>
  <c r="B738" i="5"/>
  <c r="C738" i="5"/>
  <c r="D738" i="5"/>
  <c r="E738" i="5"/>
  <c r="F738" i="5"/>
  <c r="G738" i="5"/>
  <c r="H738" i="5"/>
  <c r="I738" i="5"/>
  <c r="J738" i="5"/>
  <c r="K738" i="5"/>
  <c r="L738" i="5"/>
  <c r="M738" i="5"/>
  <c r="N738" i="5"/>
  <c r="O738" i="5"/>
  <c r="P738" i="5"/>
  <c r="Q738" i="5"/>
  <c r="R738" i="5"/>
  <c r="S738" i="5"/>
  <c r="T738" i="5"/>
  <c r="U738" i="5"/>
  <c r="V738" i="5"/>
  <c r="B739" i="5"/>
  <c r="C739" i="5"/>
  <c r="D739" i="5"/>
  <c r="E739" i="5"/>
  <c r="F739" i="5"/>
  <c r="G739" i="5"/>
  <c r="H739" i="5"/>
  <c r="I739" i="5"/>
  <c r="J739" i="5"/>
  <c r="K739" i="5"/>
  <c r="L739" i="5"/>
  <c r="M739" i="5"/>
  <c r="N739" i="5"/>
  <c r="O739" i="5"/>
  <c r="P739" i="5"/>
  <c r="Q739" i="5"/>
  <c r="R739" i="5"/>
  <c r="S739" i="5"/>
  <c r="T739" i="5"/>
  <c r="U739" i="5"/>
  <c r="V739" i="5"/>
  <c r="B740" i="5"/>
  <c r="C740" i="5"/>
  <c r="D740" i="5"/>
  <c r="E740" i="5"/>
  <c r="F740" i="5"/>
  <c r="G740" i="5"/>
  <c r="H740" i="5"/>
  <c r="I740" i="5"/>
  <c r="J740" i="5"/>
  <c r="K740" i="5"/>
  <c r="L740" i="5"/>
  <c r="M740" i="5"/>
  <c r="N740" i="5"/>
  <c r="O740" i="5"/>
  <c r="P740" i="5"/>
  <c r="Q740" i="5"/>
  <c r="R740" i="5"/>
  <c r="S740" i="5"/>
  <c r="T740" i="5"/>
  <c r="U740" i="5"/>
  <c r="V740" i="5"/>
  <c r="B741" i="5"/>
  <c r="C741" i="5"/>
  <c r="D741" i="5"/>
  <c r="E741" i="5"/>
  <c r="F741" i="5"/>
  <c r="G741" i="5"/>
  <c r="H741" i="5"/>
  <c r="I741" i="5"/>
  <c r="J741" i="5"/>
  <c r="K741" i="5"/>
  <c r="L741" i="5"/>
  <c r="M741" i="5"/>
  <c r="N741" i="5"/>
  <c r="O741" i="5"/>
  <c r="P741" i="5"/>
  <c r="Q741" i="5"/>
  <c r="R741" i="5"/>
  <c r="S741" i="5"/>
  <c r="T741" i="5"/>
  <c r="U741" i="5"/>
  <c r="V741" i="5"/>
  <c r="B742" i="5"/>
  <c r="C742" i="5"/>
  <c r="D742" i="5"/>
  <c r="E742" i="5"/>
  <c r="F742" i="5"/>
  <c r="G742" i="5"/>
  <c r="H742" i="5"/>
  <c r="I742" i="5"/>
  <c r="J742" i="5"/>
  <c r="K742" i="5"/>
  <c r="L742" i="5"/>
  <c r="M742" i="5"/>
  <c r="N742" i="5"/>
  <c r="O742" i="5"/>
  <c r="P742" i="5"/>
  <c r="Q742" i="5"/>
  <c r="R742" i="5"/>
  <c r="S742" i="5"/>
  <c r="T742" i="5"/>
  <c r="U742" i="5"/>
  <c r="V742" i="5"/>
  <c r="B743" i="5"/>
  <c r="C743" i="5"/>
  <c r="D743" i="5"/>
  <c r="E743" i="5"/>
  <c r="F743" i="5"/>
  <c r="G743" i="5"/>
  <c r="H743" i="5"/>
  <c r="I743" i="5"/>
  <c r="J743" i="5"/>
  <c r="K743" i="5"/>
  <c r="L743" i="5"/>
  <c r="M743" i="5"/>
  <c r="N743" i="5"/>
  <c r="O743" i="5"/>
  <c r="P743" i="5"/>
  <c r="Q743" i="5"/>
  <c r="R743" i="5"/>
  <c r="S743" i="5"/>
  <c r="T743" i="5"/>
  <c r="U743" i="5"/>
  <c r="V743" i="5"/>
  <c r="B744" i="5"/>
  <c r="C744" i="5"/>
  <c r="D744" i="5"/>
  <c r="E744" i="5"/>
  <c r="F744" i="5"/>
  <c r="G744" i="5"/>
  <c r="H744" i="5"/>
  <c r="I744" i="5"/>
  <c r="J744" i="5"/>
  <c r="K744" i="5"/>
  <c r="L744" i="5"/>
  <c r="M744" i="5"/>
  <c r="N744" i="5"/>
  <c r="O744" i="5"/>
  <c r="P744" i="5"/>
  <c r="Q744" i="5"/>
  <c r="R744" i="5"/>
  <c r="S744" i="5"/>
  <c r="T744" i="5"/>
  <c r="U744" i="5"/>
  <c r="V744" i="5"/>
  <c r="B745" i="5"/>
  <c r="C745" i="5"/>
  <c r="D745" i="5"/>
  <c r="E745" i="5"/>
  <c r="F745" i="5"/>
  <c r="G745" i="5"/>
  <c r="H745" i="5"/>
  <c r="I745" i="5"/>
  <c r="J745" i="5"/>
  <c r="K745" i="5"/>
  <c r="L745" i="5"/>
  <c r="M745" i="5"/>
  <c r="N745" i="5"/>
  <c r="O745" i="5"/>
  <c r="P745" i="5"/>
  <c r="Q745" i="5"/>
  <c r="R745" i="5"/>
  <c r="S745" i="5"/>
  <c r="T745" i="5"/>
  <c r="U745" i="5"/>
  <c r="V745" i="5"/>
  <c r="B746" i="5"/>
  <c r="C746" i="5"/>
  <c r="D746" i="5"/>
  <c r="E746" i="5"/>
  <c r="F746" i="5"/>
  <c r="G746" i="5"/>
  <c r="H746" i="5"/>
  <c r="I746" i="5"/>
  <c r="J746" i="5"/>
  <c r="K746" i="5"/>
  <c r="L746" i="5"/>
  <c r="M746" i="5"/>
  <c r="N746" i="5"/>
  <c r="O746" i="5"/>
  <c r="P746" i="5"/>
  <c r="Q746" i="5"/>
  <c r="R746" i="5"/>
  <c r="S746" i="5"/>
  <c r="T746" i="5"/>
  <c r="U746" i="5"/>
  <c r="V746" i="5"/>
  <c r="B747" i="5"/>
  <c r="C747" i="5"/>
  <c r="D747" i="5"/>
  <c r="E747" i="5"/>
  <c r="F747" i="5"/>
  <c r="G747" i="5"/>
  <c r="H747" i="5"/>
  <c r="I747" i="5"/>
  <c r="J747" i="5"/>
  <c r="K747" i="5"/>
  <c r="L747" i="5"/>
  <c r="M747" i="5"/>
  <c r="N747" i="5"/>
  <c r="O747" i="5"/>
  <c r="P747" i="5"/>
  <c r="Q747" i="5"/>
  <c r="R747" i="5"/>
  <c r="S747" i="5"/>
  <c r="T747" i="5"/>
  <c r="U747" i="5"/>
  <c r="V747" i="5"/>
  <c r="B748" i="5"/>
  <c r="C748" i="5"/>
  <c r="D748" i="5"/>
  <c r="E748" i="5"/>
  <c r="F748" i="5"/>
  <c r="G748" i="5"/>
  <c r="H748" i="5"/>
  <c r="I748" i="5"/>
  <c r="J748" i="5"/>
  <c r="K748" i="5"/>
  <c r="L748" i="5"/>
  <c r="M748" i="5"/>
  <c r="N748" i="5"/>
  <c r="O748" i="5"/>
  <c r="P748" i="5"/>
  <c r="Q748" i="5"/>
  <c r="R748" i="5"/>
  <c r="S748" i="5"/>
  <c r="T748" i="5"/>
  <c r="U748" i="5"/>
  <c r="V748" i="5"/>
  <c r="B749" i="5"/>
  <c r="C749" i="5"/>
  <c r="D749" i="5"/>
  <c r="E749" i="5"/>
  <c r="F749" i="5"/>
  <c r="G749" i="5"/>
  <c r="H749" i="5"/>
  <c r="I749" i="5"/>
  <c r="J749" i="5"/>
  <c r="K749" i="5"/>
  <c r="L749" i="5"/>
  <c r="M749" i="5"/>
  <c r="N749" i="5"/>
  <c r="O749" i="5"/>
  <c r="P749" i="5"/>
  <c r="Q749" i="5"/>
  <c r="R749" i="5"/>
  <c r="S749" i="5"/>
  <c r="T749" i="5"/>
  <c r="U749" i="5"/>
  <c r="V749" i="5"/>
  <c r="B750" i="5"/>
  <c r="C750" i="5"/>
  <c r="D750" i="5"/>
  <c r="E750" i="5"/>
  <c r="F750" i="5"/>
  <c r="G750" i="5"/>
  <c r="H750" i="5"/>
  <c r="I750" i="5"/>
  <c r="J750" i="5"/>
  <c r="K750" i="5"/>
  <c r="L750" i="5"/>
  <c r="M750" i="5"/>
  <c r="N750" i="5"/>
  <c r="O750" i="5"/>
  <c r="P750" i="5"/>
  <c r="Q750" i="5"/>
  <c r="R750" i="5"/>
  <c r="S750" i="5"/>
  <c r="T750" i="5"/>
  <c r="U750" i="5"/>
  <c r="V750" i="5"/>
  <c r="B751" i="5"/>
  <c r="C751" i="5"/>
  <c r="D751" i="5"/>
  <c r="E751" i="5"/>
  <c r="F751" i="5"/>
  <c r="G751" i="5"/>
  <c r="H751" i="5"/>
  <c r="I751" i="5"/>
  <c r="J751" i="5"/>
  <c r="K751" i="5"/>
  <c r="L751" i="5"/>
  <c r="M751" i="5"/>
  <c r="N751" i="5"/>
  <c r="O751" i="5"/>
  <c r="P751" i="5"/>
  <c r="Q751" i="5"/>
  <c r="R751" i="5"/>
  <c r="S751" i="5"/>
  <c r="T751" i="5"/>
  <c r="U751" i="5"/>
  <c r="V751" i="5"/>
  <c r="B752" i="5"/>
  <c r="C752" i="5"/>
  <c r="D752" i="5"/>
  <c r="E752" i="5"/>
  <c r="F752" i="5"/>
  <c r="G752" i="5"/>
  <c r="H752" i="5"/>
  <c r="I752" i="5"/>
  <c r="J752" i="5"/>
  <c r="K752" i="5"/>
  <c r="L752" i="5"/>
  <c r="M752" i="5"/>
  <c r="N752" i="5"/>
  <c r="O752" i="5"/>
  <c r="P752" i="5"/>
  <c r="Q752" i="5"/>
  <c r="R752" i="5"/>
  <c r="S752" i="5"/>
  <c r="T752" i="5"/>
  <c r="U752" i="5"/>
  <c r="V752" i="5"/>
  <c r="B753" i="5"/>
  <c r="C753" i="5"/>
  <c r="D753" i="5"/>
  <c r="E753" i="5"/>
  <c r="F753" i="5"/>
  <c r="G753" i="5"/>
  <c r="H753" i="5"/>
  <c r="I753" i="5"/>
  <c r="J753" i="5"/>
  <c r="K753" i="5"/>
  <c r="L753" i="5"/>
  <c r="M753" i="5"/>
  <c r="N753" i="5"/>
  <c r="O753" i="5"/>
  <c r="P753" i="5"/>
  <c r="Q753" i="5"/>
  <c r="R753" i="5"/>
  <c r="S753" i="5"/>
  <c r="T753" i="5"/>
  <c r="U753" i="5"/>
  <c r="V753" i="5"/>
  <c r="B754" i="5"/>
  <c r="C754" i="5"/>
  <c r="D754" i="5"/>
  <c r="E754" i="5"/>
  <c r="F754" i="5"/>
  <c r="G754" i="5"/>
  <c r="H754" i="5"/>
  <c r="I754" i="5"/>
  <c r="J754" i="5"/>
  <c r="K754" i="5"/>
  <c r="L754" i="5"/>
  <c r="M754" i="5"/>
  <c r="N754" i="5"/>
  <c r="O754" i="5"/>
  <c r="P754" i="5"/>
  <c r="Q754" i="5"/>
  <c r="R754" i="5"/>
  <c r="S754" i="5"/>
  <c r="T754" i="5"/>
  <c r="U754" i="5"/>
  <c r="V754" i="5"/>
  <c r="B755" i="5"/>
  <c r="C755" i="5"/>
  <c r="D755" i="5"/>
  <c r="E755" i="5"/>
  <c r="F755" i="5"/>
  <c r="G755" i="5"/>
  <c r="H755" i="5"/>
  <c r="I755" i="5"/>
  <c r="J755" i="5"/>
  <c r="K755" i="5"/>
  <c r="L755" i="5"/>
  <c r="M755" i="5"/>
  <c r="N755" i="5"/>
  <c r="O755" i="5"/>
  <c r="P755" i="5"/>
  <c r="Q755" i="5"/>
  <c r="R755" i="5"/>
  <c r="S755" i="5"/>
  <c r="T755" i="5"/>
  <c r="U755" i="5"/>
  <c r="V755" i="5"/>
  <c r="B756" i="5"/>
  <c r="C756" i="5"/>
  <c r="D756" i="5"/>
  <c r="E756" i="5"/>
  <c r="F756" i="5"/>
  <c r="G756" i="5"/>
  <c r="H756" i="5"/>
  <c r="I756" i="5"/>
  <c r="J756" i="5"/>
  <c r="K756" i="5"/>
  <c r="L756" i="5"/>
  <c r="M756" i="5"/>
  <c r="N756" i="5"/>
  <c r="O756" i="5"/>
  <c r="P756" i="5"/>
  <c r="Q756" i="5"/>
  <c r="R756" i="5"/>
  <c r="S756" i="5"/>
  <c r="T756" i="5"/>
  <c r="U756" i="5"/>
  <c r="V756" i="5"/>
  <c r="B757" i="5"/>
  <c r="C757" i="5"/>
  <c r="D757" i="5"/>
  <c r="E757" i="5"/>
  <c r="F757" i="5"/>
  <c r="G757" i="5"/>
  <c r="H757" i="5"/>
  <c r="I757" i="5"/>
  <c r="J757" i="5"/>
  <c r="K757" i="5"/>
  <c r="L757" i="5"/>
  <c r="M757" i="5"/>
  <c r="N757" i="5"/>
  <c r="O757" i="5"/>
  <c r="P757" i="5"/>
  <c r="Q757" i="5"/>
  <c r="R757" i="5"/>
  <c r="S757" i="5"/>
  <c r="T757" i="5"/>
  <c r="U757" i="5"/>
  <c r="V757" i="5"/>
  <c r="B758" i="5"/>
  <c r="C758" i="5"/>
  <c r="D758" i="5"/>
  <c r="E758" i="5"/>
  <c r="F758" i="5"/>
  <c r="G758" i="5"/>
  <c r="H758" i="5"/>
  <c r="I758" i="5"/>
  <c r="J758" i="5"/>
  <c r="K758" i="5"/>
  <c r="L758" i="5"/>
  <c r="M758" i="5"/>
  <c r="N758" i="5"/>
  <c r="O758" i="5"/>
  <c r="P758" i="5"/>
  <c r="Q758" i="5"/>
  <c r="R758" i="5"/>
  <c r="S758" i="5"/>
  <c r="T758" i="5"/>
  <c r="U758" i="5"/>
  <c r="V758" i="5"/>
  <c r="B759" i="5"/>
  <c r="C759" i="5"/>
  <c r="D759" i="5"/>
  <c r="E759" i="5"/>
  <c r="F759" i="5"/>
  <c r="G759" i="5"/>
  <c r="H759" i="5"/>
  <c r="I759" i="5"/>
  <c r="J759" i="5"/>
  <c r="K759" i="5"/>
  <c r="L759" i="5"/>
  <c r="M759" i="5"/>
  <c r="N759" i="5"/>
  <c r="O759" i="5"/>
  <c r="P759" i="5"/>
  <c r="Q759" i="5"/>
  <c r="R759" i="5"/>
  <c r="S759" i="5"/>
  <c r="T759" i="5"/>
  <c r="U759" i="5"/>
  <c r="V759" i="5"/>
  <c r="B760" i="5"/>
  <c r="C760" i="5"/>
  <c r="D760" i="5"/>
  <c r="E760" i="5"/>
  <c r="F760" i="5"/>
  <c r="G760" i="5"/>
  <c r="H760" i="5"/>
  <c r="I760" i="5"/>
  <c r="J760" i="5"/>
  <c r="K760" i="5"/>
  <c r="L760" i="5"/>
  <c r="M760" i="5"/>
  <c r="N760" i="5"/>
  <c r="O760" i="5"/>
  <c r="P760" i="5"/>
  <c r="Q760" i="5"/>
  <c r="R760" i="5"/>
  <c r="S760" i="5"/>
  <c r="T760" i="5"/>
  <c r="U760" i="5"/>
  <c r="V760" i="5"/>
  <c r="B761" i="5"/>
  <c r="C761" i="5"/>
  <c r="D761" i="5"/>
  <c r="E761" i="5"/>
  <c r="F761" i="5"/>
  <c r="G761" i="5"/>
  <c r="H761" i="5"/>
  <c r="I761" i="5"/>
  <c r="J761" i="5"/>
  <c r="K761" i="5"/>
  <c r="L761" i="5"/>
  <c r="M761" i="5"/>
  <c r="N761" i="5"/>
  <c r="O761" i="5"/>
  <c r="P761" i="5"/>
  <c r="Q761" i="5"/>
  <c r="R761" i="5"/>
  <c r="S761" i="5"/>
  <c r="T761" i="5"/>
  <c r="U761" i="5"/>
  <c r="V761" i="5"/>
  <c r="B762" i="5"/>
  <c r="C762" i="5"/>
  <c r="D762" i="5"/>
  <c r="E762" i="5"/>
  <c r="F762" i="5"/>
  <c r="G762" i="5"/>
  <c r="H762" i="5"/>
  <c r="I762" i="5"/>
  <c r="J762" i="5"/>
  <c r="K762" i="5"/>
  <c r="L762" i="5"/>
  <c r="M762" i="5"/>
  <c r="N762" i="5"/>
  <c r="O762" i="5"/>
  <c r="P762" i="5"/>
  <c r="Q762" i="5"/>
  <c r="R762" i="5"/>
  <c r="S762" i="5"/>
  <c r="T762" i="5"/>
  <c r="U762" i="5"/>
  <c r="V762" i="5"/>
  <c r="B763" i="5"/>
  <c r="C763" i="5"/>
  <c r="D763" i="5"/>
  <c r="E763" i="5"/>
  <c r="F763" i="5"/>
  <c r="G763" i="5"/>
  <c r="H763" i="5"/>
  <c r="I763" i="5"/>
  <c r="J763" i="5"/>
  <c r="K763" i="5"/>
  <c r="L763" i="5"/>
  <c r="M763" i="5"/>
  <c r="N763" i="5"/>
  <c r="O763" i="5"/>
  <c r="P763" i="5"/>
  <c r="Q763" i="5"/>
  <c r="R763" i="5"/>
  <c r="S763" i="5"/>
  <c r="T763" i="5"/>
  <c r="U763" i="5"/>
  <c r="V763" i="5"/>
  <c r="B764" i="5"/>
  <c r="C764" i="5"/>
  <c r="D764" i="5"/>
  <c r="E764" i="5"/>
  <c r="F764" i="5"/>
  <c r="G764" i="5"/>
  <c r="H764" i="5"/>
  <c r="I764" i="5"/>
  <c r="J764" i="5"/>
  <c r="K764" i="5"/>
  <c r="L764" i="5"/>
  <c r="M764" i="5"/>
  <c r="N764" i="5"/>
  <c r="O764" i="5"/>
  <c r="P764" i="5"/>
  <c r="Q764" i="5"/>
  <c r="R764" i="5"/>
  <c r="S764" i="5"/>
  <c r="T764" i="5"/>
  <c r="U764" i="5"/>
  <c r="V764" i="5"/>
  <c r="B765" i="5"/>
  <c r="C765" i="5"/>
  <c r="D765" i="5"/>
  <c r="E765" i="5"/>
  <c r="F765" i="5"/>
  <c r="G765" i="5"/>
  <c r="H765" i="5"/>
  <c r="I765" i="5"/>
  <c r="J765" i="5"/>
  <c r="K765" i="5"/>
  <c r="L765" i="5"/>
  <c r="M765" i="5"/>
  <c r="N765" i="5"/>
  <c r="O765" i="5"/>
  <c r="P765" i="5"/>
  <c r="Q765" i="5"/>
  <c r="R765" i="5"/>
  <c r="S765" i="5"/>
  <c r="T765" i="5"/>
  <c r="U765" i="5"/>
  <c r="V765" i="5"/>
  <c r="B766" i="5"/>
  <c r="C766" i="5"/>
  <c r="D766" i="5"/>
  <c r="E766" i="5"/>
  <c r="F766" i="5"/>
  <c r="G766" i="5"/>
  <c r="H766" i="5"/>
  <c r="I766" i="5"/>
  <c r="J766" i="5"/>
  <c r="K766" i="5"/>
  <c r="L766" i="5"/>
  <c r="M766" i="5"/>
  <c r="N766" i="5"/>
  <c r="O766" i="5"/>
  <c r="P766" i="5"/>
  <c r="Q766" i="5"/>
  <c r="R766" i="5"/>
  <c r="S766" i="5"/>
  <c r="T766" i="5"/>
  <c r="U766" i="5"/>
  <c r="V766" i="5"/>
  <c r="B767" i="5"/>
  <c r="C767" i="5"/>
  <c r="D767" i="5"/>
  <c r="E767" i="5"/>
  <c r="F767" i="5"/>
  <c r="G767" i="5"/>
  <c r="H767" i="5"/>
  <c r="I767" i="5"/>
  <c r="J767" i="5"/>
  <c r="K767" i="5"/>
  <c r="L767" i="5"/>
  <c r="M767" i="5"/>
  <c r="N767" i="5"/>
  <c r="O767" i="5"/>
  <c r="P767" i="5"/>
  <c r="Q767" i="5"/>
  <c r="R767" i="5"/>
  <c r="S767" i="5"/>
  <c r="T767" i="5"/>
  <c r="U767" i="5"/>
  <c r="V767" i="5"/>
  <c r="B768" i="5"/>
  <c r="C768" i="5"/>
  <c r="D768" i="5"/>
  <c r="E768" i="5"/>
  <c r="F768" i="5"/>
  <c r="G768" i="5"/>
  <c r="H768" i="5"/>
  <c r="I768" i="5"/>
  <c r="J768" i="5"/>
  <c r="K768" i="5"/>
  <c r="L768" i="5"/>
  <c r="M768" i="5"/>
  <c r="N768" i="5"/>
  <c r="O768" i="5"/>
  <c r="P768" i="5"/>
  <c r="Q768" i="5"/>
  <c r="R768" i="5"/>
  <c r="S768" i="5"/>
  <c r="T768" i="5"/>
  <c r="U768" i="5"/>
  <c r="V768" i="5"/>
  <c r="B769" i="5"/>
  <c r="C769" i="5"/>
  <c r="D769" i="5"/>
  <c r="E769" i="5"/>
  <c r="F769" i="5"/>
  <c r="G769" i="5"/>
  <c r="H769" i="5"/>
  <c r="I769" i="5"/>
  <c r="J769" i="5"/>
  <c r="K769" i="5"/>
  <c r="L769" i="5"/>
  <c r="M769" i="5"/>
  <c r="N769" i="5"/>
  <c r="O769" i="5"/>
  <c r="P769" i="5"/>
  <c r="Q769" i="5"/>
  <c r="R769" i="5"/>
  <c r="S769" i="5"/>
  <c r="T769" i="5"/>
  <c r="U769" i="5"/>
  <c r="V769" i="5"/>
  <c r="B770" i="5"/>
  <c r="C770" i="5"/>
  <c r="D770" i="5"/>
  <c r="E770" i="5"/>
  <c r="F770" i="5"/>
  <c r="G770" i="5"/>
  <c r="H770" i="5"/>
  <c r="I770" i="5"/>
  <c r="J770" i="5"/>
  <c r="K770" i="5"/>
  <c r="L770" i="5"/>
  <c r="M770" i="5"/>
  <c r="N770" i="5"/>
  <c r="O770" i="5"/>
  <c r="P770" i="5"/>
  <c r="Q770" i="5"/>
  <c r="R770" i="5"/>
  <c r="S770" i="5"/>
  <c r="T770" i="5"/>
  <c r="U770" i="5"/>
  <c r="V770" i="5"/>
  <c r="B771" i="5"/>
  <c r="C771" i="5"/>
  <c r="D771" i="5"/>
  <c r="E771" i="5"/>
  <c r="F771" i="5"/>
  <c r="G771" i="5"/>
  <c r="H771" i="5"/>
  <c r="I771" i="5"/>
  <c r="J771" i="5"/>
  <c r="K771" i="5"/>
  <c r="L771" i="5"/>
  <c r="M771" i="5"/>
  <c r="N771" i="5"/>
  <c r="O771" i="5"/>
  <c r="P771" i="5"/>
  <c r="Q771" i="5"/>
  <c r="R771" i="5"/>
  <c r="S771" i="5"/>
  <c r="T771" i="5"/>
  <c r="U771" i="5"/>
  <c r="V771" i="5"/>
  <c r="B772" i="5"/>
  <c r="C772" i="5"/>
  <c r="D772" i="5"/>
  <c r="E772" i="5"/>
  <c r="F772" i="5"/>
  <c r="G772" i="5"/>
  <c r="H772" i="5"/>
  <c r="I772" i="5"/>
  <c r="J772" i="5"/>
  <c r="K772" i="5"/>
  <c r="L772" i="5"/>
  <c r="M772" i="5"/>
  <c r="N772" i="5"/>
  <c r="O772" i="5"/>
  <c r="P772" i="5"/>
  <c r="Q772" i="5"/>
  <c r="R772" i="5"/>
  <c r="S772" i="5"/>
  <c r="T772" i="5"/>
  <c r="U772" i="5"/>
  <c r="V772" i="5"/>
  <c r="B773" i="5"/>
  <c r="C773" i="5"/>
  <c r="D773" i="5"/>
  <c r="E773" i="5"/>
  <c r="F773" i="5"/>
  <c r="G773" i="5"/>
  <c r="H773" i="5"/>
  <c r="I773" i="5"/>
  <c r="J773" i="5"/>
  <c r="K773" i="5"/>
  <c r="L773" i="5"/>
  <c r="M773" i="5"/>
  <c r="N773" i="5"/>
  <c r="O773" i="5"/>
  <c r="P773" i="5"/>
  <c r="Q773" i="5"/>
  <c r="R773" i="5"/>
  <c r="S773" i="5"/>
  <c r="T773" i="5"/>
  <c r="U773" i="5"/>
  <c r="V773" i="5"/>
  <c r="B774" i="5"/>
  <c r="C774" i="5"/>
  <c r="D774" i="5"/>
  <c r="E774" i="5"/>
  <c r="F774" i="5"/>
  <c r="G774" i="5"/>
  <c r="H774" i="5"/>
  <c r="I774" i="5"/>
  <c r="J774" i="5"/>
  <c r="K774" i="5"/>
  <c r="L774" i="5"/>
  <c r="M774" i="5"/>
  <c r="N774" i="5"/>
  <c r="O774" i="5"/>
  <c r="P774" i="5"/>
  <c r="Q774" i="5"/>
  <c r="R774" i="5"/>
  <c r="S774" i="5"/>
  <c r="T774" i="5"/>
  <c r="U774" i="5"/>
  <c r="V774" i="5"/>
  <c r="B775" i="5"/>
  <c r="C775" i="5"/>
  <c r="D775" i="5"/>
  <c r="E775" i="5"/>
  <c r="F775" i="5"/>
  <c r="G775" i="5"/>
  <c r="H775" i="5"/>
  <c r="I775" i="5"/>
  <c r="J775" i="5"/>
  <c r="K775" i="5"/>
  <c r="L775" i="5"/>
  <c r="M775" i="5"/>
  <c r="N775" i="5"/>
  <c r="O775" i="5"/>
  <c r="P775" i="5"/>
  <c r="Q775" i="5"/>
  <c r="R775" i="5"/>
  <c r="S775" i="5"/>
  <c r="T775" i="5"/>
  <c r="U775" i="5"/>
  <c r="V775" i="5"/>
  <c r="B776" i="5"/>
  <c r="C776" i="5"/>
  <c r="D776" i="5"/>
  <c r="E776" i="5"/>
  <c r="F776" i="5"/>
  <c r="G776" i="5"/>
  <c r="H776" i="5"/>
  <c r="I776" i="5"/>
  <c r="J776" i="5"/>
  <c r="K776" i="5"/>
  <c r="L776" i="5"/>
  <c r="M776" i="5"/>
  <c r="N776" i="5"/>
  <c r="O776" i="5"/>
  <c r="P776" i="5"/>
  <c r="Q776" i="5"/>
  <c r="R776" i="5"/>
  <c r="S776" i="5"/>
  <c r="T776" i="5"/>
  <c r="U776" i="5"/>
  <c r="V776" i="5"/>
  <c r="B777" i="5"/>
  <c r="C777" i="5"/>
  <c r="D777" i="5"/>
  <c r="E777" i="5"/>
  <c r="F777" i="5"/>
  <c r="G777" i="5"/>
  <c r="H777" i="5"/>
  <c r="I777" i="5"/>
  <c r="J777" i="5"/>
  <c r="K777" i="5"/>
  <c r="L777" i="5"/>
  <c r="M777" i="5"/>
  <c r="N777" i="5"/>
  <c r="O777" i="5"/>
  <c r="P777" i="5"/>
  <c r="Q777" i="5"/>
  <c r="R777" i="5"/>
  <c r="S777" i="5"/>
  <c r="T777" i="5"/>
  <c r="U777" i="5"/>
  <c r="V777" i="5"/>
  <c r="B778" i="5"/>
  <c r="C778" i="5"/>
  <c r="D778" i="5"/>
  <c r="E778" i="5"/>
  <c r="F778" i="5"/>
  <c r="G778" i="5"/>
  <c r="H778" i="5"/>
  <c r="I778" i="5"/>
  <c r="J778" i="5"/>
  <c r="K778" i="5"/>
  <c r="L778" i="5"/>
  <c r="M778" i="5"/>
  <c r="N778" i="5"/>
  <c r="O778" i="5"/>
  <c r="P778" i="5"/>
  <c r="Q778" i="5"/>
  <c r="R778" i="5"/>
  <c r="S778" i="5"/>
  <c r="T778" i="5"/>
  <c r="U778" i="5"/>
  <c r="V778" i="5"/>
  <c r="B779" i="5"/>
  <c r="C779" i="5"/>
  <c r="D779" i="5"/>
  <c r="E779" i="5"/>
  <c r="F779" i="5"/>
  <c r="G779" i="5"/>
  <c r="H779" i="5"/>
  <c r="I779" i="5"/>
  <c r="J779" i="5"/>
  <c r="K779" i="5"/>
  <c r="L779" i="5"/>
  <c r="M779" i="5"/>
  <c r="N779" i="5"/>
  <c r="O779" i="5"/>
  <c r="P779" i="5"/>
  <c r="Q779" i="5"/>
  <c r="R779" i="5"/>
  <c r="S779" i="5"/>
  <c r="T779" i="5"/>
  <c r="U779" i="5"/>
  <c r="V779" i="5"/>
  <c r="B780" i="5"/>
  <c r="C780" i="5"/>
  <c r="D780" i="5"/>
  <c r="E780" i="5"/>
  <c r="F780" i="5"/>
  <c r="G780" i="5"/>
  <c r="H780" i="5"/>
  <c r="I780" i="5"/>
  <c r="J780" i="5"/>
  <c r="K780" i="5"/>
  <c r="L780" i="5"/>
  <c r="M780" i="5"/>
  <c r="N780" i="5"/>
  <c r="O780" i="5"/>
  <c r="P780" i="5"/>
  <c r="Q780" i="5"/>
  <c r="R780" i="5"/>
  <c r="S780" i="5"/>
  <c r="T780" i="5"/>
  <c r="U780" i="5"/>
  <c r="V780" i="5"/>
  <c r="B781" i="5"/>
  <c r="C781" i="5"/>
  <c r="D781" i="5"/>
  <c r="E781" i="5"/>
  <c r="F781" i="5"/>
  <c r="G781" i="5"/>
  <c r="H781" i="5"/>
  <c r="I781" i="5"/>
  <c r="J781" i="5"/>
  <c r="K781" i="5"/>
  <c r="L781" i="5"/>
  <c r="M781" i="5"/>
  <c r="N781" i="5"/>
  <c r="O781" i="5"/>
  <c r="P781" i="5"/>
  <c r="Q781" i="5"/>
  <c r="R781" i="5"/>
  <c r="S781" i="5"/>
  <c r="T781" i="5"/>
  <c r="U781" i="5"/>
  <c r="V781" i="5"/>
  <c r="B782" i="5"/>
  <c r="C782" i="5"/>
  <c r="D782" i="5"/>
  <c r="E782" i="5"/>
  <c r="F782" i="5"/>
  <c r="G782" i="5"/>
  <c r="H782" i="5"/>
  <c r="I782" i="5"/>
  <c r="J782" i="5"/>
  <c r="K782" i="5"/>
  <c r="L782" i="5"/>
  <c r="M782" i="5"/>
  <c r="N782" i="5"/>
  <c r="O782" i="5"/>
  <c r="P782" i="5"/>
  <c r="Q782" i="5"/>
  <c r="R782" i="5"/>
  <c r="S782" i="5"/>
  <c r="T782" i="5"/>
  <c r="U782" i="5"/>
  <c r="V782" i="5"/>
  <c r="B783" i="5"/>
  <c r="C783" i="5"/>
  <c r="D783" i="5"/>
  <c r="E783" i="5"/>
  <c r="F783" i="5"/>
  <c r="G783" i="5"/>
  <c r="H783" i="5"/>
  <c r="I783" i="5"/>
  <c r="J783" i="5"/>
  <c r="K783" i="5"/>
  <c r="L783" i="5"/>
  <c r="M783" i="5"/>
  <c r="N783" i="5"/>
  <c r="O783" i="5"/>
  <c r="P783" i="5"/>
  <c r="Q783" i="5"/>
  <c r="R783" i="5"/>
  <c r="S783" i="5"/>
  <c r="T783" i="5"/>
  <c r="U783" i="5"/>
  <c r="V783" i="5"/>
  <c r="B784" i="5"/>
  <c r="C784" i="5"/>
  <c r="D784" i="5"/>
  <c r="E784" i="5"/>
  <c r="F784" i="5"/>
  <c r="G784" i="5"/>
  <c r="H784" i="5"/>
  <c r="I784" i="5"/>
  <c r="J784" i="5"/>
  <c r="K784" i="5"/>
  <c r="L784" i="5"/>
  <c r="M784" i="5"/>
  <c r="N784" i="5"/>
  <c r="O784" i="5"/>
  <c r="P784" i="5"/>
  <c r="Q784" i="5"/>
  <c r="R784" i="5"/>
  <c r="S784" i="5"/>
  <c r="T784" i="5"/>
  <c r="U784" i="5"/>
  <c r="V784" i="5"/>
  <c r="B785" i="5"/>
  <c r="C785" i="5"/>
  <c r="D785" i="5"/>
  <c r="E785" i="5"/>
  <c r="F785" i="5"/>
  <c r="G785" i="5"/>
  <c r="H785" i="5"/>
  <c r="I785" i="5"/>
  <c r="J785" i="5"/>
  <c r="K785" i="5"/>
  <c r="L785" i="5"/>
  <c r="M785" i="5"/>
  <c r="N785" i="5"/>
  <c r="O785" i="5"/>
  <c r="P785" i="5"/>
  <c r="Q785" i="5"/>
  <c r="R785" i="5"/>
  <c r="S785" i="5"/>
  <c r="T785" i="5"/>
  <c r="U785" i="5"/>
  <c r="V785" i="5"/>
  <c r="B786" i="5"/>
  <c r="C786" i="5"/>
  <c r="D786" i="5"/>
  <c r="E786" i="5"/>
  <c r="F786" i="5"/>
  <c r="G786" i="5"/>
  <c r="H786" i="5"/>
  <c r="I786" i="5"/>
  <c r="J786" i="5"/>
  <c r="K786" i="5"/>
  <c r="L786" i="5"/>
  <c r="M786" i="5"/>
  <c r="N786" i="5"/>
  <c r="O786" i="5"/>
  <c r="P786" i="5"/>
  <c r="Q786" i="5"/>
  <c r="R786" i="5"/>
  <c r="S786" i="5"/>
  <c r="T786" i="5"/>
  <c r="U786" i="5"/>
  <c r="V786" i="5"/>
  <c r="B787" i="5"/>
  <c r="C787" i="5"/>
  <c r="D787" i="5"/>
  <c r="E787" i="5"/>
  <c r="F787" i="5"/>
  <c r="G787" i="5"/>
  <c r="H787" i="5"/>
  <c r="I787" i="5"/>
  <c r="J787" i="5"/>
  <c r="K787" i="5"/>
  <c r="L787" i="5"/>
  <c r="M787" i="5"/>
  <c r="N787" i="5"/>
  <c r="O787" i="5"/>
  <c r="P787" i="5"/>
  <c r="Q787" i="5"/>
  <c r="R787" i="5"/>
  <c r="S787" i="5"/>
  <c r="T787" i="5"/>
  <c r="U787" i="5"/>
  <c r="V787" i="5"/>
  <c r="B788" i="5"/>
  <c r="C788" i="5"/>
  <c r="D788" i="5"/>
  <c r="E788" i="5"/>
  <c r="F788" i="5"/>
  <c r="G788" i="5"/>
  <c r="H788" i="5"/>
  <c r="I788" i="5"/>
  <c r="J788" i="5"/>
  <c r="K788" i="5"/>
  <c r="L788" i="5"/>
  <c r="M788" i="5"/>
  <c r="N788" i="5"/>
  <c r="O788" i="5"/>
  <c r="P788" i="5"/>
  <c r="Q788" i="5"/>
  <c r="R788" i="5"/>
  <c r="S788" i="5"/>
  <c r="T788" i="5"/>
  <c r="U788" i="5"/>
  <c r="V788" i="5"/>
  <c r="B789" i="5"/>
  <c r="C789" i="5"/>
  <c r="D789" i="5"/>
  <c r="E789" i="5"/>
  <c r="F789" i="5"/>
  <c r="G789" i="5"/>
  <c r="H789" i="5"/>
  <c r="I789" i="5"/>
  <c r="J789" i="5"/>
  <c r="K789" i="5"/>
  <c r="L789" i="5"/>
  <c r="M789" i="5"/>
  <c r="N789" i="5"/>
  <c r="O789" i="5"/>
  <c r="P789" i="5"/>
  <c r="Q789" i="5"/>
  <c r="R789" i="5"/>
  <c r="S789" i="5"/>
  <c r="T789" i="5"/>
  <c r="U789" i="5"/>
  <c r="V789" i="5"/>
  <c r="B790" i="5"/>
  <c r="C790" i="5"/>
  <c r="D790" i="5"/>
  <c r="E790" i="5"/>
  <c r="F790" i="5"/>
  <c r="G790" i="5"/>
  <c r="H790" i="5"/>
  <c r="I790" i="5"/>
  <c r="J790" i="5"/>
  <c r="K790" i="5"/>
  <c r="L790" i="5"/>
  <c r="M790" i="5"/>
  <c r="N790" i="5"/>
  <c r="O790" i="5"/>
  <c r="P790" i="5"/>
  <c r="Q790" i="5"/>
  <c r="R790" i="5"/>
  <c r="S790" i="5"/>
  <c r="T790" i="5"/>
  <c r="U790" i="5"/>
  <c r="V790" i="5"/>
  <c r="B791" i="5"/>
  <c r="C791" i="5"/>
  <c r="D791" i="5"/>
  <c r="E791" i="5"/>
  <c r="F791" i="5"/>
  <c r="G791" i="5"/>
  <c r="H791" i="5"/>
  <c r="I791" i="5"/>
  <c r="J791" i="5"/>
  <c r="K791" i="5"/>
  <c r="L791" i="5"/>
  <c r="M791" i="5"/>
  <c r="N791" i="5"/>
  <c r="O791" i="5"/>
  <c r="P791" i="5"/>
  <c r="Q791" i="5"/>
  <c r="R791" i="5"/>
  <c r="S791" i="5"/>
  <c r="T791" i="5"/>
  <c r="U791" i="5"/>
  <c r="V791" i="5"/>
  <c r="B792" i="5"/>
  <c r="C792" i="5"/>
  <c r="D792" i="5"/>
  <c r="E792" i="5"/>
  <c r="F792" i="5"/>
  <c r="G792" i="5"/>
  <c r="H792" i="5"/>
  <c r="I792" i="5"/>
  <c r="J792" i="5"/>
  <c r="K792" i="5"/>
  <c r="L792" i="5"/>
  <c r="M792" i="5"/>
  <c r="N792" i="5"/>
  <c r="O792" i="5"/>
  <c r="P792" i="5"/>
  <c r="Q792" i="5"/>
  <c r="R792" i="5"/>
  <c r="S792" i="5"/>
  <c r="T792" i="5"/>
  <c r="U792" i="5"/>
  <c r="V792" i="5"/>
  <c r="B793" i="5"/>
  <c r="C793" i="5"/>
  <c r="D793" i="5"/>
  <c r="E793" i="5"/>
  <c r="F793" i="5"/>
  <c r="G793" i="5"/>
  <c r="H793" i="5"/>
  <c r="I793" i="5"/>
  <c r="J793" i="5"/>
  <c r="K793" i="5"/>
  <c r="L793" i="5"/>
  <c r="M793" i="5"/>
  <c r="N793" i="5"/>
  <c r="O793" i="5"/>
  <c r="P793" i="5"/>
  <c r="Q793" i="5"/>
  <c r="R793" i="5"/>
  <c r="S793" i="5"/>
  <c r="T793" i="5"/>
  <c r="U793" i="5"/>
  <c r="V793" i="5"/>
  <c r="B794" i="5"/>
  <c r="C794" i="5"/>
  <c r="D794" i="5"/>
  <c r="E794" i="5"/>
  <c r="F794" i="5"/>
  <c r="G794" i="5"/>
  <c r="H794" i="5"/>
  <c r="I794" i="5"/>
  <c r="J794" i="5"/>
  <c r="K794" i="5"/>
  <c r="L794" i="5"/>
  <c r="M794" i="5"/>
  <c r="N794" i="5"/>
  <c r="O794" i="5"/>
  <c r="P794" i="5"/>
  <c r="Q794" i="5"/>
  <c r="R794" i="5"/>
  <c r="S794" i="5"/>
  <c r="T794" i="5"/>
  <c r="U794" i="5"/>
  <c r="V794" i="5"/>
  <c r="B795" i="5"/>
  <c r="C795" i="5"/>
  <c r="D795" i="5"/>
  <c r="E795" i="5"/>
  <c r="F795" i="5"/>
  <c r="G795" i="5"/>
  <c r="H795" i="5"/>
  <c r="I795" i="5"/>
  <c r="J795" i="5"/>
  <c r="K795" i="5"/>
  <c r="L795" i="5"/>
  <c r="M795" i="5"/>
  <c r="N795" i="5"/>
  <c r="O795" i="5"/>
  <c r="P795" i="5"/>
  <c r="Q795" i="5"/>
  <c r="R795" i="5"/>
  <c r="S795" i="5"/>
  <c r="T795" i="5"/>
  <c r="U795" i="5"/>
  <c r="V795" i="5"/>
  <c r="B796" i="5"/>
  <c r="C796" i="5"/>
  <c r="D796" i="5"/>
  <c r="E796" i="5"/>
  <c r="F796" i="5"/>
  <c r="G796" i="5"/>
  <c r="H796" i="5"/>
  <c r="I796" i="5"/>
  <c r="J796" i="5"/>
  <c r="K796" i="5"/>
  <c r="L796" i="5"/>
  <c r="M796" i="5"/>
  <c r="N796" i="5"/>
  <c r="O796" i="5"/>
  <c r="P796" i="5"/>
  <c r="Q796" i="5"/>
  <c r="R796" i="5"/>
  <c r="S796" i="5"/>
  <c r="T796" i="5"/>
  <c r="U796" i="5"/>
  <c r="V796" i="5"/>
  <c r="B797" i="5"/>
  <c r="C797" i="5"/>
  <c r="D797" i="5"/>
  <c r="E797" i="5"/>
  <c r="F797" i="5"/>
  <c r="G797" i="5"/>
  <c r="H797" i="5"/>
  <c r="I797" i="5"/>
  <c r="J797" i="5"/>
  <c r="K797" i="5"/>
  <c r="L797" i="5"/>
  <c r="M797" i="5"/>
  <c r="N797" i="5"/>
  <c r="O797" i="5"/>
  <c r="P797" i="5"/>
  <c r="Q797" i="5"/>
  <c r="R797" i="5"/>
  <c r="S797" i="5"/>
  <c r="T797" i="5"/>
  <c r="U797" i="5"/>
  <c r="V797" i="5"/>
  <c r="B798" i="5"/>
  <c r="C798" i="5"/>
  <c r="D798" i="5"/>
  <c r="E798" i="5"/>
  <c r="F798" i="5"/>
  <c r="G798" i="5"/>
  <c r="H798" i="5"/>
  <c r="I798" i="5"/>
  <c r="J798" i="5"/>
  <c r="K798" i="5"/>
  <c r="L798" i="5"/>
  <c r="M798" i="5"/>
  <c r="N798" i="5"/>
  <c r="O798" i="5"/>
  <c r="P798" i="5"/>
  <c r="Q798" i="5"/>
  <c r="R798" i="5"/>
  <c r="S798" i="5"/>
  <c r="T798" i="5"/>
  <c r="U798" i="5"/>
  <c r="V798" i="5"/>
  <c r="B799" i="5"/>
  <c r="C799" i="5"/>
  <c r="D799" i="5"/>
  <c r="E799" i="5"/>
  <c r="F799" i="5"/>
  <c r="G799" i="5"/>
  <c r="H799" i="5"/>
  <c r="I799" i="5"/>
  <c r="J799" i="5"/>
  <c r="K799" i="5"/>
  <c r="L799" i="5"/>
  <c r="M799" i="5"/>
  <c r="N799" i="5"/>
  <c r="O799" i="5"/>
  <c r="P799" i="5"/>
  <c r="Q799" i="5"/>
  <c r="R799" i="5"/>
  <c r="S799" i="5"/>
  <c r="T799" i="5"/>
  <c r="U799" i="5"/>
  <c r="V799" i="5"/>
  <c r="B800" i="5"/>
  <c r="C800" i="5"/>
  <c r="D800" i="5"/>
  <c r="E800" i="5"/>
  <c r="F800" i="5"/>
  <c r="G800" i="5"/>
  <c r="H800" i="5"/>
  <c r="I800" i="5"/>
  <c r="J800" i="5"/>
  <c r="K800" i="5"/>
  <c r="L800" i="5"/>
  <c r="M800" i="5"/>
  <c r="N800" i="5"/>
  <c r="O800" i="5"/>
  <c r="P800" i="5"/>
  <c r="Q800" i="5"/>
  <c r="R800" i="5"/>
  <c r="S800" i="5"/>
  <c r="T800" i="5"/>
  <c r="U800" i="5"/>
  <c r="V800" i="5"/>
  <c r="B801" i="5"/>
  <c r="C801" i="5"/>
  <c r="D801" i="5"/>
  <c r="E801" i="5"/>
  <c r="F801" i="5"/>
  <c r="G801" i="5"/>
  <c r="H801" i="5"/>
  <c r="I801" i="5"/>
  <c r="J801" i="5"/>
  <c r="K801" i="5"/>
  <c r="L801" i="5"/>
  <c r="M801" i="5"/>
  <c r="N801" i="5"/>
  <c r="O801" i="5"/>
  <c r="P801" i="5"/>
  <c r="Q801" i="5"/>
  <c r="R801" i="5"/>
  <c r="S801" i="5"/>
  <c r="T801" i="5"/>
  <c r="U801" i="5"/>
  <c r="V801" i="5"/>
  <c r="B802" i="5"/>
  <c r="C802" i="5"/>
  <c r="D802" i="5"/>
  <c r="E802" i="5"/>
  <c r="F802" i="5"/>
  <c r="G802" i="5"/>
  <c r="H802" i="5"/>
  <c r="I802" i="5"/>
  <c r="J802" i="5"/>
  <c r="K802" i="5"/>
  <c r="L802" i="5"/>
  <c r="M802" i="5"/>
  <c r="N802" i="5"/>
  <c r="O802" i="5"/>
  <c r="P802" i="5"/>
  <c r="Q802" i="5"/>
  <c r="R802" i="5"/>
  <c r="S802" i="5"/>
  <c r="T802" i="5"/>
  <c r="U802" i="5"/>
  <c r="V802" i="5"/>
  <c r="B803" i="5"/>
  <c r="C803" i="5"/>
  <c r="D803" i="5"/>
  <c r="E803" i="5"/>
  <c r="F803" i="5"/>
  <c r="G803" i="5"/>
  <c r="H803" i="5"/>
  <c r="I803" i="5"/>
  <c r="J803" i="5"/>
  <c r="K803" i="5"/>
  <c r="L803" i="5"/>
  <c r="M803" i="5"/>
  <c r="N803" i="5"/>
  <c r="O803" i="5"/>
  <c r="P803" i="5"/>
  <c r="Q803" i="5"/>
  <c r="R803" i="5"/>
  <c r="S803" i="5"/>
  <c r="T803" i="5"/>
  <c r="U803" i="5"/>
  <c r="V803" i="5"/>
  <c r="B804" i="5"/>
  <c r="C804" i="5"/>
  <c r="D804" i="5"/>
  <c r="E804" i="5"/>
  <c r="F804" i="5"/>
  <c r="G804" i="5"/>
  <c r="H804" i="5"/>
  <c r="I804" i="5"/>
  <c r="J804" i="5"/>
  <c r="K804" i="5"/>
  <c r="L804" i="5"/>
  <c r="M804" i="5"/>
  <c r="N804" i="5"/>
  <c r="O804" i="5"/>
  <c r="P804" i="5"/>
  <c r="Q804" i="5"/>
  <c r="R804" i="5"/>
  <c r="S804" i="5"/>
  <c r="T804" i="5"/>
  <c r="U804" i="5"/>
  <c r="V804" i="5"/>
  <c r="B805" i="5"/>
  <c r="C805" i="5"/>
  <c r="D805" i="5"/>
  <c r="E805" i="5"/>
  <c r="F805" i="5"/>
  <c r="G805" i="5"/>
  <c r="H805" i="5"/>
  <c r="I805" i="5"/>
  <c r="J805" i="5"/>
  <c r="K805" i="5"/>
  <c r="L805" i="5"/>
  <c r="M805" i="5"/>
  <c r="N805" i="5"/>
  <c r="O805" i="5"/>
  <c r="P805" i="5"/>
  <c r="Q805" i="5"/>
  <c r="R805" i="5"/>
  <c r="S805" i="5"/>
  <c r="T805" i="5"/>
  <c r="U805" i="5"/>
  <c r="V805" i="5"/>
  <c r="B806" i="5"/>
  <c r="C806" i="5"/>
  <c r="D806" i="5"/>
  <c r="E806" i="5"/>
  <c r="F806" i="5"/>
  <c r="G806" i="5"/>
  <c r="H806" i="5"/>
  <c r="I806" i="5"/>
  <c r="J806" i="5"/>
  <c r="K806" i="5"/>
  <c r="L806" i="5"/>
  <c r="M806" i="5"/>
  <c r="N806" i="5"/>
  <c r="O806" i="5"/>
  <c r="P806" i="5"/>
  <c r="Q806" i="5"/>
  <c r="R806" i="5"/>
  <c r="S806" i="5"/>
  <c r="T806" i="5"/>
  <c r="U806" i="5"/>
  <c r="V806" i="5"/>
  <c r="B807" i="5"/>
  <c r="C807" i="5"/>
  <c r="D807" i="5"/>
  <c r="E807" i="5"/>
  <c r="F807" i="5"/>
  <c r="G807" i="5"/>
  <c r="H807" i="5"/>
  <c r="I807" i="5"/>
  <c r="J807" i="5"/>
  <c r="K807" i="5"/>
  <c r="L807" i="5"/>
  <c r="M807" i="5"/>
  <c r="N807" i="5"/>
  <c r="O807" i="5"/>
  <c r="P807" i="5"/>
  <c r="Q807" i="5"/>
  <c r="R807" i="5"/>
  <c r="S807" i="5"/>
  <c r="T807" i="5"/>
  <c r="U807" i="5"/>
  <c r="V807" i="5"/>
  <c r="B808" i="5"/>
  <c r="C808" i="5"/>
  <c r="D808" i="5"/>
  <c r="E808" i="5"/>
  <c r="F808" i="5"/>
  <c r="G808" i="5"/>
  <c r="H808" i="5"/>
  <c r="I808" i="5"/>
  <c r="J808" i="5"/>
  <c r="K808" i="5"/>
  <c r="L808" i="5"/>
  <c r="M808" i="5"/>
  <c r="N808" i="5"/>
  <c r="O808" i="5"/>
  <c r="P808" i="5"/>
  <c r="Q808" i="5"/>
  <c r="R808" i="5"/>
  <c r="S808" i="5"/>
  <c r="T808" i="5"/>
  <c r="U808" i="5"/>
  <c r="V808" i="5"/>
  <c r="B809" i="5"/>
  <c r="C809" i="5"/>
  <c r="D809" i="5"/>
  <c r="E809" i="5"/>
  <c r="F809" i="5"/>
  <c r="G809" i="5"/>
  <c r="H809" i="5"/>
  <c r="I809" i="5"/>
  <c r="J809" i="5"/>
  <c r="K809" i="5"/>
  <c r="L809" i="5"/>
  <c r="M809" i="5"/>
  <c r="N809" i="5"/>
  <c r="O809" i="5"/>
  <c r="P809" i="5"/>
  <c r="Q809" i="5"/>
  <c r="R809" i="5"/>
  <c r="S809" i="5"/>
  <c r="T809" i="5"/>
  <c r="U809" i="5"/>
  <c r="V809" i="5"/>
  <c r="B810" i="5"/>
  <c r="C810" i="5"/>
  <c r="D810" i="5"/>
  <c r="E810" i="5"/>
  <c r="F810" i="5"/>
  <c r="G810" i="5"/>
  <c r="H810" i="5"/>
  <c r="I810" i="5"/>
  <c r="J810" i="5"/>
  <c r="K810" i="5"/>
  <c r="L810" i="5"/>
  <c r="M810" i="5"/>
  <c r="N810" i="5"/>
  <c r="O810" i="5"/>
  <c r="P810" i="5"/>
  <c r="Q810" i="5"/>
  <c r="R810" i="5"/>
  <c r="S810" i="5"/>
  <c r="T810" i="5"/>
  <c r="U810" i="5"/>
  <c r="V810" i="5"/>
  <c r="B811" i="5"/>
  <c r="C811" i="5"/>
  <c r="D811" i="5"/>
  <c r="E811" i="5"/>
  <c r="F811" i="5"/>
  <c r="G811" i="5"/>
  <c r="H811" i="5"/>
  <c r="I811" i="5"/>
  <c r="J811" i="5"/>
  <c r="K811" i="5"/>
  <c r="L811" i="5"/>
  <c r="M811" i="5"/>
  <c r="N811" i="5"/>
  <c r="O811" i="5"/>
  <c r="P811" i="5"/>
  <c r="Q811" i="5"/>
  <c r="R811" i="5"/>
  <c r="S811" i="5"/>
  <c r="T811" i="5"/>
  <c r="U811" i="5"/>
  <c r="V811" i="5"/>
  <c r="B812" i="5"/>
  <c r="C812" i="5"/>
  <c r="D812" i="5"/>
  <c r="E812" i="5"/>
  <c r="F812" i="5"/>
  <c r="G812" i="5"/>
  <c r="H812" i="5"/>
  <c r="I812" i="5"/>
  <c r="J812" i="5"/>
  <c r="K812" i="5"/>
  <c r="L812" i="5"/>
  <c r="M812" i="5"/>
  <c r="N812" i="5"/>
  <c r="O812" i="5"/>
  <c r="P812" i="5"/>
  <c r="Q812" i="5"/>
  <c r="R812" i="5"/>
  <c r="S812" i="5"/>
  <c r="T812" i="5"/>
  <c r="U812" i="5"/>
  <c r="V812" i="5"/>
  <c r="B813" i="5"/>
  <c r="C813" i="5"/>
  <c r="D813" i="5"/>
  <c r="E813" i="5"/>
  <c r="F813" i="5"/>
  <c r="G813" i="5"/>
  <c r="H813" i="5"/>
  <c r="I813" i="5"/>
  <c r="J813" i="5"/>
  <c r="K813" i="5"/>
  <c r="L813" i="5"/>
  <c r="M813" i="5"/>
  <c r="N813" i="5"/>
  <c r="O813" i="5"/>
  <c r="P813" i="5"/>
  <c r="Q813" i="5"/>
  <c r="R813" i="5"/>
  <c r="S813" i="5"/>
  <c r="T813" i="5"/>
  <c r="U813" i="5"/>
  <c r="V813" i="5"/>
  <c r="B814" i="5"/>
  <c r="C814" i="5"/>
  <c r="D814" i="5"/>
  <c r="E814" i="5"/>
  <c r="F814" i="5"/>
  <c r="G814" i="5"/>
  <c r="H814" i="5"/>
  <c r="I814" i="5"/>
  <c r="J814" i="5"/>
  <c r="K814" i="5"/>
  <c r="L814" i="5"/>
  <c r="M814" i="5"/>
  <c r="N814" i="5"/>
  <c r="O814" i="5"/>
  <c r="P814" i="5"/>
  <c r="Q814" i="5"/>
  <c r="R814" i="5"/>
  <c r="S814" i="5"/>
  <c r="T814" i="5"/>
  <c r="U814" i="5"/>
  <c r="V814" i="5"/>
  <c r="B815" i="5"/>
  <c r="C815" i="5"/>
  <c r="D815" i="5"/>
  <c r="E815" i="5"/>
  <c r="F815" i="5"/>
  <c r="G815" i="5"/>
  <c r="H815" i="5"/>
  <c r="I815" i="5"/>
  <c r="J815" i="5"/>
  <c r="K815" i="5"/>
  <c r="L815" i="5"/>
  <c r="M815" i="5"/>
  <c r="N815" i="5"/>
  <c r="O815" i="5"/>
  <c r="P815" i="5"/>
  <c r="Q815" i="5"/>
  <c r="R815" i="5"/>
  <c r="S815" i="5"/>
  <c r="T815" i="5"/>
  <c r="U815" i="5"/>
  <c r="V815" i="5"/>
  <c r="B816" i="5"/>
  <c r="C816" i="5"/>
  <c r="D816" i="5"/>
  <c r="E816" i="5"/>
  <c r="F816" i="5"/>
  <c r="G816" i="5"/>
  <c r="H816" i="5"/>
  <c r="I816" i="5"/>
  <c r="J816" i="5"/>
  <c r="K816" i="5"/>
  <c r="L816" i="5"/>
  <c r="M816" i="5"/>
  <c r="N816" i="5"/>
  <c r="O816" i="5"/>
  <c r="P816" i="5"/>
  <c r="Q816" i="5"/>
  <c r="R816" i="5"/>
  <c r="S816" i="5"/>
  <c r="T816" i="5"/>
  <c r="U816" i="5"/>
  <c r="V816" i="5"/>
  <c r="B817" i="5"/>
  <c r="C817" i="5"/>
  <c r="D817" i="5"/>
  <c r="E817" i="5"/>
  <c r="F817" i="5"/>
  <c r="G817" i="5"/>
  <c r="H817" i="5"/>
  <c r="I817" i="5"/>
  <c r="J817" i="5"/>
  <c r="K817" i="5"/>
  <c r="L817" i="5"/>
  <c r="M817" i="5"/>
  <c r="N817" i="5"/>
  <c r="O817" i="5"/>
  <c r="P817" i="5"/>
  <c r="Q817" i="5"/>
  <c r="R817" i="5"/>
  <c r="S817" i="5"/>
  <c r="T817" i="5"/>
  <c r="U817" i="5"/>
  <c r="V817" i="5"/>
  <c r="B818" i="5"/>
  <c r="C818" i="5"/>
  <c r="D818" i="5"/>
  <c r="E818" i="5"/>
  <c r="F818" i="5"/>
  <c r="G818" i="5"/>
  <c r="H818" i="5"/>
  <c r="I818" i="5"/>
  <c r="J818" i="5"/>
  <c r="K818" i="5"/>
  <c r="L818" i="5"/>
  <c r="M818" i="5"/>
  <c r="N818" i="5"/>
  <c r="O818" i="5"/>
  <c r="P818" i="5"/>
  <c r="Q818" i="5"/>
  <c r="R818" i="5"/>
  <c r="S818" i="5"/>
  <c r="T818" i="5"/>
  <c r="U818" i="5"/>
  <c r="V818" i="5"/>
  <c r="B819" i="5"/>
  <c r="C819" i="5"/>
  <c r="D819" i="5"/>
  <c r="E819" i="5"/>
  <c r="F819" i="5"/>
  <c r="G819" i="5"/>
  <c r="H819" i="5"/>
  <c r="I819" i="5"/>
  <c r="J819" i="5"/>
  <c r="K819" i="5"/>
  <c r="L819" i="5"/>
  <c r="M819" i="5"/>
  <c r="N819" i="5"/>
  <c r="O819" i="5"/>
  <c r="P819" i="5"/>
  <c r="Q819" i="5"/>
  <c r="R819" i="5"/>
  <c r="S819" i="5"/>
  <c r="T819" i="5"/>
  <c r="U819" i="5"/>
  <c r="V819" i="5"/>
  <c r="B820" i="5"/>
  <c r="C820" i="5"/>
  <c r="D820" i="5"/>
  <c r="E820" i="5"/>
  <c r="F820" i="5"/>
  <c r="G820" i="5"/>
  <c r="H820" i="5"/>
  <c r="I820" i="5"/>
  <c r="J820" i="5"/>
  <c r="K820" i="5"/>
  <c r="L820" i="5"/>
  <c r="M820" i="5"/>
  <c r="N820" i="5"/>
  <c r="O820" i="5"/>
  <c r="P820" i="5"/>
  <c r="Q820" i="5"/>
  <c r="R820" i="5"/>
  <c r="S820" i="5"/>
  <c r="T820" i="5"/>
  <c r="U820" i="5"/>
  <c r="V820" i="5"/>
  <c r="B821" i="5"/>
  <c r="C821" i="5"/>
  <c r="D821" i="5"/>
  <c r="E821" i="5"/>
  <c r="F821" i="5"/>
  <c r="G821" i="5"/>
  <c r="H821" i="5"/>
  <c r="I821" i="5"/>
  <c r="J821" i="5"/>
  <c r="K821" i="5"/>
  <c r="L821" i="5"/>
  <c r="M821" i="5"/>
  <c r="N821" i="5"/>
  <c r="O821" i="5"/>
  <c r="P821" i="5"/>
  <c r="Q821" i="5"/>
  <c r="R821" i="5"/>
  <c r="S821" i="5"/>
  <c r="T821" i="5"/>
  <c r="U821" i="5"/>
  <c r="V821" i="5"/>
  <c r="B822" i="5"/>
  <c r="C822" i="5"/>
  <c r="D822" i="5"/>
  <c r="E822" i="5"/>
  <c r="F822" i="5"/>
  <c r="G822" i="5"/>
  <c r="H822" i="5"/>
  <c r="I822" i="5"/>
  <c r="J822" i="5"/>
  <c r="K822" i="5"/>
  <c r="L822" i="5"/>
  <c r="M822" i="5"/>
  <c r="N822" i="5"/>
  <c r="O822" i="5"/>
  <c r="P822" i="5"/>
  <c r="Q822" i="5"/>
  <c r="R822" i="5"/>
  <c r="S822" i="5"/>
  <c r="T822" i="5"/>
  <c r="U822" i="5"/>
  <c r="V822" i="5"/>
  <c r="B823" i="5"/>
  <c r="C823" i="5"/>
  <c r="D823" i="5"/>
  <c r="E823" i="5"/>
  <c r="F823" i="5"/>
  <c r="G823" i="5"/>
  <c r="H823" i="5"/>
  <c r="I823" i="5"/>
  <c r="J823" i="5"/>
  <c r="K823" i="5"/>
  <c r="L823" i="5"/>
  <c r="M823" i="5"/>
  <c r="N823" i="5"/>
  <c r="O823" i="5"/>
  <c r="P823" i="5"/>
  <c r="Q823" i="5"/>
  <c r="R823" i="5"/>
  <c r="S823" i="5"/>
  <c r="T823" i="5"/>
  <c r="U823" i="5"/>
  <c r="V823" i="5"/>
  <c r="B824" i="5"/>
  <c r="C824" i="5"/>
  <c r="D824" i="5"/>
  <c r="E824" i="5"/>
  <c r="F824" i="5"/>
  <c r="G824" i="5"/>
  <c r="H824" i="5"/>
  <c r="I824" i="5"/>
  <c r="J824" i="5"/>
  <c r="K824" i="5"/>
  <c r="L824" i="5"/>
  <c r="M824" i="5"/>
  <c r="N824" i="5"/>
  <c r="O824" i="5"/>
  <c r="P824" i="5"/>
  <c r="Q824" i="5"/>
  <c r="R824" i="5"/>
  <c r="S824" i="5"/>
  <c r="T824" i="5"/>
  <c r="U824" i="5"/>
  <c r="V824" i="5"/>
  <c r="B825" i="5"/>
  <c r="C825" i="5"/>
  <c r="D825" i="5"/>
  <c r="E825" i="5"/>
  <c r="F825" i="5"/>
  <c r="G825" i="5"/>
  <c r="H825" i="5"/>
  <c r="I825" i="5"/>
  <c r="J825" i="5"/>
  <c r="K825" i="5"/>
  <c r="L825" i="5"/>
  <c r="M825" i="5"/>
  <c r="N825" i="5"/>
  <c r="O825" i="5"/>
  <c r="P825" i="5"/>
  <c r="Q825" i="5"/>
  <c r="R825" i="5"/>
  <c r="S825" i="5"/>
  <c r="T825" i="5"/>
  <c r="U825" i="5"/>
  <c r="V825" i="5"/>
  <c r="B826" i="5"/>
  <c r="C826" i="5"/>
  <c r="D826" i="5"/>
  <c r="E826" i="5"/>
  <c r="F826" i="5"/>
  <c r="G826" i="5"/>
  <c r="H826" i="5"/>
  <c r="I826" i="5"/>
  <c r="J826" i="5"/>
  <c r="K826" i="5"/>
  <c r="L826" i="5"/>
  <c r="M826" i="5"/>
  <c r="N826" i="5"/>
  <c r="O826" i="5"/>
  <c r="P826" i="5"/>
  <c r="Q826" i="5"/>
  <c r="R826" i="5"/>
  <c r="S826" i="5"/>
  <c r="T826" i="5"/>
  <c r="U826" i="5"/>
  <c r="V826" i="5"/>
  <c r="B827" i="5"/>
  <c r="C827" i="5"/>
  <c r="D827" i="5"/>
  <c r="E827" i="5"/>
  <c r="F827" i="5"/>
  <c r="G827" i="5"/>
  <c r="H827" i="5"/>
  <c r="I827" i="5"/>
  <c r="J827" i="5"/>
  <c r="K827" i="5"/>
  <c r="L827" i="5"/>
  <c r="M827" i="5"/>
  <c r="N827" i="5"/>
  <c r="O827" i="5"/>
  <c r="P827" i="5"/>
  <c r="Q827" i="5"/>
  <c r="R827" i="5"/>
  <c r="S827" i="5"/>
  <c r="T827" i="5"/>
  <c r="U827" i="5"/>
  <c r="V827" i="5"/>
  <c r="B828" i="5"/>
  <c r="C828" i="5"/>
  <c r="D828" i="5"/>
  <c r="E828" i="5"/>
  <c r="F828" i="5"/>
  <c r="G828" i="5"/>
  <c r="H828" i="5"/>
  <c r="I828" i="5"/>
  <c r="J828" i="5"/>
  <c r="K828" i="5"/>
  <c r="L828" i="5"/>
  <c r="M828" i="5"/>
  <c r="N828" i="5"/>
  <c r="O828" i="5"/>
  <c r="P828" i="5"/>
  <c r="Q828" i="5"/>
  <c r="R828" i="5"/>
  <c r="S828" i="5"/>
  <c r="T828" i="5"/>
  <c r="U828" i="5"/>
  <c r="V828" i="5"/>
  <c r="B829" i="5"/>
  <c r="C829" i="5"/>
  <c r="D829" i="5"/>
  <c r="E829" i="5"/>
  <c r="F829" i="5"/>
  <c r="G829" i="5"/>
  <c r="H829" i="5"/>
  <c r="I829" i="5"/>
  <c r="J829" i="5"/>
  <c r="K829" i="5"/>
  <c r="L829" i="5"/>
  <c r="M829" i="5"/>
  <c r="N829" i="5"/>
  <c r="O829" i="5"/>
  <c r="P829" i="5"/>
  <c r="Q829" i="5"/>
  <c r="R829" i="5"/>
  <c r="S829" i="5"/>
  <c r="T829" i="5"/>
  <c r="U829" i="5"/>
  <c r="V829" i="5"/>
  <c r="B830" i="5"/>
  <c r="C830" i="5"/>
  <c r="D830" i="5"/>
  <c r="E830" i="5"/>
  <c r="F830" i="5"/>
  <c r="G830" i="5"/>
  <c r="H830" i="5"/>
  <c r="I830" i="5"/>
  <c r="J830" i="5"/>
  <c r="K830" i="5"/>
  <c r="L830" i="5"/>
  <c r="M830" i="5"/>
  <c r="N830" i="5"/>
  <c r="O830" i="5"/>
  <c r="P830" i="5"/>
  <c r="Q830" i="5"/>
  <c r="R830" i="5"/>
  <c r="S830" i="5"/>
  <c r="T830" i="5"/>
  <c r="U830" i="5"/>
  <c r="V830" i="5"/>
  <c r="B831" i="5"/>
  <c r="C831" i="5"/>
  <c r="D831" i="5"/>
  <c r="E831" i="5"/>
  <c r="F831" i="5"/>
  <c r="G831" i="5"/>
  <c r="H831" i="5"/>
  <c r="I831" i="5"/>
  <c r="J831" i="5"/>
  <c r="K831" i="5"/>
  <c r="L831" i="5"/>
  <c r="M831" i="5"/>
  <c r="N831" i="5"/>
  <c r="O831" i="5"/>
  <c r="P831" i="5"/>
  <c r="Q831" i="5"/>
  <c r="R831" i="5"/>
  <c r="S831" i="5"/>
  <c r="T831" i="5"/>
  <c r="U831" i="5"/>
  <c r="V831" i="5"/>
  <c r="B832" i="5"/>
  <c r="C832" i="5"/>
  <c r="D832" i="5"/>
  <c r="E832" i="5"/>
  <c r="F832" i="5"/>
  <c r="G832" i="5"/>
  <c r="H832" i="5"/>
  <c r="I832" i="5"/>
  <c r="J832" i="5"/>
  <c r="K832" i="5"/>
  <c r="L832" i="5"/>
  <c r="M832" i="5"/>
  <c r="N832" i="5"/>
  <c r="O832" i="5"/>
  <c r="P832" i="5"/>
  <c r="Q832" i="5"/>
  <c r="R832" i="5"/>
  <c r="S832" i="5"/>
  <c r="T832" i="5"/>
  <c r="U832" i="5"/>
  <c r="V832" i="5"/>
  <c r="B833" i="5"/>
  <c r="C833" i="5"/>
  <c r="D833" i="5"/>
  <c r="E833" i="5"/>
  <c r="F833" i="5"/>
  <c r="G833" i="5"/>
  <c r="H833" i="5"/>
  <c r="I833" i="5"/>
  <c r="J833" i="5"/>
  <c r="K833" i="5"/>
  <c r="L833" i="5"/>
  <c r="M833" i="5"/>
  <c r="N833" i="5"/>
  <c r="O833" i="5"/>
  <c r="P833" i="5"/>
  <c r="Q833" i="5"/>
  <c r="R833" i="5"/>
  <c r="S833" i="5"/>
  <c r="T833" i="5"/>
  <c r="U833" i="5"/>
  <c r="V833" i="5"/>
  <c r="B834" i="5"/>
  <c r="C834" i="5"/>
  <c r="D834" i="5"/>
  <c r="E834" i="5"/>
  <c r="F834" i="5"/>
  <c r="G834" i="5"/>
  <c r="H834" i="5"/>
  <c r="I834" i="5"/>
  <c r="J834" i="5"/>
  <c r="K834" i="5"/>
  <c r="L834" i="5"/>
  <c r="M834" i="5"/>
  <c r="N834" i="5"/>
  <c r="O834" i="5"/>
  <c r="P834" i="5"/>
  <c r="Q834" i="5"/>
  <c r="R834" i="5"/>
  <c r="S834" i="5"/>
  <c r="T834" i="5"/>
  <c r="U834" i="5"/>
  <c r="V834" i="5"/>
  <c r="B835" i="5"/>
  <c r="C835" i="5"/>
  <c r="D835" i="5"/>
  <c r="E835" i="5"/>
  <c r="F835" i="5"/>
  <c r="G835" i="5"/>
  <c r="H835" i="5"/>
  <c r="I835" i="5"/>
  <c r="J835" i="5"/>
  <c r="K835" i="5"/>
  <c r="L835" i="5"/>
  <c r="M835" i="5"/>
  <c r="N835" i="5"/>
  <c r="O835" i="5"/>
  <c r="P835" i="5"/>
  <c r="Q835" i="5"/>
  <c r="R835" i="5"/>
  <c r="S835" i="5"/>
  <c r="T835" i="5"/>
  <c r="U835" i="5"/>
  <c r="V835" i="5"/>
  <c r="B836" i="5"/>
  <c r="C836" i="5"/>
  <c r="D836" i="5"/>
  <c r="E836" i="5"/>
  <c r="F836" i="5"/>
  <c r="G836" i="5"/>
  <c r="H836" i="5"/>
  <c r="I836" i="5"/>
  <c r="J836" i="5"/>
  <c r="K836" i="5"/>
  <c r="L836" i="5"/>
  <c r="M836" i="5"/>
  <c r="N836" i="5"/>
  <c r="O836" i="5"/>
  <c r="P836" i="5"/>
  <c r="Q836" i="5"/>
  <c r="R836" i="5"/>
  <c r="S836" i="5"/>
  <c r="T836" i="5"/>
  <c r="U836" i="5"/>
  <c r="V836" i="5"/>
  <c r="B837" i="5"/>
  <c r="C837" i="5"/>
  <c r="D837" i="5"/>
  <c r="E837" i="5"/>
  <c r="F837" i="5"/>
  <c r="G837" i="5"/>
  <c r="H837" i="5"/>
  <c r="I837" i="5"/>
  <c r="J837" i="5"/>
  <c r="K837" i="5"/>
  <c r="L837" i="5"/>
  <c r="M837" i="5"/>
  <c r="N837" i="5"/>
  <c r="O837" i="5"/>
  <c r="P837" i="5"/>
  <c r="Q837" i="5"/>
  <c r="R837" i="5"/>
  <c r="S837" i="5"/>
  <c r="T837" i="5"/>
  <c r="U837" i="5"/>
  <c r="V837" i="5"/>
  <c r="B838" i="5"/>
  <c r="C838" i="5"/>
  <c r="D838" i="5"/>
  <c r="E838" i="5"/>
  <c r="F838" i="5"/>
  <c r="G838" i="5"/>
  <c r="H838" i="5"/>
  <c r="I838" i="5"/>
  <c r="J838" i="5"/>
  <c r="K838" i="5"/>
  <c r="L838" i="5"/>
  <c r="M838" i="5"/>
  <c r="N838" i="5"/>
  <c r="O838" i="5"/>
  <c r="P838" i="5"/>
  <c r="Q838" i="5"/>
  <c r="R838" i="5"/>
  <c r="S838" i="5"/>
  <c r="T838" i="5"/>
  <c r="U838" i="5"/>
  <c r="V838" i="5"/>
  <c r="B839" i="5"/>
  <c r="C839" i="5"/>
  <c r="D839" i="5"/>
  <c r="E839" i="5"/>
  <c r="F839" i="5"/>
  <c r="G839" i="5"/>
  <c r="H839" i="5"/>
  <c r="I839" i="5"/>
  <c r="J839" i="5"/>
  <c r="K839" i="5"/>
  <c r="L839" i="5"/>
  <c r="M839" i="5"/>
  <c r="N839" i="5"/>
  <c r="O839" i="5"/>
  <c r="P839" i="5"/>
  <c r="Q839" i="5"/>
  <c r="R839" i="5"/>
  <c r="S839" i="5"/>
  <c r="T839" i="5"/>
  <c r="U839" i="5"/>
  <c r="V839" i="5"/>
  <c r="B840" i="5"/>
  <c r="C840" i="5"/>
  <c r="D840" i="5"/>
  <c r="E840" i="5"/>
  <c r="F840" i="5"/>
  <c r="G840" i="5"/>
  <c r="H840" i="5"/>
  <c r="I840" i="5"/>
  <c r="J840" i="5"/>
  <c r="K840" i="5"/>
  <c r="L840" i="5"/>
  <c r="M840" i="5"/>
  <c r="N840" i="5"/>
  <c r="O840" i="5"/>
  <c r="P840" i="5"/>
  <c r="Q840" i="5"/>
  <c r="R840" i="5"/>
  <c r="S840" i="5"/>
  <c r="T840" i="5"/>
  <c r="U840" i="5"/>
  <c r="V840" i="5"/>
  <c r="B841" i="5"/>
  <c r="C841" i="5"/>
  <c r="D841" i="5"/>
  <c r="E841" i="5"/>
  <c r="F841" i="5"/>
  <c r="G841" i="5"/>
  <c r="H841" i="5"/>
  <c r="I841" i="5"/>
  <c r="J841" i="5"/>
  <c r="K841" i="5"/>
  <c r="L841" i="5"/>
  <c r="M841" i="5"/>
  <c r="N841" i="5"/>
  <c r="O841" i="5"/>
  <c r="P841" i="5"/>
  <c r="Q841" i="5"/>
  <c r="R841" i="5"/>
  <c r="S841" i="5"/>
  <c r="T841" i="5"/>
  <c r="U841" i="5"/>
  <c r="V841" i="5"/>
  <c r="B842" i="5"/>
  <c r="C842" i="5"/>
  <c r="D842" i="5"/>
  <c r="E842" i="5"/>
  <c r="F842" i="5"/>
  <c r="G842" i="5"/>
  <c r="H842" i="5"/>
  <c r="I842" i="5"/>
  <c r="J842" i="5"/>
  <c r="K842" i="5"/>
  <c r="L842" i="5"/>
  <c r="M842" i="5"/>
  <c r="N842" i="5"/>
  <c r="O842" i="5"/>
  <c r="P842" i="5"/>
  <c r="Q842" i="5"/>
  <c r="R842" i="5"/>
  <c r="S842" i="5"/>
  <c r="T842" i="5"/>
  <c r="U842" i="5"/>
  <c r="V842" i="5"/>
  <c r="B843" i="5"/>
  <c r="C843" i="5"/>
  <c r="D843" i="5"/>
  <c r="E843" i="5"/>
  <c r="F843" i="5"/>
  <c r="G843" i="5"/>
  <c r="H843" i="5"/>
  <c r="I843" i="5"/>
  <c r="J843" i="5"/>
  <c r="K843" i="5"/>
  <c r="L843" i="5"/>
  <c r="M843" i="5"/>
  <c r="N843" i="5"/>
  <c r="O843" i="5"/>
  <c r="P843" i="5"/>
  <c r="Q843" i="5"/>
  <c r="R843" i="5"/>
  <c r="S843" i="5"/>
  <c r="T843" i="5"/>
  <c r="U843" i="5"/>
  <c r="V843" i="5"/>
  <c r="B844" i="5"/>
  <c r="C844" i="5"/>
  <c r="D844" i="5"/>
  <c r="E844" i="5"/>
  <c r="F844" i="5"/>
  <c r="G844" i="5"/>
  <c r="H844" i="5"/>
  <c r="I844" i="5"/>
  <c r="J844" i="5"/>
  <c r="K844" i="5"/>
  <c r="L844" i="5"/>
  <c r="M844" i="5"/>
  <c r="N844" i="5"/>
  <c r="O844" i="5"/>
  <c r="P844" i="5"/>
  <c r="Q844" i="5"/>
  <c r="R844" i="5"/>
  <c r="S844" i="5"/>
  <c r="T844" i="5"/>
  <c r="U844" i="5"/>
  <c r="V844" i="5"/>
  <c r="B845" i="5"/>
  <c r="C845" i="5"/>
  <c r="D845" i="5"/>
  <c r="E845" i="5"/>
  <c r="F845" i="5"/>
  <c r="G845" i="5"/>
  <c r="H845" i="5"/>
  <c r="I845" i="5"/>
  <c r="J845" i="5"/>
  <c r="K845" i="5"/>
  <c r="L845" i="5"/>
  <c r="M845" i="5"/>
  <c r="N845" i="5"/>
  <c r="O845" i="5"/>
  <c r="P845" i="5"/>
  <c r="Q845" i="5"/>
  <c r="R845" i="5"/>
  <c r="S845" i="5"/>
  <c r="T845" i="5"/>
  <c r="U845" i="5"/>
  <c r="V845" i="5"/>
  <c r="B846" i="5"/>
  <c r="C846" i="5"/>
  <c r="D846" i="5"/>
  <c r="E846" i="5"/>
  <c r="F846" i="5"/>
  <c r="G846" i="5"/>
  <c r="H846" i="5"/>
  <c r="I846" i="5"/>
  <c r="J846" i="5"/>
  <c r="K846" i="5"/>
  <c r="L846" i="5"/>
  <c r="M846" i="5"/>
  <c r="N846" i="5"/>
  <c r="O846" i="5"/>
  <c r="P846" i="5"/>
  <c r="Q846" i="5"/>
  <c r="R846" i="5"/>
  <c r="S846" i="5"/>
  <c r="T846" i="5"/>
  <c r="U846" i="5"/>
  <c r="V846" i="5"/>
  <c r="B847" i="5"/>
  <c r="C847" i="5"/>
  <c r="D847" i="5"/>
  <c r="E847" i="5"/>
  <c r="F847" i="5"/>
  <c r="G847" i="5"/>
  <c r="H847" i="5"/>
  <c r="I847" i="5"/>
  <c r="J847" i="5"/>
  <c r="K847" i="5"/>
  <c r="L847" i="5"/>
  <c r="M847" i="5"/>
  <c r="N847" i="5"/>
  <c r="O847" i="5"/>
  <c r="P847" i="5"/>
  <c r="Q847" i="5"/>
  <c r="R847" i="5"/>
  <c r="S847" i="5"/>
  <c r="T847" i="5"/>
  <c r="U847" i="5"/>
  <c r="V847" i="5"/>
  <c r="B848" i="5"/>
  <c r="C848" i="5"/>
  <c r="D848" i="5"/>
  <c r="E848" i="5"/>
  <c r="F848" i="5"/>
  <c r="G848" i="5"/>
  <c r="H848" i="5"/>
  <c r="I848" i="5"/>
  <c r="J848" i="5"/>
  <c r="K848" i="5"/>
  <c r="L848" i="5"/>
  <c r="M848" i="5"/>
  <c r="N848" i="5"/>
  <c r="O848" i="5"/>
  <c r="P848" i="5"/>
  <c r="Q848" i="5"/>
  <c r="R848" i="5"/>
  <c r="S848" i="5"/>
  <c r="T848" i="5"/>
  <c r="U848" i="5"/>
  <c r="V848" i="5"/>
  <c r="B849" i="5"/>
  <c r="C849" i="5"/>
  <c r="D849" i="5"/>
  <c r="E849" i="5"/>
  <c r="F849" i="5"/>
  <c r="G849" i="5"/>
  <c r="H849" i="5"/>
  <c r="I849" i="5"/>
  <c r="J849" i="5"/>
  <c r="K849" i="5"/>
  <c r="L849" i="5"/>
  <c r="M849" i="5"/>
  <c r="N849" i="5"/>
  <c r="O849" i="5"/>
  <c r="P849" i="5"/>
  <c r="Q849" i="5"/>
  <c r="R849" i="5"/>
  <c r="S849" i="5"/>
  <c r="T849" i="5"/>
  <c r="U849" i="5"/>
  <c r="V849" i="5"/>
  <c r="B850" i="5"/>
  <c r="C850" i="5"/>
  <c r="D850" i="5"/>
  <c r="E850" i="5"/>
  <c r="F850" i="5"/>
  <c r="G850" i="5"/>
  <c r="H850" i="5"/>
  <c r="I850" i="5"/>
  <c r="J850" i="5"/>
  <c r="K850" i="5"/>
  <c r="L850" i="5"/>
  <c r="M850" i="5"/>
  <c r="N850" i="5"/>
  <c r="O850" i="5"/>
  <c r="P850" i="5"/>
  <c r="Q850" i="5"/>
  <c r="R850" i="5"/>
  <c r="S850" i="5"/>
  <c r="T850" i="5"/>
  <c r="U850" i="5"/>
  <c r="V850" i="5"/>
  <c r="B851" i="5"/>
  <c r="C851" i="5"/>
  <c r="D851" i="5"/>
  <c r="E851" i="5"/>
  <c r="F851" i="5"/>
  <c r="G851" i="5"/>
  <c r="H851" i="5"/>
  <c r="I851" i="5"/>
  <c r="J851" i="5"/>
  <c r="K851" i="5"/>
  <c r="L851" i="5"/>
  <c r="M851" i="5"/>
  <c r="N851" i="5"/>
  <c r="O851" i="5"/>
  <c r="P851" i="5"/>
  <c r="Q851" i="5"/>
  <c r="R851" i="5"/>
  <c r="S851" i="5"/>
  <c r="T851" i="5"/>
  <c r="U851" i="5"/>
  <c r="V851" i="5"/>
  <c r="B852" i="5"/>
  <c r="C852" i="5"/>
  <c r="D852" i="5"/>
  <c r="E852" i="5"/>
  <c r="F852" i="5"/>
  <c r="G852" i="5"/>
  <c r="H852" i="5"/>
  <c r="I852" i="5"/>
  <c r="J852" i="5"/>
  <c r="K852" i="5"/>
  <c r="L852" i="5"/>
  <c r="M852" i="5"/>
  <c r="N852" i="5"/>
  <c r="O852" i="5"/>
  <c r="P852" i="5"/>
  <c r="Q852" i="5"/>
  <c r="R852" i="5"/>
  <c r="S852" i="5"/>
  <c r="T852" i="5"/>
  <c r="U852" i="5"/>
  <c r="V852" i="5"/>
  <c r="B853" i="5"/>
  <c r="C853" i="5"/>
  <c r="D853" i="5"/>
  <c r="E853" i="5"/>
  <c r="F853" i="5"/>
  <c r="G853" i="5"/>
  <c r="H853" i="5"/>
  <c r="I853" i="5"/>
  <c r="J853" i="5"/>
  <c r="K853" i="5"/>
  <c r="L853" i="5"/>
  <c r="M853" i="5"/>
  <c r="N853" i="5"/>
  <c r="O853" i="5"/>
  <c r="P853" i="5"/>
  <c r="Q853" i="5"/>
  <c r="R853" i="5"/>
  <c r="S853" i="5"/>
  <c r="T853" i="5"/>
  <c r="U853" i="5"/>
  <c r="V853" i="5"/>
  <c r="B854" i="5"/>
  <c r="C854" i="5"/>
  <c r="D854" i="5"/>
  <c r="E854" i="5"/>
  <c r="F854" i="5"/>
  <c r="G854" i="5"/>
  <c r="H854" i="5"/>
  <c r="I854" i="5"/>
  <c r="J854" i="5"/>
  <c r="K854" i="5"/>
  <c r="L854" i="5"/>
  <c r="M854" i="5"/>
  <c r="N854" i="5"/>
  <c r="O854" i="5"/>
  <c r="P854" i="5"/>
  <c r="Q854" i="5"/>
  <c r="R854" i="5"/>
  <c r="S854" i="5"/>
  <c r="T854" i="5"/>
  <c r="U854" i="5"/>
  <c r="V854" i="5"/>
  <c r="B855" i="5"/>
  <c r="C855" i="5"/>
  <c r="D855" i="5"/>
  <c r="E855" i="5"/>
  <c r="F855" i="5"/>
  <c r="G855" i="5"/>
  <c r="H855" i="5"/>
  <c r="I855" i="5"/>
  <c r="J855" i="5"/>
  <c r="K855" i="5"/>
  <c r="L855" i="5"/>
  <c r="M855" i="5"/>
  <c r="N855" i="5"/>
  <c r="O855" i="5"/>
  <c r="P855" i="5"/>
  <c r="Q855" i="5"/>
  <c r="R855" i="5"/>
  <c r="S855" i="5"/>
  <c r="T855" i="5"/>
  <c r="U855" i="5"/>
  <c r="V855" i="5"/>
  <c r="B856" i="5"/>
  <c r="C856" i="5"/>
  <c r="D856" i="5"/>
  <c r="E856" i="5"/>
  <c r="F856" i="5"/>
  <c r="G856" i="5"/>
  <c r="H856" i="5"/>
  <c r="I856" i="5"/>
  <c r="J856" i="5"/>
  <c r="K856" i="5"/>
  <c r="L856" i="5"/>
  <c r="M856" i="5"/>
  <c r="N856" i="5"/>
  <c r="O856" i="5"/>
  <c r="P856" i="5"/>
  <c r="Q856" i="5"/>
  <c r="R856" i="5"/>
  <c r="S856" i="5"/>
  <c r="T856" i="5"/>
  <c r="U856" i="5"/>
  <c r="V856" i="5"/>
  <c r="B857" i="5"/>
  <c r="C857" i="5"/>
  <c r="D857" i="5"/>
  <c r="E857" i="5"/>
  <c r="F857" i="5"/>
  <c r="G857" i="5"/>
  <c r="H857" i="5"/>
  <c r="I857" i="5"/>
  <c r="J857" i="5"/>
  <c r="K857" i="5"/>
  <c r="L857" i="5"/>
  <c r="M857" i="5"/>
  <c r="N857" i="5"/>
  <c r="O857" i="5"/>
  <c r="P857" i="5"/>
  <c r="Q857" i="5"/>
  <c r="R857" i="5"/>
  <c r="S857" i="5"/>
  <c r="T857" i="5"/>
  <c r="U857" i="5"/>
  <c r="V857" i="5"/>
  <c r="B858" i="5"/>
  <c r="C858" i="5"/>
  <c r="D858" i="5"/>
  <c r="E858" i="5"/>
  <c r="F858" i="5"/>
  <c r="G858" i="5"/>
  <c r="H858" i="5"/>
  <c r="I858" i="5"/>
  <c r="J858" i="5"/>
  <c r="K858" i="5"/>
  <c r="L858" i="5"/>
  <c r="M858" i="5"/>
  <c r="N858" i="5"/>
  <c r="O858" i="5"/>
  <c r="P858" i="5"/>
  <c r="Q858" i="5"/>
  <c r="R858" i="5"/>
  <c r="S858" i="5"/>
  <c r="T858" i="5"/>
  <c r="U858" i="5"/>
  <c r="V858" i="5"/>
  <c r="B859" i="5"/>
  <c r="C859" i="5"/>
  <c r="D859" i="5"/>
  <c r="E859" i="5"/>
  <c r="F859" i="5"/>
  <c r="G859" i="5"/>
  <c r="H859" i="5"/>
  <c r="I859" i="5"/>
  <c r="J859" i="5"/>
  <c r="K859" i="5"/>
  <c r="L859" i="5"/>
  <c r="M859" i="5"/>
  <c r="N859" i="5"/>
  <c r="O859" i="5"/>
  <c r="P859" i="5"/>
  <c r="Q859" i="5"/>
  <c r="R859" i="5"/>
  <c r="S859" i="5"/>
  <c r="T859" i="5"/>
  <c r="U859" i="5"/>
  <c r="V859" i="5"/>
  <c r="B860" i="5"/>
  <c r="C860" i="5"/>
  <c r="D860" i="5"/>
  <c r="E860" i="5"/>
  <c r="F860" i="5"/>
  <c r="G860" i="5"/>
  <c r="H860" i="5"/>
  <c r="I860" i="5"/>
  <c r="J860" i="5"/>
  <c r="K860" i="5"/>
  <c r="L860" i="5"/>
  <c r="M860" i="5"/>
  <c r="N860" i="5"/>
  <c r="O860" i="5"/>
  <c r="P860" i="5"/>
  <c r="Q860" i="5"/>
  <c r="R860" i="5"/>
  <c r="S860" i="5"/>
  <c r="T860" i="5"/>
  <c r="U860" i="5"/>
  <c r="V860" i="5"/>
  <c r="B861" i="5"/>
  <c r="C861" i="5"/>
  <c r="D861" i="5"/>
  <c r="E861" i="5"/>
  <c r="F861" i="5"/>
  <c r="G861" i="5"/>
  <c r="H861" i="5"/>
  <c r="I861" i="5"/>
  <c r="J861" i="5"/>
  <c r="K861" i="5"/>
  <c r="L861" i="5"/>
  <c r="M861" i="5"/>
  <c r="N861" i="5"/>
  <c r="O861" i="5"/>
  <c r="P861" i="5"/>
  <c r="Q861" i="5"/>
  <c r="R861" i="5"/>
  <c r="S861" i="5"/>
  <c r="T861" i="5"/>
  <c r="U861" i="5"/>
  <c r="V861" i="5"/>
  <c r="B862" i="5"/>
  <c r="C862" i="5"/>
  <c r="D862" i="5"/>
  <c r="E862" i="5"/>
  <c r="F862" i="5"/>
  <c r="G862" i="5"/>
  <c r="H862" i="5"/>
  <c r="I862" i="5"/>
  <c r="J862" i="5"/>
  <c r="K862" i="5"/>
  <c r="L862" i="5"/>
  <c r="M862" i="5"/>
  <c r="N862" i="5"/>
  <c r="O862" i="5"/>
  <c r="P862" i="5"/>
  <c r="Q862" i="5"/>
  <c r="R862" i="5"/>
  <c r="S862" i="5"/>
  <c r="T862" i="5"/>
  <c r="U862" i="5"/>
  <c r="V862" i="5"/>
  <c r="B863" i="5"/>
  <c r="C863" i="5"/>
  <c r="D863" i="5"/>
  <c r="E863" i="5"/>
  <c r="F863" i="5"/>
  <c r="G863" i="5"/>
  <c r="H863" i="5"/>
  <c r="I863" i="5"/>
  <c r="J863" i="5"/>
  <c r="K863" i="5"/>
  <c r="L863" i="5"/>
  <c r="M863" i="5"/>
  <c r="N863" i="5"/>
  <c r="O863" i="5"/>
  <c r="P863" i="5"/>
  <c r="Q863" i="5"/>
  <c r="R863" i="5"/>
  <c r="S863" i="5"/>
  <c r="T863" i="5"/>
  <c r="U863" i="5"/>
  <c r="V863" i="5"/>
  <c r="B864" i="5"/>
  <c r="C864" i="5"/>
  <c r="D864" i="5"/>
  <c r="E864" i="5"/>
  <c r="F864" i="5"/>
  <c r="G864" i="5"/>
  <c r="H864" i="5"/>
  <c r="I864" i="5"/>
  <c r="J864" i="5"/>
  <c r="K864" i="5"/>
  <c r="L864" i="5"/>
  <c r="M864" i="5"/>
  <c r="N864" i="5"/>
  <c r="O864" i="5"/>
  <c r="P864" i="5"/>
  <c r="Q864" i="5"/>
  <c r="R864" i="5"/>
  <c r="S864" i="5"/>
  <c r="T864" i="5"/>
  <c r="U864" i="5"/>
  <c r="V864" i="5"/>
  <c r="B865" i="5"/>
  <c r="C865" i="5"/>
  <c r="D865" i="5"/>
  <c r="E865" i="5"/>
  <c r="F865" i="5"/>
  <c r="G865" i="5"/>
  <c r="H865" i="5"/>
  <c r="I865" i="5"/>
  <c r="J865" i="5"/>
  <c r="K865" i="5"/>
  <c r="L865" i="5"/>
  <c r="M865" i="5"/>
  <c r="N865" i="5"/>
  <c r="O865" i="5"/>
  <c r="P865" i="5"/>
  <c r="Q865" i="5"/>
  <c r="R865" i="5"/>
  <c r="S865" i="5"/>
  <c r="T865" i="5"/>
  <c r="U865" i="5"/>
  <c r="V865" i="5"/>
  <c r="B866" i="5"/>
  <c r="C866" i="5"/>
  <c r="D866" i="5"/>
  <c r="E866" i="5"/>
  <c r="F866" i="5"/>
  <c r="G866" i="5"/>
  <c r="H866" i="5"/>
  <c r="I866" i="5"/>
  <c r="J866" i="5"/>
  <c r="K866" i="5"/>
  <c r="L866" i="5"/>
  <c r="M866" i="5"/>
  <c r="N866" i="5"/>
  <c r="O866" i="5"/>
  <c r="P866" i="5"/>
  <c r="Q866" i="5"/>
  <c r="R866" i="5"/>
  <c r="S866" i="5"/>
  <c r="T866" i="5"/>
  <c r="U866" i="5"/>
  <c r="V866" i="5"/>
  <c r="B867" i="5"/>
  <c r="C867" i="5"/>
  <c r="D867" i="5"/>
  <c r="E867" i="5"/>
  <c r="F867" i="5"/>
  <c r="G867" i="5"/>
  <c r="H867" i="5"/>
  <c r="I867" i="5"/>
  <c r="J867" i="5"/>
  <c r="K867" i="5"/>
  <c r="L867" i="5"/>
  <c r="M867" i="5"/>
  <c r="N867" i="5"/>
  <c r="O867" i="5"/>
  <c r="P867" i="5"/>
  <c r="Q867" i="5"/>
  <c r="R867" i="5"/>
  <c r="S867" i="5"/>
  <c r="T867" i="5"/>
  <c r="U867" i="5"/>
  <c r="V867" i="5"/>
  <c r="B868" i="5"/>
  <c r="C868" i="5"/>
  <c r="D868" i="5"/>
  <c r="E868" i="5"/>
  <c r="F868" i="5"/>
  <c r="G868" i="5"/>
  <c r="H868" i="5"/>
  <c r="I868" i="5"/>
  <c r="J868" i="5"/>
  <c r="K868" i="5"/>
  <c r="L868" i="5"/>
  <c r="M868" i="5"/>
  <c r="N868" i="5"/>
  <c r="O868" i="5"/>
  <c r="P868" i="5"/>
  <c r="Q868" i="5"/>
  <c r="R868" i="5"/>
  <c r="S868" i="5"/>
  <c r="T868" i="5"/>
  <c r="U868" i="5"/>
  <c r="V868" i="5"/>
  <c r="B869" i="5"/>
  <c r="C869" i="5"/>
  <c r="D869" i="5"/>
  <c r="E869" i="5"/>
  <c r="F869" i="5"/>
  <c r="G869" i="5"/>
  <c r="H869" i="5"/>
  <c r="I869" i="5"/>
  <c r="J869" i="5"/>
  <c r="K869" i="5"/>
  <c r="L869" i="5"/>
  <c r="M869" i="5"/>
  <c r="N869" i="5"/>
  <c r="O869" i="5"/>
  <c r="P869" i="5"/>
  <c r="Q869" i="5"/>
  <c r="R869" i="5"/>
  <c r="S869" i="5"/>
  <c r="T869" i="5"/>
  <c r="U869" i="5"/>
  <c r="V869" i="5"/>
  <c r="B870" i="5"/>
  <c r="C870" i="5"/>
  <c r="D870" i="5"/>
  <c r="E870" i="5"/>
  <c r="F870" i="5"/>
  <c r="G870" i="5"/>
  <c r="H870" i="5"/>
  <c r="I870" i="5"/>
  <c r="J870" i="5"/>
  <c r="K870" i="5"/>
  <c r="L870" i="5"/>
  <c r="M870" i="5"/>
  <c r="N870" i="5"/>
  <c r="O870" i="5"/>
  <c r="P870" i="5"/>
  <c r="Q870" i="5"/>
  <c r="R870" i="5"/>
  <c r="S870" i="5"/>
  <c r="T870" i="5"/>
  <c r="U870" i="5"/>
  <c r="V870" i="5"/>
  <c r="B871" i="5"/>
  <c r="C871" i="5"/>
  <c r="D871" i="5"/>
  <c r="E871" i="5"/>
  <c r="F871" i="5"/>
  <c r="G871" i="5"/>
  <c r="H871" i="5"/>
  <c r="I871" i="5"/>
  <c r="J871" i="5"/>
  <c r="K871" i="5"/>
  <c r="L871" i="5"/>
  <c r="M871" i="5"/>
  <c r="N871" i="5"/>
  <c r="O871" i="5"/>
  <c r="P871" i="5"/>
  <c r="Q871" i="5"/>
  <c r="R871" i="5"/>
  <c r="S871" i="5"/>
  <c r="T871" i="5"/>
  <c r="U871" i="5"/>
  <c r="V871" i="5"/>
  <c r="B872" i="5"/>
  <c r="C872" i="5"/>
  <c r="D872" i="5"/>
  <c r="E872" i="5"/>
  <c r="F872" i="5"/>
  <c r="G872" i="5"/>
  <c r="H872" i="5"/>
  <c r="I872" i="5"/>
  <c r="J872" i="5"/>
  <c r="K872" i="5"/>
  <c r="L872" i="5"/>
  <c r="M872" i="5"/>
  <c r="N872" i="5"/>
  <c r="O872" i="5"/>
  <c r="P872" i="5"/>
  <c r="Q872" i="5"/>
  <c r="R872" i="5"/>
  <c r="S872" i="5"/>
  <c r="T872" i="5"/>
  <c r="U872" i="5"/>
  <c r="V872" i="5"/>
  <c r="B873" i="5"/>
  <c r="C873" i="5"/>
  <c r="D873" i="5"/>
  <c r="E873" i="5"/>
  <c r="F873" i="5"/>
  <c r="G873" i="5"/>
  <c r="H873" i="5"/>
  <c r="I873" i="5"/>
  <c r="J873" i="5"/>
  <c r="K873" i="5"/>
  <c r="L873" i="5"/>
  <c r="M873" i="5"/>
  <c r="N873" i="5"/>
  <c r="O873" i="5"/>
  <c r="P873" i="5"/>
  <c r="Q873" i="5"/>
  <c r="R873" i="5"/>
  <c r="S873" i="5"/>
  <c r="T873" i="5"/>
  <c r="U873" i="5"/>
  <c r="V873" i="5"/>
  <c r="B874" i="5"/>
  <c r="C874" i="5"/>
  <c r="D874" i="5"/>
  <c r="E874" i="5"/>
  <c r="F874" i="5"/>
  <c r="G874" i="5"/>
  <c r="H874" i="5"/>
  <c r="I874" i="5"/>
  <c r="J874" i="5"/>
  <c r="K874" i="5"/>
  <c r="L874" i="5"/>
  <c r="M874" i="5"/>
  <c r="N874" i="5"/>
  <c r="O874" i="5"/>
  <c r="P874" i="5"/>
  <c r="Q874" i="5"/>
  <c r="R874" i="5"/>
  <c r="S874" i="5"/>
  <c r="T874" i="5"/>
  <c r="U874" i="5"/>
  <c r="V874" i="5"/>
  <c r="B875" i="5"/>
  <c r="C875" i="5"/>
  <c r="D875" i="5"/>
  <c r="E875" i="5"/>
  <c r="F875" i="5"/>
  <c r="G875" i="5"/>
  <c r="H875" i="5"/>
  <c r="I875" i="5"/>
  <c r="J875" i="5"/>
  <c r="K875" i="5"/>
  <c r="L875" i="5"/>
  <c r="M875" i="5"/>
  <c r="N875" i="5"/>
  <c r="O875" i="5"/>
  <c r="P875" i="5"/>
  <c r="Q875" i="5"/>
  <c r="R875" i="5"/>
  <c r="S875" i="5"/>
  <c r="T875" i="5"/>
  <c r="U875" i="5"/>
  <c r="V875" i="5"/>
  <c r="B876" i="5"/>
  <c r="C876" i="5"/>
  <c r="D876" i="5"/>
  <c r="E876" i="5"/>
  <c r="F876" i="5"/>
  <c r="G876" i="5"/>
  <c r="H876" i="5"/>
  <c r="I876" i="5"/>
  <c r="J876" i="5"/>
  <c r="K876" i="5"/>
  <c r="L876" i="5"/>
  <c r="M876" i="5"/>
  <c r="N876" i="5"/>
  <c r="O876" i="5"/>
  <c r="P876" i="5"/>
  <c r="Q876" i="5"/>
  <c r="R876" i="5"/>
  <c r="S876" i="5"/>
  <c r="T876" i="5"/>
  <c r="U876" i="5"/>
  <c r="V876" i="5"/>
  <c r="B877" i="5"/>
  <c r="C877" i="5"/>
  <c r="D877" i="5"/>
  <c r="E877" i="5"/>
  <c r="F877" i="5"/>
  <c r="G877" i="5"/>
  <c r="H877" i="5"/>
  <c r="I877" i="5"/>
  <c r="J877" i="5"/>
  <c r="K877" i="5"/>
  <c r="L877" i="5"/>
  <c r="M877" i="5"/>
  <c r="N877" i="5"/>
  <c r="O877" i="5"/>
  <c r="P877" i="5"/>
  <c r="Q877" i="5"/>
  <c r="R877" i="5"/>
  <c r="S877" i="5"/>
  <c r="T877" i="5"/>
  <c r="U877" i="5"/>
  <c r="V877" i="5"/>
  <c r="B878" i="5"/>
  <c r="C878" i="5"/>
  <c r="D878" i="5"/>
  <c r="E878" i="5"/>
  <c r="F878" i="5"/>
  <c r="G878" i="5"/>
  <c r="H878" i="5"/>
  <c r="I878" i="5"/>
  <c r="J878" i="5"/>
  <c r="K878" i="5"/>
  <c r="L878" i="5"/>
  <c r="M878" i="5"/>
  <c r="N878" i="5"/>
  <c r="O878" i="5"/>
  <c r="P878" i="5"/>
  <c r="Q878" i="5"/>
  <c r="R878" i="5"/>
  <c r="S878" i="5"/>
  <c r="T878" i="5"/>
  <c r="U878" i="5"/>
  <c r="V878" i="5"/>
  <c r="B879" i="5"/>
  <c r="C879" i="5"/>
  <c r="D879" i="5"/>
  <c r="E879" i="5"/>
  <c r="F879" i="5"/>
  <c r="G879" i="5"/>
  <c r="H879" i="5"/>
  <c r="I879" i="5"/>
  <c r="J879" i="5"/>
  <c r="K879" i="5"/>
  <c r="L879" i="5"/>
  <c r="M879" i="5"/>
  <c r="N879" i="5"/>
  <c r="O879" i="5"/>
  <c r="P879" i="5"/>
  <c r="Q879" i="5"/>
  <c r="R879" i="5"/>
  <c r="S879" i="5"/>
  <c r="T879" i="5"/>
  <c r="U879" i="5"/>
  <c r="V879" i="5"/>
  <c r="B880" i="5"/>
  <c r="C880" i="5"/>
  <c r="D880" i="5"/>
  <c r="E880" i="5"/>
  <c r="F880" i="5"/>
  <c r="G880" i="5"/>
  <c r="H880" i="5"/>
  <c r="I880" i="5"/>
  <c r="J880" i="5"/>
  <c r="K880" i="5"/>
  <c r="L880" i="5"/>
  <c r="M880" i="5"/>
  <c r="N880" i="5"/>
  <c r="O880" i="5"/>
  <c r="P880" i="5"/>
  <c r="Q880" i="5"/>
  <c r="R880" i="5"/>
  <c r="S880" i="5"/>
  <c r="T880" i="5"/>
  <c r="U880" i="5"/>
  <c r="V880" i="5"/>
  <c r="B881" i="5"/>
  <c r="C881" i="5"/>
  <c r="D881" i="5"/>
  <c r="E881" i="5"/>
  <c r="F881" i="5"/>
  <c r="G881" i="5"/>
  <c r="H881" i="5"/>
  <c r="I881" i="5"/>
  <c r="J881" i="5"/>
  <c r="K881" i="5"/>
  <c r="L881" i="5"/>
  <c r="M881" i="5"/>
  <c r="N881" i="5"/>
  <c r="O881" i="5"/>
  <c r="P881" i="5"/>
  <c r="Q881" i="5"/>
  <c r="R881" i="5"/>
  <c r="S881" i="5"/>
  <c r="T881" i="5"/>
  <c r="U881" i="5"/>
  <c r="V881" i="5"/>
  <c r="B882" i="5"/>
  <c r="C882" i="5"/>
  <c r="D882" i="5"/>
  <c r="E882" i="5"/>
  <c r="F882" i="5"/>
  <c r="G882" i="5"/>
  <c r="H882" i="5"/>
  <c r="I882" i="5"/>
  <c r="J882" i="5"/>
  <c r="K882" i="5"/>
  <c r="L882" i="5"/>
  <c r="M882" i="5"/>
  <c r="N882" i="5"/>
  <c r="O882" i="5"/>
  <c r="P882" i="5"/>
  <c r="Q882" i="5"/>
  <c r="R882" i="5"/>
  <c r="S882" i="5"/>
  <c r="T882" i="5"/>
  <c r="U882" i="5"/>
  <c r="V882" i="5"/>
  <c r="B883" i="5"/>
  <c r="C883" i="5"/>
  <c r="D883" i="5"/>
  <c r="E883" i="5"/>
  <c r="F883" i="5"/>
  <c r="G883" i="5"/>
  <c r="H883" i="5"/>
  <c r="I883" i="5"/>
  <c r="J883" i="5"/>
  <c r="K883" i="5"/>
  <c r="L883" i="5"/>
  <c r="M883" i="5"/>
  <c r="N883" i="5"/>
  <c r="O883" i="5"/>
  <c r="P883" i="5"/>
  <c r="Q883" i="5"/>
  <c r="R883" i="5"/>
  <c r="S883" i="5"/>
  <c r="T883" i="5"/>
  <c r="U883" i="5"/>
  <c r="V883" i="5"/>
  <c r="B884" i="5"/>
  <c r="C884" i="5"/>
  <c r="D884" i="5"/>
  <c r="E884" i="5"/>
  <c r="F884" i="5"/>
  <c r="G884" i="5"/>
  <c r="H884" i="5"/>
  <c r="I884" i="5"/>
  <c r="J884" i="5"/>
  <c r="K884" i="5"/>
  <c r="L884" i="5"/>
  <c r="M884" i="5"/>
  <c r="N884" i="5"/>
  <c r="O884" i="5"/>
  <c r="P884" i="5"/>
  <c r="Q884" i="5"/>
  <c r="R884" i="5"/>
  <c r="S884" i="5"/>
  <c r="T884" i="5"/>
  <c r="U884" i="5"/>
  <c r="V884" i="5"/>
  <c r="B885" i="5"/>
  <c r="C885" i="5"/>
  <c r="D885" i="5"/>
  <c r="E885" i="5"/>
  <c r="F885" i="5"/>
  <c r="G885" i="5"/>
  <c r="H885" i="5"/>
  <c r="I885" i="5"/>
  <c r="J885" i="5"/>
  <c r="K885" i="5"/>
  <c r="L885" i="5"/>
  <c r="M885" i="5"/>
  <c r="N885" i="5"/>
  <c r="O885" i="5"/>
  <c r="P885" i="5"/>
  <c r="Q885" i="5"/>
  <c r="R885" i="5"/>
  <c r="S885" i="5"/>
  <c r="T885" i="5"/>
  <c r="U885" i="5"/>
  <c r="V885" i="5"/>
  <c r="B886" i="5"/>
  <c r="C886" i="5"/>
  <c r="D886" i="5"/>
  <c r="E886" i="5"/>
  <c r="F886" i="5"/>
  <c r="G886" i="5"/>
  <c r="H886" i="5"/>
  <c r="I886" i="5"/>
  <c r="J886" i="5"/>
  <c r="K886" i="5"/>
  <c r="L886" i="5"/>
  <c r="M886" i="5"/>
  <c r="N886" i="5"/>
  <c r="O886" i="5"/>
  <c r="P886" i="5"/>
  <c r="Q886" i="5"/>
  <c r="R886" i="5"/>
  <c r="S886" i="5"/>
  <c r="T886" i="5"/>
  <c r="U886" i="5"/>
  <c r="V886" i="5"/>
  <c r="B887" i="5"/>
  <c r="C887" i="5"/>
  <c r="D887" i="5"/>
  <c r="E887" i="5"/>
  <c r="F887" i="5"/>
  <c r="G887" i="5"/>
  <c r="H887" i="5"/>
  <c r="I887" i="5"/>
  <c r="J887" i="5"/>
  <c r="K887" i="5"/>
  <c r="L887" i="5"/>
  <c r="M887" i="5"/>
  <c r="N887" i="5"/>
  <c r="O887" i="5"/>
  <c r="P887" i="5"/>
  <c r="Q887" i="5"/>
  <c r="R887" i="5"/>
  <c r="S887" i="5"/>
  <c r="T887" i="5"/>
  <c r="U887" i="5"/>
  <c r="V887" i="5"/>
  <c r="B888" i="5"/>
  <c r="C888" i="5"/>
  <c r="D888" i="5"/>
  <c r="E888" i="5"/>
  <c r="F888" i="5"/>
  <c r="G888" i="5"/>
  <c r="H888" i="5"/>
  <c r="I888" i="5"/>
  <c r="J888" i="5"/>
  <c r="K888" i="5"/>
  <c r="L888" i="5"/>
  <c r="M888" i="5"/>
  <c r="N888" i="5"/>
  <c r="O888" i="5"/>
  <c r="P888" i="5"/>
  <c r="Q888" i="5"/>
  <c r="R888" i="5"/>
  <c r="S888" i="5"/>
  <c r="T888" i="5"/>
  <c r="U888" i="5"/>
  <c r="V888" i="5"/>
  <c r="B889" i="5"/>
  <c r="C889" i="5"/>
  <c r="D889" i="5"/>
  <c r="E889" i="5"/>
  <c r="F889" i="5"/>
  <c r="G889" i="5"/>
  <c r="H889" i="5"/>
  <c r="I889" i="5"/>
  <c r="J889" i="5"/>
  <c r="K889" i="5"/>
  <c r="L889" i="5"/>
  <c r="M889" i="5"/>
  <c r="N889" i="5"/>
  <c r="O889" i="5"/>
  <c r="P889" i="5"/>
  <c r="Q889" i="5"/>
  <c r="R889" i="5"/>
  <c r="S889" i="5"/>
  <c r="T889" i="5"/>
  <c r="U889" i="5"/>
  <c r="V889" i="5"/>
  <c r="B890" i="5"/>
  <c r="C890" i="5"/>
  <c r="D890" i="5"/>
  <c r="E890" i="5"/>
  <c r="F890" i="5"/>
  <c r="G890" i="5"/>
  <c r="H890" i="5"/>
  <c r="I890" i="5"/>
  <c r="J890" i="5"/>
  <c r="K890" i="5"/>
  <c r="L890" i="5"/>
  <c r="M890" i="5"/>
  <c r="N890" i="5"/>
  <c r="O890" i="5"/>
  <c r="P890" i="5"/>
  <c r="Q890" i="5"/>
  <c r="R890" i="5"/>
  <c r="S890" i="5"/>
  <c r="T890" i="5"/>
  <c r="U890" i="5"/>
  <c r="V890" i="5"/>
  <c r="B891" i="5"/>
  <c r="C891" i="5"/>
  <c r="D891" i="5"/>
  <c r="E891" i="5"/>
  <c r="F891" i="5"/>
  <c r="G891" i="5"/>
  <c r="H891" i="5"/>
  <c r="I891" i="5"/>
  <c r="J891" i="5"/>
  <c r="K891" i="5"/>
  <c r="L891" i="5"/>
  <c r="M891" i="5"/>
  <c r="N891" i="5"/>
  <c r="O891" i="5"/>
  <c r="P891" i="5"/>
  <c r="Q891" i="5"/>
  <c r="R891" i="5"/>
  <c r="S891" i="5"/>
  <c r="T891" i="5"/>
  <c r="U891" i="5"/>
  <c r="V891" i="5"/>
  <c r="B892" i="5"/>
  <c r="C892" i="5"/>
  <c r="D892" i="5"/>
  <c r="E892" i="5"/>
  <c r="F892" i="5"/>
  <c r="G892" i="5"/>
  <c r="H892" i="5"/>
  <c r="I892" i="5"/>
  <c r="J892" i="5"/>
  <c r="K892" i="5"/>
  <c r="L892" i="5"/>
  <c r="M892" i="5"/>
  <c r="N892" i="5"/>
  <c r="O892" i="5"/>
  <c r="P892" i="5"/>
  <c r="Q892" i="5"/>
  <c r="R892" i="5"/>
  <c r="S892" i="5"/>
  <c r="T892" i="5"/>
  <c r="U892" i="5"/>
  <c r="V892" i="5"/>
  <c r="B893" i="5"/>
  <c r="C893" i="5"/>
  <c r="D893" i="5"/>
  <c r="E893" i="5"/>
  <c r="F893" i="5"/>
  <c r="G893" i="5"/>
  <c r="H893" i="5"/>
  <c r="I893" i="5"/>
  <c r="J893" i="5"/>
  <c r="K893" i="5"/>
  <c r="L893" i="5"/>
  <c r="M893" i="5"/>
  <c r="N893" i="5"/>
  <c r="O893" i="5"/>
  <c r="P893" i="5"/>
  <c r="Q893" i="5"/>
  <c r="R893" i="5"/>
  <c r="S893" i="5"/>
  <c r="T893" i="5"/>
  <c r="U893" i="5"/>
  <c r="V893" i="5"/>
  <c r="B894" i="5"/>
  <c r="C894" i="5"/>
  <c r="D894" i="5"/>
  <c r="E894" i="5"/>
  <c r="F894" i="5"/>
  <c r="G894" i="5"/>
  <c r="H894" i="5"/>
  <c r="I894" i="5"/>
  <c r="J894" i="5"/>
  <c r="K894" i="5"/>
  <c r="L894" i="5"/>
  <c r="M894" i="5"/>
  <c r="N894" i="5"/>
  <c r="O894" i="5"/>
  <c r="P894" i="5"/>
  <c r="Q894" i="5"/>
  <c r="R894" i="5"/>
  <c r="S894" i="5"/>
  <c r="T894" i="5"/>
  <c r="U894" i="5"/>
  <c r="V894" i="5"/>
  <c r="B895" i="5"/>
  <c r="C895" i="5"/>
  <c r="D895" i="5"/>
  <c r="E895" i="5"/>
  <c r="F895" i="5"/>
  <c r="G895" i="5"/>
  <c r="H895" i="5"/>
  <c r="I895" i="5"/>
  <c r="J895" i="5"/>
  <c r="K895" i="5"/>
  <c r="L895" i="5"/>
  <c r="M895" i="5"/>
  <c r="N895" i="5"/>
  <c r="O895" i="5"/>
  <c r="P895" i="5"/>
  <c r="Q895" i="5"/>
  <c r="R895" i="5"/>
  <c r="S895" i="5"/>
  <c r="T895" i="5"/>
  <c r="U895" i="5"/>
  <c r="V895" i="5"/>
  <c r="B896" i="5"/>
  <c r="C896" i="5"/>
  <c r="D896" i="5"/>
  <c r="E896" i="5"/>
  <c r="F896" i="5"/>
  <c r="G896" i="5"/>
  <c r="H896" i="5"/>
  <c r="I896" i="5"/>
  <c r="J896" i="5"/>
  <c r="K896" i="5"/>
  <c r="L896" i="5"/>
  <c r="M896" i="5"/>
  <c r="N896" i="5"/>
  <c r="O896" i="5"/>
  <c r="P896" i="5"/>
  <c r="Q896" i="5"/>
  <c r="R896" i="5"/>
  <c r="S896" i="5"/>
  <c r="T896" i="5"/>
  <c r="U896" i="5"/>
  <c r="V896" i="5"/>
  <c r="B897" i="5"/>
  <c r="C897" i="5"/>
  <c r="D897" i="5"/>
  <c r="E897" i="5"/>
  <c r="F897" i="5"/>
  <c r="G897" i="5"/>
  <c r="H897" i="5"/>
  <c r="I897" i="5"/>
  <c r="J897" i="5"/>
  <c r="K897" i="5"/>
  <c r="L897" i="5"/>
  <c r="M897" i="5"/>
  <c r="N897" i="5"/>
  <c r="O897" i="5"/>
  <c r="P897" i="5"/>
  <c r="Q897" i="5"/>
  <c r="R897" i="5"/>
  <c r="S897" i="5"/>
  <c r="T897" i="5"/>
  <c r="U897" i="5"/>
  <c r="V897" i="5"/>
  <c r="B898" i="5"/>
  <c r="C898" i="5"/>
  <c r="D898" i="5"/>
  <c r="E898" i="5"/>
  <c r="F898" i="5"/>
  <c r="G898" i="5"/>
  <c r="H898" i="5"/>
  <c r="I898" i="5"/>
  <c r="J898" i="5"/>
  <c r="K898" i="5"/>
  <c r="L898" i="5"/>
  <c r="M898" i="5"/>
  <c r="N898" i="5"/>
  <c r="O898" i="5"/>
  <c r="P898" i="5"/>
  <c r="Q898" i="5"/>
  <c r="R898" i="5"/>
  <c r="S898" i="5"/>
  <c r="T898" i="5"/>
  <c r="U898" i="5"/>
  <c r="V898" i="5"/>
  <c r="B899" i="5"/>
  <c r="C899" i="5"/>
  <c r="D899" i="5"/>
  <c r="E899" i="5"/>
  <c r="F899" i="5"/>
  <c r="G899" i="5"/>
  <c r="H899" i="5"/>
  <c r="I899" i="5"/>
  <c r="J899" i="5"/>
  <c r="K899" i="5"/>
  <c r="L899" i="5"/>
  <c r="M899" i="5"/>
  <c r="N899" i="5"/>
  <c r="O899" i="5"/>
  <c r="P899" i="5"/>
  <c r="Q899" i="5"/>
  <c r="R899" i="5"/>
  <c r="S899" i="5"/>
  <c r="T899" i="5"/>
  <c r="U899" i="5"/>
  <c r="V899" i="5"/>
  <c r="B900" i="5"/>
  <c r="C900" i="5"/>
  <c r="D900" i="5"/>
  <c r="E900" i="5"/>
  <c r="F900" i="5"/>
  <c r="G900" i="5"/>
  <c r="H900" i="5"/>
  <c r="I900" i="5"/>
  <c r="J900" i="5"/>
  <c r="K900" i="5"/>
  <c r="L900" i="5"/>
  <c r="M900" i="5"/>
  <c r="N900" i="5"/>
  <c r="O900" i="5"/>
  <c r="P900" i="5"/>
  <c r="Q900" i="5"/>
  <c r="R900" i="5"/>
  <c r="S900" i="5"/>
  <c r="T900" i="5"/>
  <c r="U900" i="5"/>
  <c r="V900" i="5"/>
  <c r="B901" i="5"/>
  <c r="C901" i="5"/>
  <c r="D901" i="5"/>
  <c r="E901" i="5"/>
  <c r="F901" i="5"/>
  <c r="G901" i="5"/>
  <c r="H901" i="5"/>
  <c r="I901" i="5"/>
  <c r="J901" i="5"/>
  <c r="K901" i="5"/>
  <c r="L901" i="5"/>
  <c r="M901" i="5"/>
  <c r="N901" i="5"/>
  <c r="O901" i="5"/>
  <c r="P901" i="5"/>
  <c r="Q901" i="5"/>
  <c r="R901" i="5"/>
  <c r="S901" i="5"/>
  <c r="T901" i="5"/>
  <c r="U901" i="5"/>
  <c r="V901" i="5"/>
  <c r="B902" i="5"/>
  <c r="C902" i="5"/>
  <c r="D902" i="5"/>
  <c r="E902" i="5"/>
  <c r="F902" i="5"/>
  <c r="G902" i="5"/>
  <c r="H902" i="5"/>
  <c r="I902" i="5"/>
  <c r="J902" i="5"/>
  <c r="K902" i="5"/>
  <c r="L902" i="5"/>
  <c r="M902" i="5"/>
  <c r="N902" i="5"/>
  <c r="O902" i="5"/>
  <c r="P902" i="5"/>
  <c r="Q902" i="5"/>
  <c r="R902" i="5"/>
  <c r="S902" i="5"/>
  <c r="T902" i="5"/>
  <c r="U902" i="5"/>
  <c r="V902" i="5"/>
  <c r="B903" i="5"/>
  <c r="C903" i="5"/>
  <c r="D903" i="5"/>
  <c r="E903" i="5"/>
  <c r="F903" i="5"/>
  <c r="G903" i="5"/>
  <c r="H903" i="5"/>
  <c r="I903" i="5"/>
  <c r="J903" i="5"/>
  <c r="K903" i="5"/>
  <c r="L903" i="5"/>
  <c r="M903" i="5"/>
  <c r="N903" i="5"/>
  <c r="O903" i="5"/>
  <c r="P903" i="5"/>
  <c r="Q903" i="5"/>
  <c r="R903" i="5"/>
  <c r="S903" i="5"/>
  <c r="T903" i="5"/>
  <c r="U903" i="5"/>
  <c r="V903" i="5"/>
  <c r="B904" i="5"/>
  <c r="C904" i="5"/>
  <c r="D904" i="5"/>
  <c r="E904" i="5"/>
  <c r="F904" i="5"/>
  <c r="G904" i="5"/>
  <c r="H904" i="5"/>
  <c r="I904" i="5"/>
  <c r="J904" i="5"/>
  <c r="K904" i="5"/>
  <c r="L904" i="5"/>
  <c r="M904" i="5"/>
  <c r="N904" i="5"/>
  <c r="O904" i="5"/>
  <c r="P904" i="5"/>
  <c r="Q904" i="5"/>
  <c r="R904" i="5"/>
  <c r="S904" i="5"/>
  <c r="T904" i="5"/>
  <c r="U904" i="5"/>
  <c r="V904" i="5"/>
  <c r="B905" i="5"/>
  <c r="C905" i="5"/>
  <c r="D905" i="5"/>
  <c r="E905" i="5"/>
  <c r="F905" i="5"/>
  <c r="G905" i="5"/>
  <c r="H905" i="5"/>
  <c r="I905" i="5"/>
  <c r="J905" i="5"/>
  <c r="K905" i="5"/>
  <c r="L905" i="5"/>
  <c r="M905" i="5"/>
  <c r="N905" i="5"/>
  <c r="O905" i="5"/>
  <c r="P905" i="5"/>
  <c r="Q905" i="5"/>
  <c r="R905" i="5"/>
  <c r="S905" i="5"/>
  <c r="T905" i="5"/>
  <c r="U905" i="5"/>
  <c r="V905" i="5"/>
  <c r="B906" i="5"/>
  <c r="C906" i="5"/>
  <c r="D906" i="5"/>
  <c r="E906" i="5"/>
  <c r="F906" i="5"/>
  <c r="G906" i="5"/>
  <c r="H906" i="5"/>
  <c r="I906" i="5"/>
  <c r="J906" i="5"/>
  <c r="K906" i="5"/>
  <c r="L906" i="5"/>
  <c r="M906" i="5"/>
  <c r="N906" i="5"/>
  <c r="O906" i="5"/>
  <c r="P906" i="5"/>
  <c r="Q906" i="5"/>
  <c r="R906" i="5"/>
  <c r="S906" i="5"/>
  <c r="T906" i="5"/>
  <c r="U906" i="5"/>
  <c r="V906" i="5"/>
  <c r="B907" i="5"/>
  <c r="C907" i="5"/>
  <c r="D907" i="5"/>
  <c r="E907" i="5"/>
  <c r="F907" i="5"/>
  <c r="G907" i="5"/>
  <c r="H907" i="5"/>
  <c r="I907" i="5"/>
  <c r="J907" i="5"/>
  <c r="K907" i="5"/>
  <c r="L907" i="5"/>
  <c r="M907" i="5"/>
  <c r="N907" i="5"/>
  <c r="O907" i="5"/>
  <c r="P907" i="5"/>
  <c r="Q907" i="5"/>
  <c r="R907" i="5"/>
  <c r="S907" i="5"/>
  <c r="T907" i="5"/>
  <c r="U907" i="5"/>
  <c r="V907" i="5"/>
  <c r="B908" i="5"/>
  <c r="C908" i="5"/>
  <c r="D908" i="5"/>
  <c r="E908" i="5"/>
  <c r="F908" i="5"/>
  <c r="G908" i="5"/>
  <c r="H908" i="5"/>
  <c r="I908" i="5"/>
  <c r="J908" i="5"/>
  <c r="K908" i="5"/>
  <c r="L908" i="5"/>
  <c r="M908" i="5"/>
  <c r="N908" i="5"/>
  <c r="O908" i="5"/>
  <c r="P908" i="5"/>
  <c r="Q908" i="5"/>
  <c r="R908" i="5"/>
  <c r="S908" i="5"/>
  <c r="T908" i="5"/>
  <c r="U908" i="5"/>
  <c r="V908" i="5"/>
  <c r="B909" i="5"/>
  <c r="C909" i="5"/>
  <c r="D909" i="5"/>
  <c r="E909" i="5"/>
  <c r="F909" i="5"/>
  <c r="G909" i="5"/>
  <c r="H909" i="5"/>
  <c r="I909" i="5"/>
  <c r="J909" i="5"/>
  <c r="K909" i="5"/>
  <c r="L909" i="5"/>
  <c r="M909" i="5"/>
  <c r="N909" i="5"/>
  <c r="O909" i="5"/>
  <c r="P909" i="5"/>
  <c r="Q909" i="5"/>
  <c r="R909" i="5"/>
  <c r="S909" i="5"/>
  <c r="T909" i="5"/>
  <c r="U909" i="5"/>
  <c r="V909" i="5"/>
  <c r="B910" i="5"/>
  <c r="C910" i="5"/>
  <c r="D910" i="5"/>
  <c r="E910" i="5"/>
  <c r="F910" i="5"/>
  <c r="G910" i="5"/>
  <c r="H910" i="5"/>
  <c r="I910" i="5"/>
  <c r="J910" i="5"/>
  <c r="K910" i="5"/>
  <c r="L910" i="5"/>
  <c r="M910" i="5"/>
  <c r="N910" i="5"/>
  <c r="O910" i="5"/>
  <c r="P910" i="5"/>
  <c r="Q910" i="5"/>
  <c r="R910" i="5"/>
  <c r="S910" i="5"/>
  <c r="T910" i="5"/>
  <c r="U910" i="5"/>
  <c r="V910" i="5"/>
  <c r="B911" i="5"/>
  <c r="C911" i="5"/>
  <c r="D911" i="5"/>
  <c r="E911" i="5"/>
  <c r="F911" i="5"/>
  <c r="G911" i="5"/>
  <c r="H911" i="5"/>
  <c r="I911" i="5"/>
  <c r="J911" i="5"/>
  <c r="K911" i="5"/>
  <c r="L911" i="5"/>
  <c r="M911" i="5"/>
  <c r="N911" i="5"/>
  <c r="O911" i="5"/>
  <c r="P911" i="5"/>
  <c r="Q911" i="5"/>
  <c r="R911" i="5"/>
  <c r="S911" i="5"/>
  <c r="T911" i="5"/>
  <c r="U911" i="5"/>
  <c r="V911" i="5"/>
  <c r="B912" i="5"/>
  <c r="C912" i="5"/>
  <c r="D912" i="5"/>
  <c r="E912" i="5"/>
  <c r="F912" i="5"/>
  <c r="G912" i="5"/>
  <c r="H912" i="5"/>
  <c r="I912" i="5"/>
  <c r="J912" i="5"/>
  <c r="K912" i="5"/>
  <c r="L912" i="5"/>
  <c r="M912" i="5"/>
  <c r="N912" i="5"/>
  <c r="O912" i="5"/>
  <c r="P912" i="5"/>
  <c r="Q912" i="5"/>
  <c r="R912" i="5"/>
  <c r="S912" i="5"/>
  <c r="T912" i="5"/>
  <c r="U912" i="5"/>
  <c r="V912" i="5"/>
  <c r="B913" i="5"/>
  <c r="C913" i="5"/>
  <c r="D913" i="5"/>
  <c r="E913" i="5"/>
  <c r="F913" i="5"/>
  <c r="G913" i="5"/>
  <c r="H913" i="5"/>
  <c r="I913" i="5"/>
  <c r="J913" i="5"/>
  <c r="K913" i="5"/>
  <c r="L913" i="5"/>
  <c r="M913" i="5"/>
  <c r="N913" i="5"/>
  <c r="O913" i="5"/>
  <c r="P913" i="5"/>
  <c r="Q913" i="5"/>
  <c r="R913" i="5"/>
  <c r="S913" i="5"/>
  <c r="T913" i="5"/>
  <c r="U913" i="5"/>
  <c r="V913" i="5"/>
  <c r="B914" i="5"/>
  <c r="C914" i="5"/>
  <c r="D914" i="5"/>
  <c r="E914" i="5"/>
  <c r="F914" i="5"/>
  <c r="G914" i="5"/>
  <c r="H914" i="5"/>
  <c r="I914" i="5"/>
  <c r="J914" i="5"/>
  <c r="K914" i="5"/>
  <c r="L914" i="5"/>
  <c r="M914" i="5"/>
  <c r="N914" i="5"/>
  <c r="O914" i="5"/>
  <c r="P914" i="5"/>
  <c r="Q914" i="5"/>
  <c r="R914" i="5"/>
  <c r="S914" i="5"/>
  <c r="T914" i="5"/>
  <c r="U914" i="5"/>
  <c r="V914" i="5"/>
  <c r="B915" i="5"/>
  <c r="C915" i="5"/>
  <c r="D915" i="5"/>
  <c r="E915" i="5"/>
  <c r="F915" i="5"/>
  <c r="G915" i="5"/>
  <c r="H915" i="5"/>
  <c r="I915" i="5"/>
  <c r="J915" i="5"/>
  <c r="K915" i="5"/>
  <c r="L915" i="5"/>
  <c r="M915" i="5"/>
  <c r="N915" i="5"/>
  <c r="O915" i="5"/>
  <c r="P915" i="5"/>
  <c r="Q915" i="5"/>
  <c r="R915" i="5"/>
  <c r="S915" i="5"/>
  <c r="T915" i="5"/>
  <c r="U915" i="5"/>
  <c r="V915" i="5"/>
  <c r="B916" i="5"/>
  <c r="C916" i="5"/>
  <c r="D916" i="5"/>
  <c r="E916" i="5"/>
  <c r="F916" i="5"/>
  <c r="G916" i="5"/>
  <c r="H916" i="5"/>
  <c r="I916" i="5"/>
  <c r="J916" i="5"/>
  <c r="K916" i="5"/>
  <c r="L916" i="5"/>
  <c r="M916" i="5"/>
  <c r="N916" i="5"/>
  <c r="O916" i="5"/>
  <c r="P916" i="5"/>
  <c r="Q916" i="5"/>
  <c r="R916" i="5"/>
  <c r="S916" i="5"/>
  <c r="T916" i="5"/>
  <c r="U916" i="5"/>
  <c r="V916" i="5"/>
  <c r="B917" i="5"/>
  <c r="C917" i="5"/>
  <c r="D917" i="5"/>
  <c r="E917" i="5"/>
  <c r="F917" i="5"/>
  <c r="G917" i="5"/>
  <c r="H917" i="5"/>
  <c r="I917" i="5"/>
  <c r="J917" i="5"/>
  <c r="K917" i="5"/>
  <c r="L917" i="5"/>
  <c r="M917" i="5"/>
  <c r="N917" i="5"/>
  <c r="O917" i="5"/>
  <c r="P917" i="5"/>
  <c r="Q917" i="5"/>
  <c r="R917" i="5"/>
  <c r="S917" i="5"/>
  <c r="T917" i="5"/>
  <c r="U917" i="5"/>
  <c r="V917" i="5"/>
  <c r="B918" i="5"/>
  <c r="C918" i="5"/>
  <c r="D918" i="5"/>
  <c r="E918" i="5"/>
  <c r="F918" i="5"/>
  <c r="G918" i="5"/>
  <c r="H918" i="5"/>
  <c r="I918" i="5"/>
  <c r="J918" i="5"/>
  <c r="K918" i="5"/>
  <c r="L918" i="5"/>
  <c r="M918" i="5"/>
  <c r="N918" i="5"/>
  <c r="O918" i="5"/>
  <c r="P918" i="5"/>
  <c r="Q918" i="5"/>
  <c r="R918" i="5"/>
  <c r="S918" i="5"/>
  <c r="T918" i="5"/>
  <c r="U918" i="5"/>
  <c r="V918" i="5"/>
  <c r="B919" i="5"/>
  <c r="C919" i="5"/>
  <c r="D919" i="5"/>
  <c r="E919" i="5"/>
  <c r="F919" i="5"/>
  <c r="G919" i="5"/>
  <c r="H919" i="5"/>
  <c r="I919" i="5"/>
  <c r="J919" i="5"/>
  <c r="K919" i="5"/>
  <c r="L919" i="5"/>
  <c r="M919" i="5"/>
  <c r="N919" i="5"/>
  <c r="O919" i="5"/>
  <c r="P919" i="5"/>
  <c r="Q919" i="5"/>
  <c r="R919" i="5"/>
  <c r="S919" i="5"/>
  <c r="T919" i="5"/>
  <c r="U919" i="5"/>
  <c r="V919" i="5"/>
  <c r="B920" i="5"/>
  <c r="C920" i="5"/>
  <c r="D920" i="5"/>
  <c r="E920" i="5"/>
  <c r="F920" i="5"/>
  <c r="G920" i="5"/>
  <c r="H920" i="5"/>
  <c r="I920" i="5"/>
  <c r="J920" i="5"/>
  <c r="K920" i="5"/>
  <c r="L920" i="5"/>
  <c r="M920" i="5"/>
  <c r="N920" i="5"/>
  <c r="O920" i="5"/>
  <c r="P920" i="5"/>
  <c r="Q920" i="5"/>
  <c r="R920" i="5"/>
  <c r="S920" i="5"/>
  <c r="T920" i="5"/>
  <c r="U920" i="5"/>
  <c r="V920" i="5"/>
  <c r="B921" i="5"/>
  <c r="C921" i="5"/>
  <c r="D921" i="5"/>
  <c r="E921" i="5"/>
  <c r="F921" i="5"/>
  <c r="G921" i="5"/>
  <c r="H921" i="5"/>
  <c r="I921" i="5"/>
  <c r="J921" i="5"/>
  <c r="K921" i="5"/>
  <c r="L921" i="5"/>
  <c r="M921" i="5"/>
  <c r="N921" i="5"/>
  <c r="O921" i="5"/>
  <c r="P921" i="5"/>
  <c r="Q921" i="5"/>
  <c r="R921" i="5"/>
  <c r="S921" i="5"/>
  <c r="T921" i="5"/>
  <c r="U921" i="5"/>
  <c r="V921" i="5"/>
  <c r="B922" i="5"/>
  <c r="C922" i="5"/>
  <c r="D922" i="5"/>
  <c r="E922" i="5"/>
  <c r="F922" i="5"/>
  <c r="G922" i="5"/>
  <c r="H922" i="5"/>
  <c r="I922" i="5"/>
  <c r="J922" i="5"/>
  <c r="K922" i="5"/>
  <c r="L922" i="5"/>
  <c r="M922" i="5"/>
  <c r="N922" i="5"/>
  <c r="O922" i="5"/>
  <c r="P922" i="5"/>
  <c r="Q922" i="5"/>
  <c r="R922" i="5"/>
  <c r="S922" i="5"/>
  <c r="T922" i="5"/>
  <c r="U922" i="5"/>
  <c r="V922" i="5"/>
  <c r="B923" i="5"/>
  <c r="C923" i="5"/>
  <c r="D923" i="5"/>
  <c r="E923" i="5"/>
  <c r="F923" i="5"/>
  <c r="G923" i="5"/>
  <c r="H923" i="5"/>
  <c r="I923" i="5"/>
  <c r="J923" i="5"/>
  <c r="K923" i="5"/>
  <c r="L923" i="5"/>
  <c r="M923" i="5"/>
  <c r="N923" i="5"/>
  <c r="O923" i="5"/>
  <c r="P923" i="5"/>
  <c r="Q923" i="5"/>
  <c r="R923" i="5"/>
  <c r="S923" i="5"/>
  <c r="T923" i="5"/>
  <c r="U923" i="5"/>
  <c r="V923" i="5"/>
  <c r="B924" i="5"/>
  <c r="C924" i="5"/>
  <c r="D924" i="5"/>
  <c r="E924" i="5"/>
  <c r="F924" i="5"/>
  <c r="G924" i="5"/>
  <c r="H924" i="5"/>
  <c r="I924" i="5"/>
  <c r="J924" i="5"/>
  <c r="K924" i="5"/>
  <c r="L924" i="5"/>
  <c r="M924" i="5"/>
  <c r="N924" i="5"/>
  <c r="O924" i="5"/>
  <c r="P924" i="5"/>
  <c r="Q924" i="5"/>
  <c r="R924" i="5"/>
  <c r="S924" i="5"/>
  <c r="T924" i="5"/>
  <c r="U924" i="5"/>
  <c r="V924" i="5"/>
  <c r="B925" i="5"/>
  <c r="C925" i="5"/>
  <c r="D925" i="5"/>
  <c r="E925" i="5"/>
  <c r="F925" i="5"/>
  <c r="G925" i="5"/>
  <c r="H925" i="5"/>
  <c r="I925" i="5"/>
  <c r="J925" i="5"/>
  <c r="K925" i="5"/>
  <c r="L925" i="5"/>
  <c r="M925" i="5"/>
  <c r="N925" i="5"/>
  <c r="O925" i="5"/>
  <c r="P925" i="5"/>
  <c r="Q925" i="5"/>
  <c r="R925" i="5"/>
  <c r="S925" i="5"/>
  <c r="T925" i="5"/>
  <c r="U925" i="5"/>
  <c r="V925" i="5"/>
  <c r="B926" i="5"/>
  <c r="C926" i="5"/>
  <c r="D926" i="5"/>
  <c r="E926" i="5"/>
  <c r="F926" i="5"/>
  <c r="G926" i="5"/>
  <c r="H926" i="5"/>
  <c r="I926" i="5"/>
  <c r="J926" i="5"/>
  <c r="K926" i="5"/>
  <c r="L926" i="5"/>
  <c r="M926" i="5"/>
  <c r="N926" i="5"/>
  <c r="O926" i="5"/>
  <c r="P926" i="5"/>
  <c r="Q926" i="5"/>
  <c r="R926" i="5"/>
  <c r="S926" i="5"/>
  <c r="T926" i="5"/>
  <c r="U926" i="5"/>
  <c r="V926" i="5"/>
  <c r="B927" i="5"/>
  <c r="C927" i="5"/>
  <c r="D927" i="5"/>
  <c r="E927" i="5"/>
  <c r="F927" i="5"/>
  <c r="G927" i="5"/>
  <c r="H927" i="5"/>
  <c r="I927" i="5"/>
  <c r="J927" i="5"/>
  <c r="K927" i="5"/>
  <c r="L927" i="5"/>
  <c r="M927" i="5"/>
  <c r="N927" i="5"/>
  <c r="O927" i="5"/>
  <c r="P927" i="5"/>
  <c r="Q927" i="5"/>
  <c r="R927" i="5"/>
  <c r="S927" i="5"/>
  <c r="T927" i="5"/>
  <c r="U927" i="5"/>
  <c r="V927" i="5"/>
  <c r="B928" i="5"/>
  <c r="C928" i="5"/>
  <c r="D928" i="5"/>
  <c r="E928" i="5"/>
  <c r="F928" i="5"/>
  <c r="G928" i="5"/>
  <c r="H928" i="5"/>
  <c r="I928" i="5"/>
  <c r="J928" i="5"/>
  <c r="K928" i="5"/>
  <c r="L928" i="5"/>
  <c r="M928" i="5"/>
  <c r="N928" i="5"/>
  <c r="O928" i="5"/>
  <c r="P928" i="5"/>
  <c r="Q928" i="5"/>
  <c r="R928" i="5"/>
  <c r="S928" i="5"/>
  <c r="T928" i="5"/>
  <c r="U928" i="5"/>
  <c r="V928" i="5"/>
  <c r="B929" i="5"/>
  <c r="C929" i="5"/>
  <c r="D929" i="5"/>
  <c r="E929" i="5"/>
  <c r="F929" i="5"/>
  <c r="G929" i="5"/>
  <c r="H929" i="5"/>
  <c r="I929" i="5"/>
  <c r="J929" i="5"/>
  <c r="K929" i="5"/>
  <c r="L929" i="5"/>
  <c r="M929" i="5"/>
  <c r="N929" i="5"/>
  <c r="O929" i="5"/>
  <c r="P929" i="5"/>
  <c r="Q929" i="5"/>
  <c r="R929" i="5"/>
  <c r="S929" i="5"/>
  <c r="T929" i="5"/>
  <c r="U929" i="5"/>
  <c r="V929" i="5"/>
  <c r="B930" i="5"/>
  <c r="C930" i="5"/>
  <c r="D930" i="5"/>
  <c r="E930" i="5"/>
  <c r="F930" i="5"/>
  <c r="G930" i="5"/>
  <c r="H930" i="5"/>
  <c r="I930" i="5"/>
  <c r="J930" i="5"/>
  <c r="K930" i="5"/>
  <c r="L930" i="5"/>
  <c r="M930" i="5"/>
  <c r="N930" i="5"/>
  <c r="O930" i="5"/>
  <c r="P930" i="5"/>
  <c r="Q930" i="5"/>
  <c r="R930" i="5"/>
  <c r="S930" i="5"/>
  <c r="T930" i="5"/>
  <c r="U930" i="5"/>
  <c r="V930" i="5"/>
  <c r="B931" i="5"/>
  <c r="C931" i="5"/>
  <c r="D931" i="5"/>
  <c r="E931" i="5"/>
  <c r="F931" i="5"/>
  <c r="G931" i="5"/>
  <c r="H931" i="5"/>
  <c r="I931" i="5"/>
  <c r="J931" i="5"/>
  <c r="K931" i="5"/>
  <c r="L931" i="5"/>
  <c r="M931" i="5"/>
  <c r="N931" i="5"/>
  <c r="O931" i="5"/>
  <c r="P931" i="5"/>
  <c r="Q931" i="5"/>
  <c r="R931" i="5"/>
  <c r="S931" i="5"/>
  <c r="T931" i="5"/>
  <c r="U931" i="5"/>
  <c r="V931" i="5"/>
  <c r="B932" i="5"/>
  <c r="C932" i="5"/>
  <c r="D932" i="5"/>
  <c r="E932" i="5"/>
  <c r="F932" i="5"/>
  <c r="G932" i="5"/>
  <c r="H932" i="5"/>
  <c r="I932" i="5"/>
  <c r="J932" i="5"/>
  <c r="K932" i="5"/>
  <c r="L932" i="5"/>
  <c r="M932" i="5"/>
  <c r="N932" i="5"/>
  <c r="O932" i="5"/>
  <c r="P932" i="5"/>
  <c r="Q932" i="5"/>
  <c r="R932" i="5"/>
  <c r="S932" i="5"/>
  <c r="T932" i="5"/>
  <c r="U932" i="5"/>
  <c r="V932" i="5"/>
  <c r="B933" i="5"/>
  <c r="C933" i="5"/>
  <c r="D933" i="5"/>
  <c r="E933" i="5"/>
  <c r="F933" i="5"/>
  <c r="G933" i="5"/>
  <c r="H933" i="5"/>
  <c r="I933" i="5"/>
  <c r="J933" i="5"/>
  <c r="K933" i="5"/>
  <c r="L933" i="5"/>
  <c r="M933" i="5"/>
  <c r="N933" i="5"/>
  <c r="O933" i="5"/>
  <c r="P933" i="5"/>
  <c r="Q933" i="5"/>
  <c r="R933" i="5"/>
  <c r="S933" i="5"/>
  <c r="T933" i="5"/>
  <c r="U933" i="5"/>
  <c r="V933" i="5"/>
  <c r="B934" i="5"/>
  <c r="C934" i="5"/>
  <c r="D934" i="5"/>
  <c r="E934" i="5"/>
  <c r="F934" i="5"/>
  <c r="G934" i="5"/>
  <c r="H934" i="5"/>
  <c r="I934" i="5"/>
  <c r="J934" i="5"/>
  <c r="K934" i="5"/>
  <c r="L934" i="5"/>
  <c r="M934" i="5"/>
  <c r="N934" i="5"/>
  <c r="O934" i="5"/>
  <c r="P934" i="5"/>
  <c r="Q934" i="5"/>
  <c r="R934" i="5"/>
  <c r="S934" i="5"/>
  <c r="T934" i="5"/>
  <c r="U934" i="5"/>
  <c r="V934" i="5"/>
  <c r="B935" i="5"/>
  <c r="C935" i="5"/>
  <c r="D935" i="5"/>
  <c r="E935" i="5"/>
  <c r="F935" i="5"/>
  <c r="G935" i="5"/>
  <c r="H935" i="5"/>
  <c r="I935" i="5"/>
  <c r="J935" i="5"/>
  <c r="K935" i="5"/>
  <c r="L935" i="5"/>
  <c r="M935" i="5"/>
  <c r="N935" i="5"/>
  <c r="O935" i="5"/>
  <c r="P935" i="5"/>
  <c r="Q935" i="5"/>
  <c r="R935" i="5"/>
  <c r="S935" i="5"/>
  <c r="T935" i="5"/>
  <c r="U935" i="5"/>
  <c r="V935" i="5"/>
  <c r="B936" i="5"/>
  <c r="C936" i="5"/>
  <c r="D936" i="5"/>
  <c r="E936" i="5"/>
  <c r="F936" i="5"/>
  <c r="G936" i="5"/>
  <c r="H936" i="5"/>
  <c r="I936" i="5"/>
  <c r="J936" i="5"/>
  <c r="K936" i="5"/>
  <c r="L936" i="5"/>
  <c r="M936" i="5"/>
  <c r="N936" i="5"/>
  <c r="O936" i="5"/>
  <c r="P936" i="5"/>
  <c r="Q936" i="5"/>
  <c r="R936" i="5"/>
  <c r="S936" i="5"/>
  <c r="T936" i="5"/>
  <c r="U936" i="5"/>
  <c r="V936" i="5"/>
  <c r="B937" i="5"/>
  <c r="C937" i="5"/>
  <c r="D937" i="5"/>
  <c r="E937" i="5"/>
  <c r="F937" i="5"/>
  <c r="G937" i="5"/>
  <c r="H937" i="5"/>
  <c r="I937" i="5"/>
  <c r="J937" i="5"/>
  <c r="K937" i="5"/>
  <c r="L937" i="5"/>
  <c r="M937" i="5"/>
  <c r="N937" i="5"/>
  <c r="O937" i="5"/>
  <c r="P937" i="5"/>
  <c r="Q937" i="5"/>
  <c r="R937" i="5"/>
  <c r="S937" i="5"/>
  <c r="T937" i="5"/>
  <c r="U937" i="5"/>
  <c r="V937" i="5"/>
  <c r="B938" i="5"/>
  <c r="C938" i="5"/>
  <c r="D938" i="5"/>
  <c r="E938" i="5"/>
  <c r="F938" i="5"/>
  <c r="G938" i="5"/>
  <c r="H938" i="5"/>
  <c r="I938" i="5"/>
  <c r="J938" i="5"/>
  <c r="K938" i="5"/>
  <c r="L938" i="5"/>
  <c r="M938" i="5"/>
  <c r="N938" i="5"/>
  <c r="O938" i="5"/>
  <c r="P938" i="5"/>
  <c r="Q938" i="5"/>
  <c r="R938" i="5"/>
  <c r="S938" i="5"/>
  <c r="T938" i="5"/>
  <c r="U938" i="5"/>
  <c r="V938" i="5"/>
  <c r="B939" i="5"/>
  <c r="C939" i="5"/>
  <c r="D939" i="5"/>
  <c r="E939" i="5"/>
  <c r="F939" i="5"/>
  <c r="G939" i="5"/>
  <c r="H939" i="5"/>
  <c r="I939" i="5"/>
  <c r="J939" i="5"/>
  <c r="K939" i="5"/>
  <c r="L939" i="5"/>
  <c r="M939" i="5"/>
  <c r="N939" i="5"/>
  <c r="O939" i="5"/>
  <c r="P939" i="5"/>
  <c r="Q939" i="5"/>
  <c r="R939" i="5"/>
  <c r="S939" i="5"/>
  <c r="T939" i="5"/>
  <c r="U939" i="5"/>
  <c r="V939" i="5"/>
  <c r="B940" i="5"/>
  <c r="C940" i="5"/>
  <c r="D940" i="5"/>
  <c r="E940" i="5"/>
  <c r="F940" i="5"/>
  <c r="G940" i="5"/>
  <c r="H940" i="5"/>
  <c r="I940" i="5"/>
  <c r="J940" i="5"/>
  <c r="K940" i="5"/>
  <c r="L940" i="5"/>
  <c r="M940" i="5"/>
  <c r="N940" i="5"/>
  <c r="O940" i="5"/>
  <c r="P940" i="5"/>
  <c r="Q940" i="5"/>
  <c r="R940" i="5"/>
  <c r="S940" i="5"/>
  <c r="T940" i="5"/>
  <c r="U940" i="5"/>
  <c r="V940" i="5"/>
  <c r="B941" i="5"/>
  <c r="C941" i="5"/>
  <c r="D941" i="5"/>
  <c r="E941" i="5"/>
  <c r="F941" i="5"/>
  <c r="G941" i="5"/>
  <c r="H941" i="5"/>
  <c r="I941" i="5"/>
  <c r="J941" i="5"/>
  <c r="K941" i="5"/>
  <c r="L941" i="5"/>
  <c r="M941" i="5"/>
  <c r="N941" i="5"/>
  <c r="O941" i="5"/>
  <c r="P941" i="5"/>
  <c r="Q941" i="5"/>
  <c r="R941" i="5"/>
  <c r="S941" i="5"/>
  <c r="T941" i="5"/>
  <c r="U941" i="5"/>
  <c r="V941" i="5"/>
  <c r="B942" i="5"/>
  <c r="C942" i="5"/>
  <c r="D942" i="5"/>
  <c r="E942" i="5"/>
  <c r="F942" i="5"/>
  <c r="G942" i="5"/>
  <c r="H942" i="5"/>
  <c r="I942" i="5"/>
  <c r="J942" i="5"/>
  <c r="K942" i="5"/>
  <c r="L942" i="5"/>
  <c r="M942" i="5"/>
  <c r="N942" i="5"/>
  <c r="O942" i="5"/>
  <c r="P942" i="5"/>
  <c r="Q942" i="5"/>
  <c r="R942" i="5"/>
  <c r="S942" i="5"/>
  <c r="T942" i="5"/>
  <c r="U942" i="5"/>
  <c r="V942" i="5"/>
  <c r="B943" i="5"/>
  <c r="C943" i="5"/>
  <c r="D943" i="5"/>
  <c r="E943" i="5"/>
  <c r="F943" i="5"/>
  <c r="G943" i="5"/>
  <c r="H943" i="5"/>
  <c r="I943" i="5"/>
  <c r="J943" i="5"/>
  <c r="K943" i="5"/>
  <c r="L943" i="5"/>
  <c r="M943" i="5"/>
  <c r="N943" i="5"/>
  <c r="O943" i="5"/>
  <c r="P943" i="5"/>
  <c r="Q943" i="5"/>
  <c r="R943" i="5"/>
  <c r="S943" i="5"/>
  <c r="T943" i="5"/>
  <c r="U943" i="5"/>
  <c r="V943" i="5"/>
  <c r="B944" i="5"/>
  <c r="C944" i="5"/>
  <c r="D944" i="5"/>
  <c r="E944" i="5"/>
  <c r="F944" i="5"/>
  <c r="G944" i="5"/>
  <c r="H944" i="5"/>
  <c r="I944" i="5"/>
  <c r="J944" i="5"/>
  <c r="K944" i="5"/>
  <c r="L944" i="5"/>
  <c r="M944" i="5"/>
  <c r="N944" i="5"/>
  <c r="O944" i="5"/>
  <c r="P944" i="5"/>
  <c r="Q944" i="5"/>
  <c r="R944" i="5"/>
  <c r="S944" i="5"/>
  <c r="T944" i="5"/>
  <c r="U944" i="5"/>
  <c r="V944" i="5"/>
  <c r="B945" i="5"/>
  <c r="C945" i="5"/>
  <c r="D945" i="5"/>
  <c r="E945" i="5"/>
  <c r="F945" i="5"/>
  <c r="G945" i="5"/>
  <c r="H945" i="5"/>
  <c r="I945" i="5"/>
  <c r="J945" i="5"/>
  <c r="K945" i="5"/>
  <c r="L945" i="5"/>
  <c r="M945" i="5"/>
  <c r="N945" i="5"/>
  <c r="O945" i="5"/>
  <c r="P945" i="5"/>
  <c r="Q945" i="5"/>
  <c r="R945" i="5"/>
  <c r="S945" i="5"/>
  <c r="T945" i="5"/>
  <c r="U945" i="5"/>
  <c r="V945" i="5"/>
  <c r="B946" i="5"/>
  <c r="C946" i="5"/>
  <c r="D946" i="5"/>
  <c r="E946" i="5"/>
  <c r="F946" i="5"/>
  <c r="G946" i="5"/>
  <c r="H946" i="5"/>
  <c r="I946" i="5"/>
  <c r="J946" i="5"/>
  <c r="K946" i="5"/>
  <c r="L946" i="5"/>
  <c r="M946" i="5"/>
  <c r="N946" i="5"/>
  <c r="O946" i="5"/>
  <c r="P946" i="5"/>
  <c r="Q946" i="5"/>
  <c r="R946" i="5"/>
  <c r="S946" i="5"/>
  <c r="T946" i="5"/>
  <c r="U946" i="5"/>
  <c r="V946" i="5"/>
  <c r="B947" i="5"/>
  <c r="C947" i="5"/>
  <c r="D947" i="5"/>
  <c r="E947" i="5"/>
  <c r="F947" i="5"/>
  <c r="G947" i="5"/>
  <c r="H947" i="5"/>
  <c r="I947" i="5"/>
  <c r="J947" i="5"/>
  <c r="K947" i="5"/>
  <c r="L947" i="5"/>
  <c r="M947" i="5"/>
  <c r="N947" i="5"/>
  <c r="O947" i="5"/>
  <c r="P947" i="5"/>
  <c r="Q947" i="5"/>
  <c r="R947" i="5"/>
  <c r="S947" i="5"/>
  <c r="T947" i="5"/>
  <c r="U947" i="5"/>
  <c r="V947" i="5"/>
  <c r="B948" i="5"/>
  <c r="C948" i="5"/>
  <c r="D948" i="5"/>
  <c r="E948" i="5"/>
  <c r="F948" i="5"/>
  <c r="G948" i="5"/>
  <c r="H948" i="5"/>
  <c r="I948" i="5"/>
  <c r="J948" i="5"/>
  <c r="K948" i="5"/>
  <c r="L948" i="5"/>
  <c r="M948" i="5"/>
  <c r="N948" i="5"/>
  <c r="O948" i="5"/>
  <c r="P948" i="5"/>
  <c r="Q948" i="5"/>
  <c r="R948" i="5"/>
  <c r="S948" i="5"/>
  <c r="T948" i="5"/>
  <c r="U948" i="5"/>
  <c r="V948" i="5"/>
  <c r="B949" i="5"/>
  <c r="C949" i="5"/>
  <c r="D949" i="5"/>
  <c r="E949" i="5"/>
  <c r="F949" i="5"/>
  <c r="G949" i="5"/>
  <c r="H949" i="5"/>
  <c r="I949" i="5"/>
  <c r="J949" i="5"/>
  <c r="K949" i="5"/>
  <c r="L949" i="5"/>
  <c r="M949" i="5"/>
  <c r="N949" i="5"/>
  <c r="O949" i="5"/>
  <c r="P949" i="5"/>
  <c r="Q949" i="5"/>
  <c r="R949" i="5"/>
  <c r="S949" i="5"/>
  <c r="T949" i="5"/>
  <c r="U949" i="5"/>
  <c r="V949" i="5"/>
  <c r="B950" i="5"/>
  <c r="C950" i="5"/>
  <c r="D950" i="5"/>
  <c r="E950" i="5"/>
  <c r="F950" i="5"/>
  <c r="G950" i="5"/>
  <c r="H950" i="5"/>
  <c r="I950" i="5"/>
  <c r="J950" i="5"/>
  <c r="K950" i="5"/>
  <c r="L950" i="5"/>
  <c r="M950" i="5"/>
  <c r="N950" i="5"/>
  <c r="O950" i="5"/>
  <c r="P950" i="5"/>
  <c r="Q950" i="5"/>
  <c r="R950" i="5"/>
  <c r="S950" i="5"/>
  <c r="T950" i="5"/>
  <c r="U950" i="5"/>
  <c r="V950" i="5"/>
  <c r="B951" i="5"/>
  <c r="C951" i="5"/>
  <c r="D951" i="5"/>
  <c r="E951" i="5"/>
  <c r="F951" i="5"/>
  <c r="G951" i="5"/>
  <c r="H951" i="5"/>
  <c r="I951" i="5"/>
  <c r="J951" i="5"/>
  <c r="K951" i="5"/>
  <c r="L951" i="5"/>
  <c r="M951" i="5"/>
  <c r="N951" i="5"/>
  <c r="O951" i="5"/>
  <c r="P951" i="5"/>
  <c r="Q951" i="5"/>
  <c r="R951" i="5"/>
  <c r="S951" i="5"/>
  <c r="T951" i="5"/>
  <c r="U951" i="5"/>
  <c r="V951" i="5"/>
  <c r="B952" i="5"/>
  <c r="C952" i="5"/>
  <c r="D952" i="5"/>
  <c r="E952" i="5"/>
  <c r="F952" i="5"/>
  <c r="G952" i="5"/>
  <c r="H952" i="5"/>
  <c r="I952" i="5"/>
  <c r="J952" i="5"/>
  <c r="K952" i="5"/>
  <c r="L952" i="5"/>
  <c r="M952" i="5"/>
  <c r="N952" i="5"/>
  <c r="O952" i="5"/>
  <c r="P952" i="5"/>
  <c r="Q952" i="5"/>
  <c r="R952" i="5"/>
  <c r="S952" i="5"/>
  <c r="T952" i="5"/>
  <c r="U952" i="5"/>
  <c r="V952" i="5"/>
  <c r="B953" i="5"/>
  <c r="C953" i="5"/>
  <c r="D953" i="5"/>
  <c r="E953" i="5"/>
  <c r="F953" i="5"/>
  <c r="G953" i="5"/>
  <c r="H953" i="5"/>
  <c r="I953" i="5"/>
  <c r="J953" i="5"/>
  <c r="K953" i="5"/>
  <c r="L953" i="5"/>
  <c r="M953" i="5"/>
  <c r="N953" i="5"/>
  <c r="O953" i="5"/>
  <c r="P953" i="5"/>
  <c r="Q953" i="5"/>
  <c r="R953" i="5"/>
  <c r="S953" i="5"/>
  <c r="T953" i="5"/>
  <c r="U953" i="5"/>
  <c r="V953" i="5"/>
  <c r="B954" i="5"/>
  <c r="C954" i="5"/>
  <c r="D954" i="5"/>
  <c r="E954" i="5"/>
  <c r="F954" i="5"/>
  <c r="G954" i="5"/>
  <c r="H954" i="5"/>
  <c r="I954" i="5"/>
  <c r="J954" i="5"/>
  <c r="K954" i="5"/>
  <c r="L954" i="5"/>
  <c r="M954" i="5"/>
  <c r="N954" i="5"/>
  <c r="O954" i="5"/>
  <c r="P954" i="5"/>
  <c r="Q954" i="5"/>
  <c r="R954" i="5"/>
  <c r="S954" i="5"/>
  <c r="T954" i="5"/>
  <c r="U954" i="5"/>
  <c r="V954" i="5"/>
  <c r="B955" i="5"/>
  <c r="C955" i="5"/>
  <c r="D955" i="5"/>
  <c r="E955" i="5"/>
  <c r="F955" i="5"/>
  <c r="G955" i="5"/>
  <c r="H955" i="5"/>
  <c r="I955" i="5"/>
  <c r="J955" i="5"/>
  <c r="K955" i="5"/>
  <c r="L955" i="5"/>
  <c r="M955" i="5"/>
  <c r="N955" i="5"/>
  <c r="O955" i="5"/>
  <c r="P955" i="5"/>
  <c r="Q955" i="5"/>
  <c r="R955" i="5"/>
  <c r="S955" i="5"/>
  <c r="T955" i="5"/>
  <c r="U955" i="5"/>
  <c r="V955" i="5"/>
  <c r="B956" i="5"/>
  <c r="C956" i="5"/>
  <c r="D956" i="5"/>
  <c r="E956" i="5"/>
  <c r="F956" i="5"/>
  <c r="G956" i="5"/>
  <c r="H956" i="5"/>
  <c r="I956" i="5"/>
  <c r="J956" i="5"/>
  <c r="K956" i="5"/>
  <c r="L956" i="5"/>
  <c r="M956" i="5"/>
  <c r="N956" i="5"/>
  <c r="O956" i="5"/>
  <c r="P956" i="5"/>
  <c r="Q956" i="5"/>
  <c r="R956" i="5"/>
  <c r="S956" i="5"/>
  <c r="T956" i="5"/>
  <c r="U956" i="5"/>
  <c r="V956" i="5"/>
  <c r="B957" i="5"/>
  <c r="C957" i="5"/>
  <c r="D957" i="5"/>
  <c r="E957" i="5"/>
  <c r="F957" i="5"/>
  <c r="G957" i="5"/>
  <c r="H957" i="5"/>
  <c r="I957" i="5"/>
  <c r="J957" i="5"/>
  <c r="K957" i="5"/>
  <c r="L957" i="5"/>
  <c r="M957" i="5"/>
  <c r="N957" i="5"/>
  <c r="O957" i="5"/>
  <c r="P957" i="5"/>
  <c r="Q957" i="5"/>
  <c r="R957" i="5"/>
  <c r="S957" i="5"/>
  <c r="T957" i="5"/>
  <c r="U957" i="5"/>
  <c r="V957" i="5"/>
  <c r="B958" i="5"/>
  <c r="C958" i="5"/>
  <c r="D958" i="5"/>
  <c r="E958" i="5"/>
  <c r="F958" i="5"/>
  <c r="G958" i="5"/>
  <c r="H958" i="5"/>
  <c r="I958" i="5"/>
  <c r="J958" i="5"/>
  <c r="K958" i="5"/>
  <c r="L958" i="5"/>
  <c r="M958" i="5"/>
  <c r="N958" i="5"/>
  <c r="O958" i="5"/>
  <c r="P958" i="5"/>
  <c r="Q958" i="5"/>
  <c r="R958" i="5"/>
  <c r="S958" i="5"/>
  <c r="T958" i="5"/>
  <c r="U958" i="5"/>
  <c r="V958" i="5"/>
  <c r="B959" i="5"/>
  <c r="C959" i="5"/>
  <c r="D959" i="5"/>
  <c r="E959" i="5"/>
  <c r="F959" i="5"/>
  <c r="G959" i="5"/>
  <c r="H959" i="5"/>
  <c r="I959" i="5"/>
  <c r="J959" i="5"/>
  <c r="K959" i="5"/>
  <c r="L959" i="5"/>
  <c r="M959" i="5"/>
  <c r="N959" i="5"/>
  <c r="O959" i="5"/>
  <c r="P959" i="5"/>
  <c r="Q959" i="5"/>
  <c r="R959" i="5"/>
  <c r="S959" i="5"/>
  <c r="T959" i="5"/>
  <c r="U959" i="5"/>
  <c r="V959" i="5"/>
  <c r="B960" i="5"/>
  <c r="C960" i="5"/>
  <c r="D960" i="5"/>
  <c r="E960" i="5"/>
  <c r="F960" i="5"/>
  <c r="G960" i="5"/>
  <c r="H960" i="5"/>
  <c r="I960" i="5"/>
  <c r="J960" i="5"/>
  <c r="K960" i="5"/>
  <c r="L960" i="5"/>
  <c r="M960" i="5"/>
  <c r="N960" i="5"/>
  <c r="O960" i="5"/>
  <c r="P960" i="5"/>
  <c r="Q960" i="5"/>
  <c r="R960" i="5"/>
  <c r="S960" i="5"/>
  <c r="T960" i="5"/>
  <c r="U960" i="5"/>
  <c r="V960" i="5"/>
  <c r="B961" i="5"/>
  <c r="C961" i="5"/>
  <c r="D961" i="5"/>
  <c r="E961" i="5"/>
  <c r="F961" i="5"/>
  <c r="G961" i="5"/>
  <c r="H961" i="5"/>
  <c r="I961" i="5"/>
  <c r="J961" i="5"/>
  <c r="K961" i="5"/>
  <c r="L961" i="5"/>
  <c r="M961" i="5"/>
  <c r="N961" i="5"/>
  <c r="O961" i="5"/>
  <c r="P961" i="5"/>
  <c r="Q961" i="5"/>
  <c r="R961" i="5"/>
  <c r="S961" i="5"/>
  <c r="T961" i="5"/>
  <c r="U961" i="5"/>
  <c r="V961" i="5"/>
  <c r="B962" i="5"/>
  <c r="C962" i="5"/>
  <c r="D962" i="5"/>
  <c r="E962" i="5"/>
  <c r="F962" i="5"/>
  <c r="G962" i="5"/>
  <c r="H962" i="5"/>
  <c r="I962" i="5"/>
  <c r="J962" i="5"/>
  <c r="K962" i="5"/>
  <c r="L962" i="5"/>
  <c r="M962" i="5"/>
  <c r="N962" i="5"/>
  <c r="O962" i="5"/>
  <c r="P962" i="5"/>
  <c r="Q962" i="5"/>
  <c r="R962" i="5"/>
  <c r="S962" i="5"/>
  <c r="T962" i="5"/>
  <c r="U962" i="5"/>
  <c r="V962" i="5"/>
  <c r="B963" i="5"/>
  <c r="C963" i="5"/>
  <c r="D963" i="5"/>
  <c r="E963" i="5"/>
  <c r="F963" i="5"/>
  <c r="G963" i="5"/>
  <c r="H963" i="5"/>
  <c r="I963" i="5"/>
  <c r="J963" i="5"/>
  <c r="K963" i="5"/>
  <c r="L963" i="5"/>
  <c r="M963" i="5"/>
  <c r="N963" i="5"/>
  <c r="O963" i="5"/>
  <c r="P963" i="5"/>
  <c r="Q963" i="5"/>
  <c r="R963" i="5"/>
  <c r="S963" i="5"/>
  <c r="T963" i="5"/>
  <c r="U963" i="5"/>
  <c r="V963" i="5"/>
  <c r="B964" i="5"/>
  <c r="C964" i="5"/>
  <c r="D964" i="5"/>
  <c r="E964" i="5"/>
  <c r="F964" i="5"/>
  <c r="G964" i="5"/>
  <c r="H964" i="5"/>
  <c r="I964" i="5"/>
  <c r="J964" i="5"/>
  <c r="K964" i="5"/>
  <c r="L964" i="5"/>
  <c r="M964" i="5"/>
  <c r="N964" i="5"/>
  <c r="O964" i="5"/>
  <c r="P964" i="5"/>
  <c r="Q964" i="5"/>
  <c r="R964" i="5"/>
  <c r="S964" i="5"/>
  <c r="T964" i="5"/>
  <c r="U964" i="5"/>
  <c r="V964" i="5"/>
  <c r="B965" i="5"/>
  <c r="C965" i="5"/>
  <c r="D965" i="5"/>
  <c r="E965" i="5"/>
  <c r="F965" i="5"/>
  <c r="G965" i="5"/>
  <c r="H965" i="5"/>
  <c r="I965" i="5"/>
  <c r="J965" i="5"/>
  <c r="K965" i="5"/>
  <c r="L965" i="5"/>
  <c r="M965" i="5"/>
  <c r="N965" i="5"/>
  <c r="O965" i="5"/>
  <c r="P965" i="5"/>
  <c r="Q965" i="5"/>
  <c r="R965" i="5"/>
  <c r="S965" i="5"/>
  <c r="T965" i="5"/>
  <c r="U965" i="5"/>
  <c r="V965" i="5"/>
  <c r="B966" i="5"/>
  <c r="C966" i="5"/>
  <c r="D966" i="5"/>
  <c r="E966" i="5"/>
  <c r="F966" i="5"/>
  <c r="G966" i="5"/>
  <c r="H966" i="5"/>
  <c r="I966" i="5"/>
  <c r="J966" i="5"/>
  <c r="K966" i="5"/>
  <c r="L966" i="5"/>
  <c r="M966" i="5"/>
  <c r="N966" i="5"/>
  <c r="O966" i="5"/>
  <c r="P966" i="5"/>
  <c r="Q966" i="5"/>
  <c r="R966" i="5"/>
  <c r="S966" i="5"/>
  <c r="T966" i="5"/>
  <c r="U966" i="5"/>
  <c r="V966" i="5"/>
  <c r="B967" i="5"/>
  <c r="C967" i="5"/>
  <c r="D967" i="5"/>
  <c r="E967" i="5"/>
  <c r="F967" i="5"/>
  <c r="G967" i="5"/>
  <c r="H967" i="5"/>
  <c r="I967" i="5"/>
  <c r="J967" i="5"/>
  <c r="K967" i="5"/>
  <c r="L967" i="5"/>
  <c r="M967" i="5"/>
  <c r="N967" i="5"/>
  <c r="O967" i="5"/>
  <c r="P967" i="5"/>
  <c r="Q967" i="5"/>
  <c r="R967" i="5"/>
  <c r="S967" i="5"/>
  <c r="T967" i="5"/>
  <c r="U967" i="5"/>
  <c r="V967" i="5"/>
  <c r="B968" i="5"/>
  <c r="C968" i="5"/>
  <c r="D968" i="5"/>
  <c r="E968" i="5"/>
  <c r="F968" i="5"/>
  <c r="G968" i="5"/>
  <c r="H968" i="5"/>
  <c r="I968" i="5"/>
  <c r="J968" i="5"/>
  <c r="K968" i="5"/>
  <c r="L968" i="5"/>
  <c r="M968" i="5"/>
  <c r="N968" i="5"/>
  <c r="O968" i="5"/>
  <c r="P968" i="5"/>
  <c r="Q968" i="5"/>
  <c r="R968" i="5"/>
  <c r="S968" i="5"/>
  <c r="T968" i="5"/>
  <c r="U968" i="5"/>
  <c r="V968" i="5"/>
  <c r="B969" i="5"/>
  <c r="C969" i="5"/>
  <c r="D969" i="5"/>
  <c r="E969" i="5"/>
  <c r="F969" i="5"/>
  <c r="G969" i="5"/>
  <c r="H969" i="5"/>
  <c r="I969" i="5"/>
  <c r="J969" i="5"/>
  <c r="K969" i="5"/>
  <c r="L969" i="5"/>
  <c r="M969" i="5"/>
  <c r="N969" i="5"/>
  <c r="O969" i="5"/>
  <c r="P969" i="5"/>
  <c r="Q969" i="5"/>
  <c r="R969" i="5"/>
  <c r="S969" i="5"/>
  <c r="T969" i="5"/>
  <c r="U969" i="5"/>
  <c r="V969" i="5"/>
  <c r="B970" i="5"/>
  <c r="C970" i="5"/>
  <c r="D970" i="5"/>
  <c r="E970" i="5"/>
  <c r="F970" i="5"/>
  <c r="G970" i="5"/>
  <c r="H970" i="5"/>
  <c r="I970" i="5"/>
  <c r="J970" i="5"/>
  <c r="K970" i="5"/>
  <c r="L970" i="5"/>
  <c r="M970" i="5"/>
  <c r="N970" i="5"/>
  <c r="O970" i="5"/>
  <c r="P970" i="5"/>
  <c r="Q970" i="5"/>
  <c r="R970" i="5"/>
  <c r="S970" i="5"/>
  <c r="T970" i="5"/>
  <c r="U970" i="5"/>
  <c r="V970" i="5"/>
  <c r="B971" i="5"/>
  <c r="C971" i="5"/>
  <c r="D971" i="5"/>
  <c r="E971" i="5"/>
  <c r="F971" i="5"/>
  <c r="G971" i="5"/>
  <c r="H971" i="5"/>
  <c r="I971" i="5"/>
  <c r="J971" i="5"/>
  <c r="K971" i="5"/>
  <c r="L971" i="5"/>
  <c r="M971" i="5"/>
  <c r="N971" i="5"/>
  <c r="O971" i="5"/>
  <c r="P971" i="5"/>
  <c r="Q971" i="5"/>
  <c r="R971" i="5"/>
  <c r="S971" i="5"/>
  <c r="T971" i="5"/>
  <c r="U971" i="5"/>
  <c r="V971" i="5"/>
  <c r="B972" i="5"/>
  <c r="C972" i="5"/>
  <c r="D972" i="5"/>
  <c r="E972" i="5"/>
  <c r="F972" i="5"/>
  <c r="G972" i="5"/>
  <c r="H972" i="5"/>
  <c r="I972" i="5"/>
  <c r="J972" i="5"/>
  <c r="K972" i="5"/>
  <c r="L972" i="5"/>
  <c r="M972" i="5"/>
  <c r="N972" i="5"/>
  <c r="O972" i="5"/>
  <c r="P972" i="5"/>
  <c r="Q972" i="5"/>
  <c r="R972" i="5"/>
  <c r="S972" i="5"/>
  <c r="T972" i="5"/>
  <c r="U972" i="5"/>
  <c r="V972" i="5"/>
  <c r="B973" i="5"/>
  <c r="C973" i="5"/>
  <c r="D973" i="5"/>
  <c r="E973" i="5"/>
  <c r="F973" i="5"/>
  <c r="G973" i="5"/>
  <c r="H973" i="5"/>
  <c r="I973" i="5"/>
  <c r="J973" i="5"/>
  <c r="K973" i="5"/>
  <c r="L973" i="5"/>
  <c r="M973" i="5"/>
  <c r="N973" i="5"/>
  <c r="O973" i="5"/>
  <c r="P973" i="5"/>
  <c r="Q973" i="5"/>
  <c r="R973" i="5"/>
  <c r="S973" i="5"/>
  <c r="T973" i="5"/>
  <c r="U973" i="5"/>
  <c r="V973" i="5"/>
  <c r="B974" i="5"/>
  <c r="C974" i="5"/>
  <c r="D974" i="5"/>
  <c r="E974" i="5"/>
  <c r="F974" i="5"/>
  <c r="G974" i="5"/>
  <c r="H974" i="5"/>
  <c r="I974" i="5"/>
  <c r="J974" i="5"/>
  <c r="K974" i="5"/>
  <c r="L974" i="5"/>
  <c r="M974" i="5"/>
  <c r="N974" i="5"/>
  <c r="O974" i="5"/>
  <c r="P974" i="5"/>
  <c r="Q974" i="5"/>
  <c r="R974" i="5"/>
  <c r="S974" i="5"/>
  <c r="T974" i="5"/>
  <c r="U974" i="5"/>
  <c r="V974" i="5"/>
  <c r="B975" i="5"/>
  <c r="C975" i="5"/>
  <c r="D975" i="5"/>
  <c r="E975" i="5"/>
  <c r="F975" i="5"/>
  <c r="G975" i="5"/>
  <c r="H975" i="5"/>
  <c r="I975" i="5"/>
  <c r="J975" i="5"/>
  <c r="K975" i="5"/>
  <c r="L975" i="5"/>
  <c r="M975" i="5"/>
  <c r="N975" i="5"/>
  <c r="O975" i="5"/>
  <c r="P975" i="5"/>
  <c r="Q975" i="5"/>
  <c r="R975" i="5"/>
  <c r="S975" i="5"/>
  <c r="T975" i="5"/>
  <c r="U975" i="5"/>
  <c r="V975" i="5"/>
  <c r="B976" i="5"/>
  <c r="C976" i="5"/>
  <c r="D976" i="5"/>
  <c r="E976" i="5"/>
  <c r="F976" i="5"/>
  <c r="G976" i="5"/>
  <c r="H976" i="5"/>
  <c r="I976" i="5"/>
  <c r="J976" i="5"/>
  <c r="K976" i="5"/>
  <c r="L976" i="5"/>
  <c r="M976" i="5"/>
  <c r="N976" i="5"/>
  <c r="O976" i="5"/>
  <c r="P976" i="5"/>
  <c r="Q976" i="5"/>
  <c r="R976" i="5"/>
  <c r="S976" i="5"/>
  <c r="T976" i="5"/>
  <c r="U976" i="5"/>
  <c r="V976" i="5"/>
  <c r="B977" i="5"/>
  <c r="C977" i="5"/>
  <c r="D977" i="5"/>
  <c r="E977" i="5"/>
  <c r="F977" i="5"/>
  <c r="G977" i="5"/>
  <c r="H977" i="5"/>
  <c r="I977" i="5"/>
  <c r="J977" i="5"/>
  <c r="K977" i="5"/>
  <c r="L977" i="5"/>
  <c r="M977" i="5"/>
  <c r="N977" i="5"/>
  <c r="O977" i="5"/>
  <c r="P977" i="5"/>
  <c r="Q977" i="5"/>
  <c r="R977" i="5"/>
  <c r="S977" i="5"/>
  <c r="T977" i="5"/>
  <c r="U977" i="5"/>
  <c r="V977" i="5"/>
  <c r="B978" i="5"/>
  <c r="C978" i="5"/>
  <c r="D978" i="5"/>
  <c r="E978" i="5"/>
  <c r="F978" i="5"/>
  <c r="G978" i="5"/>
  <c r="H978" i="5"/>
  <c r="I978" i="5"/>
  <c r="J978" i="5"/>
  <c r="K978" i="5"/>
  <c r="L978" i="5"/>
  <c r="M978" i="5"/>
  <c r="N978" i="5"/>
  <c r="O978" i="5"/>
  <c r="P978" i="5"/>
  <c r="Q978" i="5"/>
  <c r="R978" i="5"/>
  <c r="S978" i="5"/>
  <c r="T978" i="5"/>
  <c r="U978" i="5"/>
  <c r="V978" i="5"/>
  <c r="B979" i="5"/>
  <c r="C979" i="5"/>
  <c r="D979" i="5"/>
  <c r="E979" i="5"/>
  <c r="F979" i="5"/>
  <c r="G979" i="5"/>
  <c r="H979" i="5"/>
  <c r="I979" i="5"/>
  <c r="J979" i="5"/>
  <c r="K979" i="5"/>
  <c r="L979" i="5"/>
  <c r="M979" i="5"/>
  <c r="N979" i="5"/>
  <c r="O979" i="5"/>
  <c r="P979" i="5"/>
  <c r="Q979" i="5"/>
  <c r="R979" i="5"/>
  <c r="S979" i="5"/>
  <c r="T979" i="5"/>
  <c r="U979" i="5"/>
  <c r="V979" i="5"/>
  <c r="B980" i="5"/>
  <c r="C980" i="5"/>
  <c r="D980" i="5"/>
  <c r="E980" i="5"/>
  <c r="F980" i="5"/>
  <c r="G980" i="5"/>
  <c r="H980" i="5"/>
  <c r="I980" i="5"/>
  <c r="J980" i="5"/>
  <c r="K980" i="5"/>
  <c r="L980" i="5"/>
  <c r="M980" i="5"/>
  <c r="N980" i="5"/>
  <c r="O980" i="5"/>
  <c r="P980" i="5"/>
  <c r="Q980" i="5"/>
  <c r="R980" i="5"/>
  <c r="S980" i="5"/>
  <c r="T980" i="5"/>
  <c r="U980" i="5"/>
  <c r="V980" i="5"/>
  <c r="B981" i="5"/>
  <c r="C981" i="5"/>
  <c r="D981" i="5"/>
  <c r="E981" i="5"/>
  <c r="F981" i="5"/>
  <c r="G981" i="5"/>
  <c r="H981" i="5"/>
  <c r="I981" i="5"/>
  <c r="J981" i="5"/>
  <c r="K981" i="5"/>
  <c r="L981" i="5"/>
  <c r="M981" i="5"/>
  <c r="N981" i="5"/>
  <c r="O981" i="5"/>
  <c r="P981" i="5"/>
  <c r="Q981" i="5"/>
  <c r="R981" i="5"/>
  <c r="S981" i="5"/>
  <c r="T981" i="5"/>
  <c r="U981" i="5"/>
  <c r="V981" i="5"/>
  <c r="B982" i="5"/>
  <c r="C982" i="5"/>
  <c r="D982" i="5"/>
  <c r="E982" i="5"/>
  <c r="F982" i="5"/>
  <c r="G982" i="5"/>
  <c r="H982" i="5"/>
  <c r="I982" i="5"/>
  <c r="J982" i="5"/>
  <c r="K982" i="5"/>
  <c r="L982" i="5"/>
  <c r="M982" i="5"/>
  <c r="N982" i="5"/>
  <c r="O982" i="5"/>
  <c r="P982" i="5"/>
  <c r="Q982" i="5"/>
  <c r="R982" i="5"/>
  <c r="S982" i="5"/>
  <c r="T982" i="5"/>
  <c r="U982" i="5"/>
  <c r="V982" i="5"/>
  <c r="B983" i="5"/>
  <c r="C983" i="5"/>
  <c r="D983" i="5"/>
  <c r="E983" i="5"/>
  <c r="F983" i="5"/>
  <c r="G983" i="5"/>
  <c r="H983" i="5"/>
  <c r="I983" i="5"/>
  <c r="J983" i="5"/>
  <c r="K983" i="5"/>
  <c r="L983" i="5"/>
  <c r="M983" i="5"/>
  <c r="N983" i="5"/>
  <c r="O983" i="5"/>
  <c r="P983" i="5"/>
  <c r="Q983" i="5"/>
  <c r="R983" i="5"/>
  <c r="S983" i="5"/>
  <c r="T983" i="5"/>
  <c r="U983" i="5"/>
  <c r="V983" i="5"/>
  <c r="B984" i="5"/>
  <c r="C984" i="5"/>
  <c r="D984" i="5"/>
  <c r="E984" i="5"/>
  <c r="F984" i="5"/>
  <c r="G984" i="5"/>
  <c r="H984" i="5"/>
  <c r="I984" i="5"/>
  <c r="J984" i="5"/>
  <c r="K984" i="5"/>
  <c r="L984" i="5"/>
  <c r="M984" i="5"/>
  <c r="N984" i="5"/>
  <c r="O984" i="5"/>
  <c r="P984" i="5"/>
  <c r="Q984" i="5"/>
  <c r="R984" i="5"/>
  <c r="S984" i="5"/>
  <c r="T984" i="5"/>
  <c r="U984" i="5"/>
  <c r="V984" i="5"/>
  <c r="B985" i="5"/>
  <c r="C985" i="5"/>
  <c r="D985" i="5"/>
  <c r="E985" i="5"/>
  <c r="F985" i="5"/>
  <c r="G985" i="5"/>
  <c r="H985" i="5"/>
  <c r="I985" i="5"/>
  <c r="J985" i="5"/>
  <c r="K985" i="5"/>
  <c r="L985" i="5"/>
  <c r="M985" i="5"/>
  <c r="N985" i="5"/>
  <c r="O985" i="5"/>
  <c r="P985" i="5"/>
  <c r="Q985" i="5"/>
  <c r="R985" i="5"/>
  <c r="S985" i="5"/>
  <c r="T985" i="5"/>
  <c r="U985" i="5"/>
  <c r="V985" i="5"/>
  <c r="B986" i="5"/>
  <c r="C986" i="5"/>
  <c r="D986" i="5"/>
  <c r="E986" i="5"/>
  <c r="F986" i="5"/>
  <c r="G986" i="5"/>
  <c r="H986" i="5"/>
  <c r="I986" i="5"/>
  <c r="J986" i="5"/>
  <c r="K986" i="5"/>
  <c r="L986" i="5"/>
  <c r="M986" i="5"/>
  <c r="N986" i="5"/>
  <c r="O986" i="5"/>
  <c r="P986" i="5"/>
  <c r="Q986" i="5"/>
  <c r="R986" i="5"/>
  <c r="S986" i="5"/>
  <c r="T986" i="5"/>
  <c r="U986" i="5"/>
  <c r="V986" i="5"/>
  <c r="B987" i="5"/>
  <c r="C987" i="5"/>
  <c r="D987" i="5"/>
  <c r="E987" i="5"/>
  <c r="F987" i="5"/>
  <c r="G987" i="5"/>
  <c r="H987" i="5"/>
  <c r="I987" i="5"/>
  <c r="J987" i="5"/>
  <c r="K987" i="5"/>
  <c r="L987" i="5"/>
  <c r="M987" i="5"/>
  <c r="N987" i="5"/>
  <c r="O987" i="5"/>
  <c r="P987" i="5"/>
  <c r="Q987" i="5"/>
  <c r="R987" i="5"/>
  <c r="S987" i="5"/>
  <c r="T987" i="5"/>
  <c r="U987" i="5"/>
  <c r="V987" i="5"/>
  <c r="B988" i="5"/>
  <c r="C988" i="5"/>
  <c r="D988" i="5"/>
  <c r="E988" i="5"/>
  <c r="F988" i="5"/>
  <c r="G988" i="5"/>
  <c r="H988" i="5"/>
  <c r="I988" i="5"/>
  <c r="J988" i="5"/>
  <c r="K988" i="5"/>
  <c r="L988" i="5"/>
  <c r="M988" i="5"/>
  <c r="N988" i="5"/>
  <c r="O988" i="5"/>
  <c r="P988" i="5"/>
  <c r="Q988" i="5"/>
  <c r="R988" i="5"/>
  <c r="S988" i="5"/>
  <c r="T988" i="5"/>
  <c r="U988" i="5"/>
  <c r="V988" i="5"/>
  <c r="B989" i="5"/>
  <c r="C989" i="5"/>
  <c r="D989" i="5"/>
  <c r="E989" i="5"/>
  <c r="F989" i="5"/>
  <c r="G989" i="5"/>
  <c r="H989" i="5"/>
  <c r="I989" i="5"/>
  <c r="J989" i="5"/>
  <c r="K989" i="5"/>
  <c r="L989" i="5"/>
  <c r="M989" i="5"/>
  <c r="N989" i="5"/>
  <c r="O989" i="5"/>
  <c r="P989" i="5"/>
  <c r="Q989" i="5"/>
  <c r="R989" i="5"/>
  <c r="S989" i="5"/>
  <c r="T989" i="5"/>
  <c r="U989" i="5"/>
  <c r="V989" i="5"/>
  <c r="B990" i="5"/>
  <c r="C990" i="5"/>
  <c r="D990" i="5"/>
  <c r="E990" i="5"/>
  <c r="F990" i="5"/>
  <c r="G990" i="5"/>
  <c r="H990" i="5"/>
  <c r="I990" i="5"/>
  <c r="J990" i="5"/>
  <c r="K990" i="5"/>
  <c r="L990" i="5"/>
  <c r="M990" i="5"/>
  <c r="N990" i="5"/>
  <c r="O990" i="5"/>
  <c r="P990" i="5"/>
  <c r="Q990" i="5"/>
  <c r="R990" i="5"/>
  <c r="S990" i="5"/>
  <c r="T990" i="5"/>
  <c r="U990" i="5"/>
  <c r="V990" i="5"/>
  <c r="B991" i="5"/>
  <c r="C991" i="5"/>
  <c r="D991" i="5"/>
  <c r="E991" i="5"/>
  <c r="F991" i="5"/>
  <c r="G991" i="5"/>
  <c r="H991" i="5"/>
  <c r="I991" i="5"/>
  <c r="J991" i="5"/>
  <c r="K991" i="5"/>
  <c r="L991" i="5"/>
  <c r="M991" i="5"/>
  <c r="N991" i="5"/>
  <c r="O991" i="5"/>
  <c r="P991" i="5"/>
  <c r="Q991" i="5"/>
  <c r="R991" i="5"/>
  <c r="S991" i="5"/>
  <c r="T991" i="5"/>
  <c r="U991" i="5"/>
  <c r="V991" i="5"/>
  <c r="B992" i="5"/>
  <c r="C992" i="5"/>
  <c r="D992" i="5"/>
  <c r="E992" i="5"/>
  <c r="F992" i="5"/>
  <c r="G992" i="5"/>
  <c r="H992" i="5"/>
  <c r="I992" i="5"/>
  <c r="J992" i="5"/>
  <c r="K992" i="5"/>
  <c r="L992" i="5"/>
  <c r="M992" i="5"/>
  <c r="N992" i="5"/>
  <c r="O992" i="5"/>
  <c r="P992" i="5"/>
  <c r="Q992" i="5"/>
  <c r="R992" i="5"/>
  <c r="S992" i="5"/>
  <c r="T992" i="5"/>
  <c r="U992" i="5"/>
  <c r="V992" i="5"/>
  <c r="B993" i="5"/>
  <c r="C993" i="5"/>
  <c r="D993" i="5"/>
  <c r="E993" i="5"/>
  <c r="F993" i="5"/>
  <c r="G993" i="5"/>
  <c r="H993" i="5"/>
  <c r="I993" i="5"/>
  <c r="J993" i="5"/>
  <c r="K993" i="5"/>
  <c r="L993" i="5"/>
  <c r="M993" i="5"/>
  <c r="N993" i="5"/>
  <c r="O993" i="5"/>
  <c r="P993" i="5"/>
  <c r="Q993" i="5"/>
  <c r="R993" i="5"/>
  <c r="S993" i="5"/>
  <c r="T993" i="5"/>
  <c r="U993" i="5"/>
  <c r="V993" i="5"/>
  <c r="B994" i="5"/>
  <c r="C994" i="5"/>
  <c r="D994" i="5"/>
  <c r="E994" i="5"/>
  <c r="F994" i="5"/>
  <c r="G994" i="5"/>
  <c r="H994" i="5"/>
  <c r="I994" i="5"/>
  <c r="J994" i="5"/>
  <c r="K994" i="5"/>
  <c r="L994" i="5"/>
  <c r="M994" i="5"/>
  <c r="N994" i="5"/>
  <c r="O994" i="5"/>
  <c r="P994" i="5"/>
  <c r="Q994" i="5"/>
  <c r="R994" i="5"/>
  <c r="S994" i="5"/>
  <c r="T994" i="5"/>
  <c r="U994" i="5"/>
  <c r="V994" i="5"/>
  <c r="B995" i="5"/>
  <c r="C995" i="5"/>
  <c r="D995" i="5"/>
  <c r="E995" i="5"/>
  <c r="F995" i="5"/>
  <c r="G995" i="5"/>
  <c r="H995" i="5"/>
  <c r="I995" i="5"/>
  <c r="J995" i="5"/>
  <c r="K995" i="5"/>
  <c r="L995" i="5"/>
  <c r="M995" i="5"/>
  <c r="N995" i="5"/>
  <c r="O995" i="5"/>
  <c r="P995" i="5"/>
  <c r="Q995" i="5"/>
  <c r="R995" i="5"/>
  <c r="S995" i="5"/>
  <c r="T995" i="5"/>
  <c r="U995" i="5"/>
  <c r="V995" i="5"/>
  <c r="B996" i="5"/>
  <c r="C996" i="5"/>
  <c r="D996" i="5"/>
  <c r="E996" i="5"/>
  <c r="F996" i="5"/>
  <c r="G996" i="5"/>
  <c r="H996" i="5"/>
  <c r="I996" i="5"/>
  <c r="J996" i="5"/>
  <c r="K996" i="5"/>
  <c r="L996" i="5"/>
  <c r="M996" i="5"/>
  <c r="N996" i="5"/>
  <c r="O996" i="5"/>
  <c r="P996" i="5"/>
  <c r="Q996" i="5"/>
  <c r="R996" i="5"/>
  <c r="S996" i="5"/>
  <c r="T996" i="5"/>
  <c r="U996" i="5"/>
  <c r="V996" i="5"/>
  <c r="B997" i="5"/>
  <c r="C997" i="5"/>
  <c r="D997" i="5"/>
  <c r="E997" i="5"/>
  <c r="F997" i="5"/>
  <c r="G997" i="5"/>
  <c r="H997" i="5"/>
  <c r="I997" i="5"/>
  <c r="J997" i="5"/>
  <c r="K997" i="5"/>
  <c r="L997" i="5"/>
  <c r="M997" i="5"/>
  <c r="N997" i="5"/>
  <c r="O997" i="5"/>
  <c r="P997" i="5"/>
  <c r="Q997" i="5"/>
  <c r="R997" i="5"/>
  <c r="S997" i="5"/>
  <c r="T997" i="5"/>
  <c r="U997" i="5"/>
  <c r="V997" i="5"/>
  <c r="B998" i="5"/>
  <c r="C998" i="5"/>
  <c r="D998" i="5"/>
  <c r="E998" i="5"/>
  <c r="F998" i="5"/>
  <c r="G998" i="5"/>
  <c r="H998" i="5"/>
  <c r="I998" i="5"/>
  <c r="J998" i="5"/>
  <c r="K998" i="5"/>
  <c r="L998" i="5"/>
  <c r="M998" i="5"/>
  <c r="N998" i="5"/>
  <c r="O998" i="5"/>
  <c r="P998" i="5"/>
  <c r="Q998" i="5"/>
  <c r="R998" i="5"/>
  <c r="S998" i="5"/>
  <c r="T998" i="5"/>
  <c r="U998" i="5"/>
  <c r="V998" i="5"/>
  <c r="B999" i="5"/>
  <c r="C999" i="5"/>
  <c r="D999" i="5"/>
  <c r="E999" i="5"/>
  <c r="F999" i="5"/>
  <c r="G999" i="5"/>
  <c r="H999" i="5"/>
  <c r="I999" i="5"/>
  <c r="J999" i="5"/>
  <c r="K999" i="5"/>
  <c r="L999" i="5"/>
  <c r="M999" i="5"/>
  <c r="N999" i="5"/>
  <c r="O999" i="5"/>
  <c r="P999" i="5"/>
  <c r="Q999" i="5"/>
  <c r="R999" i="5"/>
  <c r="S999" i="5"/>
  <c r="T999" i="5"/>
  <c r="U999" i="5"/>
  <c r="V999" i="5"/>
  <c r="B1000" i="5"/>
  <c r="C1000" i="5"/>
  <c r="D1000" i="5"/>
  <c r="E1000" i="5"/>
  <c r="F1000" i="5"/>
  <c r="G1000" i="5"/>
  <c r="H1000" i="5"/>
  <c r="I1000" i="5"/>
  <c r="J1000" i="5"/>
  <c r="K1000" i="5"/>
  <c r="L1000" i="5"/>
  <c r="M1000" i="5"/>
  <c r="N1000" i="5"/>
  <c r="O1000" i="5"/>
  <c r="P1000" i="5"/>
  <c r="Q1000" i="5"/>
  <c r="R1000" i="5"/>
  <c r="S1000" i="5"/>
  <c r="T1000" i="5"/>
  <c r="U1000" i="5"/>
  <c r="V1000" i="5"/>
  <c r="B1001" i="5"/>
  <c r="C1001" i="5"/>
  <c r="D1001" i="5"/>
  <c r="E1001" i="5"/>
  <c r="F1001" i="5"/>
  <c r="G1001" i="5"/>
  <c r="H1001" i="5"/>
  <c r="I1001" i="5"/>
  <c r="J1001" i="5"/>
  <c r="K1001" i="5"/>
  <c r="L1001" i="5"/>
  <c r="M1001" i="5"/>
  <c r="N1001" i="5"/>
  <c r="O1001" i="5"/>
  <c r="P1001" i="5"/>
  <c r="Q1001" i="5"/>
  <c r="R1001" i="5"/>
  <c r="S1001" i="5"/>
  <c r="T1001" i="5"/>
  <c r="U1001" i="5"/>
  <c r="V1001" i="5"/>
  <c r="B1002" i="5"/>
  <c r="C1002" i="5"/>
  <c r="D1002" i="5"/>
  <c r="E1002" i="5"/>
  <c r="F1002" i="5"/>
  <c r="G1002" i="5"/>
  <c r="H1002" i="5"/>
  <c r="I1002" i="5"/>
  <c r="J1002" i="5"/>
  <c r="K1002" i="5"/>
  <c r="L1002" i="5"/>
  <c r="M1002" i="5"/>
  <c r="N1002" i="5"/>
  <c r="O1002" i="5"/>
  <c r="P1002" i="5"/>
  <c r="Q1002" i="5"/>
  <c r="R1002" i="5"/>
  <c r="S1002" i="5"/>
  <c r="T1002" i="5"/>
  <c r="U1002" i="5"/>
  <c r="V1002" i="5"/>
  <c r="E2" i="4"/>
  <c r="E3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C194" i="4" s="1"/>
  <c r="B195" i="4"/>
  <c r="B196" i="4"/>
  <c r="C196" i="4" s="1"/>
  <c r="B197" i="4"/>
  <c r="B198" i="4"/>
  <c r="C198" i="4" s="1"/>
  <c r="B199" i="4"/>
  <c r="B200" i="4"/>
  <c r="C200" i="4" s="1"/>
  <c r="B201" i="4"/>
  <c r="B202" i="4"/>
  <c r="C202" i="4" s="1"/>
  <c r="B203" i="4"/>
  <c r="B204" i="4"/>
  <c r="C204" i="4" s="1"/>
  <c r="B205" i="4"/>
  <c r="B206" i="4"/>
  <c r="C206" i="4" s="1"/>
  <c r="B207" i="4"/>
  <c r="B208" i="4"/>
  <c r="C208" i="4" s="1"/>
  <c r="B209" i="4"/>
  <c r="B210" i="4"/>
  <c r="C210" i="4" s="1"/>
  <c r="B211" i="4"/>
  <c r="B212" i="4"/>
  <c r="C212" i="4" s="1"/>
  <c r="B213" i="4"/>
  <c r="B214" i="4"/>
  <c r="C214" i="4" s="1"/>
  <c r="B215" i="4"/>
  <c r="B216" i="4"/>
  <c r="C216" i="4" s="1"/>
  <c r="B217" i="4"/>
  <c r="B218" i="4"/>
  <c r="C218" i="4" s="1"/>
  <c r="B219" i="4"/>
  <c r="B220" i="4"/>
  <c r="C220" i="4" s="1"/>
  <c r="B221" i="4"/>
  <c r="B222" i="4"/>
  <c r="C222" i="4" s="1"/>
  <c r="B223" i="4"/>
  <c r="B224" i="4"/>
  <c r="C224" i="4" s="1"/>
  <c r="B225" i="4"/>
  <c r="B226" i="4"/>
  <c r="C226" i="4" s="1"/>
  <c r="B227" i="4"/>
  <c r="B228" i="4"/>
  <c r="C228" i="4" s="1"/>
  <c r="B229" i="4"/>
  <c r="B230" i="4"/>
  <c r="C230" i="4" s="1"/>
  <c r="B231" i="4"/>
  <c r="B232" i="4"/>
  <c r="C232" i="4" s="1"/>
  <c r="B233" i="4"/>
  <c r="B234" i="4"/>
  <c r="C234" i="4" s="1"/>
  <c r="B235" i="4"/>
  <c r="B236" i="4"/>
  <c r="C236" i="4" s="1"/>
  <c r="B237" i="4"/>
  <c r="B238" i="4"/>
  <c r="C238" i="4" s="1"/>
  <c r="B239" i="4"/>
  <c r="B240" i="4"/>
  <c r="C240" i="4" s="1"/>
  <c r="B241" i="4"/>
  <c r="B242" i="4"/>
  <c r="C242" i="4" s="1"/>
  <c r="B243" i="4"/>
  <c r="B244" i="4"/>
  <c r="C244" i="4" s="1"/>
  <c r="B245" i="4"/>
  <c r="B246" i="4"/>
  <c r="C246" i="4" s="1"/>
  <c r="B247" i="4"/>
  <c r="B248" i="4"/>
  <c r="C248" i="4" s="1"/>
  <c r="B249" i="4"/>
  <c r="B250" i="4"/>
  <c r="C250" i="4" s="1"/>
  <c r="B251" i="4"/>
  <c r="B252" i="4"/>
  <c r="C252" i="4" s="1"/>
  <c r="B253" i="4"/>
  <c r="B254" i="4"/>
  <c r="C254" i="4" s="1"/>
  <c r="B255" i="4"/>
  <c r="B256" i="4"/>
  <c r="C256" i="4" s="1"/>
  <c r="B257" i="4"/>
  <c r="E42" i="1" l="1"/>
  <c r="D42" i="1" s="1"/>
  <c r="C192" i="4"/>
  <c r="C190" i="4"/>
  <c r="C188" i="4"/>
  <c r="C186" i="4"/>
  <c r="C184" i="4"/>
  <c r="C182" i="4"/>
  <c r="C180" i="4"/>
  <c r="C178" i="4"/>
  <c r="C176" i="4"/>
  <c r="C174" i="4"/>
  <c r="C172" i="4"/>
  <c r="C170" i="4"/>
  <c r="C168" i="4"/>
  <c r="C166" i="4"/>
  <c r="C164" i="4"/>
  <c r="C162" i="4"/>
  <c r="C160" i="4"/>
  <c r="C158" i="4"/>
  <c r="C156" i="4"/>
  <c r="C154" i="4"/>
  <c r="C152" i="4"/>
  <c r="C150" i="4"/>
  <c r="C148" i="4"/>
  <c r="C146" i="4"/>
  <c r="C144" i="4"/>
  <c r="C142" i="4"/>
  <c r="C140" i="4"/>
  <c r="C138" i="4"/>
  <c r="C136" i="4"/>
  <c r="C134" i="4"/>
  <c r="C132" i="4"/>
  <c r="C130" i="4"/>
  <c r="C128" i="4"/>
  <c r="C126" i="4"/>
  <c r="C124" i="4"/>
  <c r="C122" i="4"/>
  <c r="C120" i="4"/>
  <c r="C118" i="4"/>
  <c r="C116" i="4"/>
  <c r="C114" i="4"/>
  <c r="C112" i="4"/>
  <c r="C110" i="4"/>
  <c r="C108" i="4"/>
  <c r="E43" i="1"/>
  <c r="D43" i="1" s="1"/>
  <c r="C44" i="1"/>
  <c r="G44" i="1" s="1"/>
  <c r="F44" i="1" s="1"/>
  <c r="C28" i="1"/>
  <c r="G27" i="1"/>
  <c r="F27" i="1" s="1"/>
  <c r="E26" i="1"/>
  <c r="E40" i="1"/>
  <c r="D41" i="1" s="1"/>
  <c r="E24" i="1"/>
  <c r="E27" i="1"/>
  <c r="E25" i="1"/>
  <c r="D25" i="1" s="1"/>
  <c r="E39" i="1"/>
  <c r="D39" i="1" s="1"/>
  <c r="E23" i="1"/>
  <c r="D23" i="1" s="1"/>
  <c r="B23" i="1" s="1"/>
  <c r="H23" i="1" s="1"/>
  <c r="C106" i="4"/>
  <c r="C104" i="4"/>
  <c r="C102" i="4"/>
  <c r="C100" i="4"/>
  <c r="C98" i="4"/>
  <c r="C20" i="4"/>
  <c r="C18" i="4"/>
  <c r="C16" i="4"/>
  <c r="C14" i="4"/>
  <c r="C12" i="4"/>
  <c r="C10" i="4"/>
  <c r="C8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19" i="4"/>
  <c r="C17" i="4"/>
  <c r="C15" i="4"/>
  <c r="C13" i="4"/>
  <c r="C11" i="4"/>
  <c r="C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C35" i="4"/>
  <c r="C33" i="4"/>
  <c r="C31" i="4"/>
  <c r="C29" i="4"/>
  <c r="C27" i="4"/>
  <c r="C25" i="4"/>
  <c r="C23" i="4"/>
  <c r="C21" i="4"/>
  <c r="C96" i="4"/>
  <c r="C94" i="4"/>
  <c r="C92" i="4"/>
  <c r="C90" i="4"/>
  <c r="C88" i="4"/>
  <c r="C86" i="4"/>
  <c r="C84" i="4"/>
  <c r="C82" i="4"/>
  <c r="C80" i="4"/>
  <c r="C78" i="4"/>
  <c r="C76" i="4"/>
  <c r="C74" i="4"/>
  <c r="C72" i="4"/>
  <c r="C70" i="4"/>
  <c r="C68" i="4"/>
  <c r="C66" i="4"/>
  <c r="C64" i="4"/>
  <c r="C62" i="4"/>
  <c r="C60" i="4"/>
  <c r="C58" i="4"/>
  <c r="C56" i="4"/>
  <c r="C54" i="4"/>
  <c r="C52" i="4"/>
  <c r="C50" i="4"/>
  <c r="C48" i="4"/>
  <c r="C46" i="4"/>
  <c r="C44" i="4"/>
  <c r="C42" i="4"/>
  <c r="C40" i="4"/>
  <c r="C38" i="4"/>
  <c r="C36" i="4"/>
  <c r="C34" i="4"/>
  <c r="C32" i="4"/>
  <c r="C30" i="4"/>
  <c r="C28" i="4"/>
  <c r="C26" i="4"/>
  <c r="C24" i="4"/>
  <c r="C22" i="4"/>
  <c r="B28" i="1" l="1"/>
  <c r="H28" i="1"/>
  <c r="B39" i="1"/>
  <c r="E44" i="1"/>
  <c r="D44" i="1" s="1"/>
  <c r="C45" i="1"/>
  <c r="G45" i="1" s="1"/>
  <c r="F45" i="1" s="1"/>
  <c r="G28" i="1"/>
  <c r="F28" i="1" s="1"/>
  <c r="E28" i="1"/>
  <c r="D28" i="1" s="1"/>
  <c r="C29" i="1"/>
  <c r="D27" i="1"/>
  <c r="D40" i="1"/>
  <c r="D24" i="1"/>
  <c r="D26" i="1"/>
  <c r="B29" i="1" l="1"/>
  <c r="H29" i="1"/>
  <c r="H39" i="1"/>
  <c r="B25" i="1"/>
  <c r="H25" i="1" s="1"/>
  <c r="B27" i="1"/>
  <c r="H27" i="1" s="1"/>
  <c r="B26" i="1"/>
  <c r="H26" i="1" s="1"/>
  <c r="B24" i="1"/>
  <c r="H24" i="1" s="1"/>
  <c r="C46" i="1"/>
  <c r="G46" i="1" s="1"/>
  <c r="F46" i="1" s="1"/>
  <c r="E45" i="1"/>
  <c r="D45" i="1" s="1"/>
  <c r="C30" i="1"/>
  <c r="G29" i="1"/>
  <c r="F29" i="1" s="1"/>
  <c r="E29" i="1"/>
  <c r="D29" i="1" s="1"/>
  <c r="B30" i="1" l="1"/>
  <c r="H30" i="1"/>
  <c r="E46" i="1"/>
  <c r="D46" i="1" s="1"/>
  <c r="C47" i="1"/>
  <c r="G47" i="1" s="1"/>
  <c r="F47" i="1" s="1"/>
  <c r="G30" i="1"/>
  <c r="F30" i="1" s="1"/>
  <c r="E30" i="1"/>
  <c r="D30" i="1" s="1"/>
  <c r="C31" i="1"/>
  <c r="B31" i="1" l="1"/>
  <c r="H31" i="1"/>
  <c r="E47" i="1"/>
  <c r="D47" i="1" s="1"/>
  <c r="C48" i="1"/>
  <c r="G48" i="1" s="1"/>
  <c r="F48" i="1" s="1"/>
  <c r="G31" i="1"/>
  <c r="F31" i="1" s="1"/>
  <c r="C32" i="1"/>
  <c r="E31" i="1"/>
  <c r="D31" i="1"/>
  <c r="B32" i="1" l="1"/>
  <c r="H32" i="1"/>
  <c r="E48" i="1"/>
  <c r="D48" i="1" s="1"/>
  <c r="C49" i="1"/>
  <c r="G32" i="1"/>
  <c r="F32" i="1" s="1"/>
  <c r="C33" i="1"/>
  <c r="E32" i="1"/>
  <c r="D32" i="1"/>
  <c r="H49" i="1" l="1"/>
  <c r="B49" i="1"/>
  <c r="G49" i="1"/>
  <c r="B33" i="1"/>
  <c r="H33" i="1"/>
  <c r="H34" i="1" s="1"/>
  <c r="B40" i="1"/>
  <c r="H40" i="1" s="1"/>
  <c r="B41" i="1"/>
  <c r="H41" i="1" s="1"/>
  <c r="B45" i="1"/>
  <c r="H45" i="1" s="1"/>
  <c r="B47" i="1"/>
  <c r="H47" i="1" s="1"/>
  <c r="B42" i="1"/>
  <c r="H42" i="1" s="1"/>
  <c r="B44" i="1"/>
  <c r="H44" i="1" s="1"/>
  <c r="B43" i="1"/>
  <c r="H43" i="1" s="1"/>
  <c r="B48" i="1"/>
  <c r="H48" i="1" s="1"/>
  <c r="B46" i="1"/>
  <c r="H46" i="1" s="1"/>
  <c r="E49" i="1"/>
  <c r="D49" i="1" s="1"/>
  <c r="G33" i="1"/>
  <c r="E33" i="1"/>
  <c r="D33" i="1" s="1"/>
  <c r="F33" i="1" l="1"/>
  <c r="H51" i="1"/>
  <c r="F49" i="1"/>
  <c r="H35" i="1"/>
  <c r="H36" i="1" s="1"/>
  <c r="H50" i="1"/>
  <c r="H52" i="1" l="1"/>
  <c r="D54" i="1" s="1"/>
  <c r="F10" i="1"/>
  <c r="F11" i="1"/>
  <c r="H11" i="1"/>
  <c r="F14" i="1"/>
</calcChain>
</file>

<file path=xl/sharedStrings.xml><?xml version="1.0" encoding="utf-8"?>
<sst xmlns="http://schemas.openxmlformats.org/spreadsheetml/2006/main" count="53" uniqueCount="52">
  <si>
    <t>Khoảng cách mẫu</t>
  </si>
  <si>
    <t>Mức sai lệch chấp nhận được</t>
  </si>
  <si>
    <t>L</t>
  </si>
  <si>
    <t>Tỉ lệ sai lệch chấp nhận được</t>
  </si>
  <si>
    <t>Giá trị ghi sổ</t>
  </si>
  <si>
    <t>Tỉ lệ sai lệch ước tính của tổng thể</t>
  </si>
  <si>
    <t>Rủi ro thừa nhận sai</t>
  </si>
  <si>
    <t>β</t>
  </si>
  <si>
    <t>Kích cỡ mẫu yêu cầu</t>
  </si>
  <si>
    <t>n</t>
  </si>
  <si>
    <t>Lấy thêm mẫu?</t>
  </si>
  <si>
    <t>- Nhập dữ kiện vào các ô được tô vàng</t>
  </si>
  <si>
    <t>Giá trị tiền tệ</t>
  </si>
  <si>
    <t>TT</t>
  </si>
  <si>
    <t>Cỡ mẫu</t>
  </si>
  <si>
    <t>Giá trị sau kiểm toán</t>
  </si>
  <si>
    <t>&lt;= Bước 2: Tạo danh sách mẫu &amp; thực hiện kiểm toán</t>
  </si>
  <si>
    <t>Điểm xuất phát</t>
  </si>
  <si>
    <t>Số sai sót</t>
  </si>
  <si>
    <t>Mức giới hạn trên</t>
  </si>
  <si>
    <t>Mức giới hạn sai sót</t>
  </si>
  <si>
    <t>Vượt quá</t>
  </si>
  <si>
    <t>Giảm bớt</t>
  </si>
  <si>
    <t>Mức giới hạn trên ban đầu</t>
  </si>
  <si>
    <t>Điều chỉnh sai sót giảm bớt</t>
  </si>
  <si>
    <t>Mức giới hạn trên sau điều chỉnh</t>
  </si>
  <si>
    <t>Mức giới hạn dưới ban đầu</t>
  </si>
  <si>
    <t>Điều chỉnh do sai sót vượt quá</t>
  </si>
  <si>
    <t>Mức giới hạn dưới sau điều chỉnh</t>
  </si>
  <si>
    <t>KẾT LUẬN:</t>
  </si>
  <si>
    <t>&lt;= Bước 1: Tính kích cỡ mẫu yêu cầu</t>
  </si>
  <si>
    <t>Mã KH</t>
  </si>
  <si>
    <t>- Nhấp nút "Tính kích cỡ mẫu"</t>
  </si>
  <si>
    <t>- Nếu cỡ mẫu quá lớn, thực hiện điều chỉnh dữ liệu đầu vào</t>
  </si>
  <si>
    <t>k =</t>
  </si>
  <si>
    <t>β =</t>
  </si>
  <si>
    <t>pU =</t>
  </si>
  <si>
    <t>Chênh lệch</t>
  </si>
  <si>
    <t>% CL</t>
  </si>
  <si>
    <r>
      <t>P</t>
    </r>
    <r>
      <rPr>
        <vertAlign val="subscript"/>
        <sz val="11"/>
        <color theme="0" tint="-0.249977111117893"/>
        <rFont val="Calibri"/>
        <family val="2"/>
        <scheme val="minor"/>
      </rPr>
      <t>T</t>
    </r>
  </si>
  <si>
    <t>&lt;= Bước 3: Đánh giá kết quả</t>
  </si>
  <si>
    <t>- Đánh giá được thực hiện tự động sau quá trình kiểm toán chi tiết</t>
  </si>
  <si>
    <t>- Thứ tự mức giới hạn trên (từ lớn đến bé) có thể không trùng với số sai sót được tìm thấy</t>
  </si>
  <si>
    <r>
      <t>p</t>
    </r>
    <r>
      <rPr>
        <b/>
        <vertAlign val="subscript"/>
        <sz val="11"/>
        <color theme="0" tint="-0.249977111117893"/>
        <rFont val="Calibri"/>
        <family val="2"/>
        <scheme val="minor"/>
      </rPr>
      <t>E</t>
    </r>
  </si>
  <si>
    <t>Cỡ mẫu đã chọn</t>
  </si>
  <si>
    <t>pU</t>
  </si>
  <si>
    <t>Mức sai lệch</t>
  </si>
  <si>
    <t>- Chọn số mẫu lấy thêm (nếu cần)</t>
  </si>
  <si>
    <t>- Nhấp vào nút "Tạo danh sách mẫu"</t>
  </si>
  <si>
    <t>Bước 2a:</t>
  </si>
  <si>
    <t>Bước 2b:</t>
  </si>
  <si>
    <t>- Thực hiện kiểm toán chi tiết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</si>
</sst>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$_-;\-* #,##0.00\ _$_-;_-* &quot;-&quot;??\ _$_-;_-@_-"/>
    <numFmt numFmtId="166" formatCode="###,###"/>
    <numFmt numFmtId="167" formatCode="0.0000"/>
    <numFmt numFmtId="168" formatCode="0.0%"/>
    <numFmt numFmtId="171" formatCode="0.000"/>
    <numFmt numFmtId="174" formatCode="_-* #,##0\ _$_-;\-* #,##0\ _$_-;_-* &quot;-&quot;??\ _$_-;_-@_-"/>
    <numFmt numFmtId="178" formatCode="#,##0\ ;[Red]\-#,##0"/>
    <numFmt numFmtId="183" formatCode="_-* #,##0.0000\ _$_-;\-* #,##0.0000\ _$_-;_-* &quot;-&quot;??\ _$_-;_-@_-"/>
    <numFmt numFmtId="184" formatCode="#,##0.0000\ ;[Red]\-#,##0.0000"/>
  </numFmts>
  <fonts count="17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0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vertAlign val="subscript"/>
      <sz val="11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Border="1"/>
    <xf numFmtId="0" fontId="3" fillId="0" borderId="0" xfId="0" applyFont="1"/>
    <xf numFmtId="0" fontId="3" fillId="0" borderId="5" xfId="0" applyFont="1" applyBorder="1"/>
    <xf numFmtId="10" fontId="0" fillId="2" borderId="1" xfId="0" applyNumberFormat="1" applyFill="1" applyBorder="1"/>
    <xf numFmtId="0" fontId="3" fillId="0" borderId="0" xfId="0" quotePrefix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12" xfId="0" applyBorder="1"/>
    <xf numFmtId="0" fontId="3" fillId="0" borderId="0" xfId="0" applyFont="1" applyBorder="1"/>
    <xf numFmtId="0" fontId="3" fillId="0" borderId="2" xfId="0" applyFont="1" applyBorder="1"/>
    <xf numFmtId="0" fontId="3" fillId="0" borderId="1" xfId="0" applyFont="1" applyBorder="1"/>
    <xf numFmtId="166" fontId="0" fillId="2" borderId="2" xfId="2" applyNumberFormat="1" applyFont="1" applyFill="1" applyBorder="1"/>
    <xf numFmtId="0" fontId="6" fillId="0" borderId="0" xfId="0" applyFont="1"/>
    <xf numFmtId="0" fontId="3" fillId="0" borderId="9" xfId="0" applyFont="1" applyBorder="1"/>
    <xf numFmtId="0" fontId="3" fillId="0" borderId="10" xfId="0" applyFont="1" applyBorder="1"/>
    <xf numFmtId="0" fontId="7" fillId="0" borderId="3" xfId="0" applyFont="1" applyBorder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3" fillId="0" borderId="3" xfId="0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4" fillId="0" borderId="7" xfId="0" applyFont="1" applyBorder="1"/>
    <xf numFmtId="0" fontId="0" fillId="0" borderId="0" xfId="0" quotePrefix="1"/>
    <xf numFmtId="0" fontId="10" fillId="0" borderId="0" xfId="0" quotePrefix="1" applyFont="1"/>
    <xf numFmtId="0" fontId="0" fillId="3" borderId="0" xfId="0" applyFill="1"/>
    <xf numFmtId="2" fontId="0" fillId="0" borderId="0" xfId="0" applyNumberFormat="1"/>
    <xf numFmtId="2" fontId="0" fillId="0" borderId="0" xfId="0" applyNumberFormat="1" applyBorder="1"/>
    <xf numFmtId="0" fontId="3" fillId="0" borderId="5" xfId="0" applyFont="1" applyBorder="1" applyAlignment="1">
      <alignment horizontal="center"/>
    </xf>
    <xf numFmtId="0" fontId="8" fillId="0" borderId="3" xfId="0" applyFont="1" applyBorder="1"/>
    <xf numFmtId="2" fontId="6" fillId="0" borderId="3" xfId="0" applyNumberFormat="1" applyFont="1" applyBorder="1"/>
    <xf numFmtId="9" fontId="0" fillId="2" borderId="0" xfId="0" applyNumberFormat="1" applyFill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3" fontId="0" fillId="2" borderId="0" xfId="0" applyNumberFormat="1" applyFill="1" applyBorder="1"/>
    <xf numFmtId="0" fontId="6" fillId="0" borderId="0" xfId="0" applyFont="1" applyAlignment="1">
      <alignment horizontal="left"/>
    </xf>
    <xf numFmtId="0" fontId="3" fillId="0" borderId="4" xfId="0" applyFont="1" applyBorder="1"/>
    <xf numFmtId="0" fontId="0" fillId="0" borderId="4" xfId="0" applyBorder="1"/>
    <xf numFmtId="0" fontId="6" fillId="0" borderId="4" xfId="0" applyFont="1" applyBorder="1"/>
    <xf numFmtId="0" fontId="9" fillId="2" borderId="4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167" fontId="0" fillId="5" borderId="0" xfId="0" applyNumberFormat="1" applyFont="1" applyFill="1"/>
    <xf numFmtId="0" fontId="0" fillId="5" borderId="0" xfId="0" applyFill="1"/>
    <xf numFmtId="178" fontId="0" fillId="0" borderId="0" xfId="2" applyNumberFormat="1" applyFont="1"/>
    <xf numFmtId="0" fontId="9" fillId="0" borderId="0" xfId="0" applyFont="1" applyBorder="1" applyAlignment="1">
      <alignment horizontal="center"/>
    </xf>
    <xf numFmtId="171" fontId="9" fillId="0" borderId="0" xfId="3" applyNumberFormat="1" applyFont="1" applyBorder="1" applyAlignment="1">
      <alignment horizontal="center"/>
    </xf>
    <xf numFmtId="43" fontId="9" fillId="0" borderId="0" xfId="2" applyFont="1" applyBorder="1"/>
    <xf numFmtId="174" fontId="9" fillId="0" borderId="0" xfId="2" applyNumberFormat="1" applyFont="1" applyBorder="1"/>
    <xf numFmtId="0" fontId="12" fillId="0" borderId="3" xfId="0" applyFont="1" applyBorder="1" applyAlignment="1">
      <alignment horizontal="center"/>
    </xf>
    <xf numFmtId="0" fontId="12" fillId="0" borderId="0" xfId="0" applyFont="1" applyBorder="1"/>
    <xf numFmtId="171" fontId="12" fillId="0" borderId="0" xfId="3" applyNumberFormat="1" applyFont="1" applyBorder="1"/>
    <xf numFmtId="0" fontId="12" fillId="0" borderId="3" xfId="0" applyFont="1" applyBorder="1"/>
    <xf numFmtId="0" fontId="12" fillId="0" borderId="9" xfId="0" applyFont="1" applyFill="1" applyBorder="1"/>
    <xf numFmtId="0" fontId="3" fillId="0" borderId="4" xfId="0" applyFont="1" applyBorder="1" applyAlignment="1">
      <alignment horizontal="left"/>
    </xf>
    <xf numFmtId="168" fontId="12" fillId="0" borderId="4" xfId="3" applyNumberFormat="1" applyFont="1" applyBorder="1"/>
    <xf numFmtId="0" fontId="3" fillId="0" borderId="5" xfId="0" applyFont="1" applyBorder="1" applyAlignment="1">
      <alignment horizontal="left"/>
    </xf>
    <xf numFmtId="0" fontId="0" fillId="0" borderId="5" xfId="0" applyBorder="1"/>
    <xf numFmtId="0" fontId="12" fillId="0" borderId="5" xfId="0" applyFont="1" applyBorder="1"/>
    <xf numFmtId="0" fontId="12" fillId="0" borderId="4" xfId="0" applyFont="1" applyBorder="1"/>
    <xf numFmtId="174" fontId="3" fillId="0" borderId="4" xfId="0" applyNumberFormat="1" applyFont="1" applyBorder="1"/>
    <xf numFmtId="167" fontId="12" fillId="0" borderId="0" xfId="3" applyNumberFormat="1" applyFont="1" applyBorder="1"/>
    <xf numFmtId="171" fontId="12" fillId="0" borderId="9" xfId="0" applyNumberFormat="1" applyFont="1" applyBorder="1"/>
    <xf numFmtId="0" fontId="12" fillId="0" borderId="9" xfId="0" applyFont="1" applyBorder="1"/>
    <xf numFmtId="167" fontId="12" fillId="0" borderId="0" xfId="3" applyNumberFormat="1" applyFont="1" applyBorder="1" applyAlignment="1">
      <alignment horizontal="center"/>
    </xf>
    <xf numFmtId="183" fontId="9" fillId="0" borderId="0" xfId="2" applyNumberFormat="1" applyFont="1" applyBorder="1"/>
    <xf numFmtId="184" fontId="0" fillId="0" borderId="0" xfId="2" applyNumberFormat="1" applyFont="1"/>
    <xf numFmtId="0" fontId="12" fillId="0" borderId="0" xfId="0" applyFont="1" applyFill="1" applyBorder="1"/>
    <xf numFmtId="10" fontId="12" fillId="0" borderId="0" xfId="3" applyNumberFormat="1" applyFont="1" applyBorder="1"/>
    <xf numFmtId="0" fontId="14" fillId="0" borderId="0" xfId="0" applyFont="1" applyBorder="1" applyAlignment="1">
      <alignment horizontal="center"/>
    </xf>
    <xf numFmtId="0" fontId="15" fillId="0" borderId="0" xfId="0" applyFont="1" applyBorder="1"/>
    <xf numFmtId="174" fontId="9" fillId="0" borderId="0" xfId="2" applyNumberFormat="1" applyFont="1" applyFill="1" applyBorder="1"/>
    <xf numFmtId="174" fontId="0" fillId="0" borderId="5" xfId="0" applyNumberFormat="1" applyBorder="1"/>
    <xf numFmtId="0" fontId="15" fillId="0" borderId="2" xfId="0" applyFont="1" applyBorder="1"/>
    <xf numFmtId="0" fontId="15" fillId="0" borderId="1" xfId="0" quotePrefix="1" applyFont="1" applyBorder="1"/>
    <xf numFmtId="0" fontId="15" fillId="0" borderId="5" xfId="0" applyFont="1" applyBorder="1"/>
    <xf numFmtId="0" fontId="3" fillId="0" borderId="4" xfId="0" applyFont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0" fillId="4" borderId="0" xfId="0" applyFill="1" applyBorder="1"/>
    <xf numFmtId="0" fontId="12" fillId="4" borderId="0" xfId="0" applyFont="1" applyFill="1" applyBorder="1"/>
    <xf numFmtId="167" fontId="15" fillId="4" borderId="0" xfId="0" applyNumberFormat="1" applyFont="1" applyFill="1" applyBorder="1"/>
    <xf numFmtId="0" fontId="15" fillId="4" borderId="0" xfId="0" applyFont="1" applyFill="1" applyBorder="1"/>
    <xf numFmtId="0" fontId="0" fillId="0" borderId="0" xfId="0" applyFill="1" applyAlignment="1">
      <alignment horizontal="center"/>
    </xf>
    <xf numFmtId="178" fontId="0" fillId="0" borderId="0" xfId="2" applyNumberFormat="1" applyFont="1" applyFill="1"/>
    <xf numFmtId="0" fontId="0" fillId="0" borderId="0" xfId="0" applyFill="1"/>
    <xf numFmtId="0" fontId="6" fillId="0" borderId="0" xfId="0" quotePrefix="1" applyFont="1"/>
    <xf numFmtId="2" fontId="9" fillId="0" borderId="0" xfId="0" applyNumberFormat="1" applyFont="1"/>
    <xf numFmtId="0" fontId="0" fillId="3" borderId="0" xfId="0" applyFill="1" applyAlignment="1">
      <alignment horizontal="center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Tính kích cỡ mẫu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Tạo danh sách mẫu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304801</xdr:colOff>
          <xdr:row>1</xdr:row>
          <xdr:rowOff>0</xdr:rowOff>
        </xdr:from>
        <xdr:to>
          <xdr:col>8</xdr:col>
          <xdr:colOff>1</xdr:colOff>
          <xdr:row>3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Trở về biểu tổng hợp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B2:K81"/>
  <sheetViews>
    <sheetView tabSelected="1" zoomScaleNormal="100" zoomScaleSheetLayoutView="100" workbookViewId="0">
      <selection activeCell="D54" sqref="D54"/>
    </sheetView>
  </sheetViews>
  <sheetFormatPr defaultRowHeight="15" x14ac:dyDescent="0.25"/>
  <cols>
    <col min="1" max="1" width="5.42578125" customWidth="1"/>
    <col min="2" max="2" width="6.85546875" customWidth="1"/>
    <col min="3" max="3" width="10.5703125" customWidth="1"/>
    <col min="4" max="4" width="21" customWidth="1"/>
    <col min="5" max="5" width="5.85546875" customWidth="1"/>
    <col min="6" max="6" width="22.42578125" customWidth="1"/>
    <col min="7" max="7" width="6.7109375" customWidth="1"/>
    <col min="8" max="8" width="22.28515625" customWidth="1"/>
    <col min="9" max="9" width="4.140625" customWidth="1"/>
    <col min="10" max="10" width="9.7109375" customWidth="1"/>
  </cols>
  <sheetData>
    <row r="2" spans="2:11" ht="15.75" thickBot="1" x14ac:dyDescent="0.3">
      <c r="C2" s="5"/>
      <c r="D2" s="5"/>
    </row>
    <row r="3" spans="2:11" ht="15.75" x14ac:dyDescent="0.25">
      <c r="B3" s="6"/>
      <c r="C3" s="7"/>
      <c r="D3" s="7"/>
      <c r="E3" s="7"/>
      <c r="F3" s="7"/>
      <c r="G3" s="7"/>
      <c r="H3" s="7"/>
      <c r="I3" s="8"/>
      <c r="K3" s="29" t="s">
        <v>30</v>
      </c>
    </row>
    <row r="4" spans="2:11" x14ac:dyDescent="0.25">
      <c r="B4" s="9"/>
      <c r="C4" s="15" t="s">
        <v>4</v>
      </c>
      <c r="D4" s="15"/>
      <c r="E4" s="80">
        <v>0</v>
      </c>
      <c r="F4" s="17">
        <v>1200000</v>
      </c>
      <c r="G4" s="1"/>
      <c r="H4" s="1"/>
      <c r="I4" s="10"/>
      <c r="K4" s="28" t="s">
        <v>11</v>
      </c>
    </row>
    <row r="5" spans="2:11" x14ac:dyDescent="0.25">
      <c r="B5" s="9"/>
      <c r="C5" s="14" t="s">
        <v>6</v>
      </c>
      <c r="D5" s="14"/>
      <c r="E5" s="77" t="s">
        <v>7</v>
      </c>
      <c r="F5" s="36">
        <v>0.05</v>
      </c>
      <c r="G5" s="1"/>
      <c r="H5" s="1"/>
      <c r="I5" s="10"/>
      <c r="K5" s="28" t="s">
        <v>32</v>
      </c>
    </row>
    <row r="6" spans="2:11" x14ac:dyDescent="0.25">
      <c r="B6" s="9"/>
      <c r="C6" s="14" t="s">
        <v>1</v>
      </c>
      <c r="D6" s="14"/>
      <c r="E6" s="77" t="s">
        <v>2</v>
      </c>
      <c r="F6" s="41">
        <v>56000</v>
      </c>
      <c r="I6" s="10"/>
      <c r="K6" s="28" t="s">
        <v>33</v>
      </c>
    </row>
    <row r="7" spans="2:11" ht="18" x14ac:dyDescent="0.35">
      <c r="B7" s="9"/>
      <c r="C7" s="16" t="s">
        <v>5</v>
      </c>
      <c r="D7" s="16"/>
      <c r="E7" s="81" t="s">
        <v>43</v>
      </c>
      <c r="F7" s="4">
        <v>0.01</v>
      </c>
      <c r="I7" s="10"/>
    </row>
    <row r="8" spans="2:11" x14ac:dyDescent="0.25">
      <c r="B8" s="9"/>
      <c r="C8" s="1"/>
      <c r="D8" s="1"/>
      <c r="E8" s="1"/>
      <c r="F8" s="1"/>
      <c r="I8" s="10"/>
    </row>
    <row r="9" spans="2:11" ht="18" x14ac:dyDescent="0.35">
      <c r="B9" s="9"/>
      <c r="C9" s="74" t="s">
        <v>3</v>
      </c>
      <c r="D9" s="74"/>
      <c r="E9" s="74" t="s">
        <v>39</v>
      </c>
      <c r="F9" s="75">
        <f>F6/$F$4</f>
        <v>4.6666666666666669E-2</v>
      </c>
      <c r="I9" s="10"/>
    </row>
    <row r="10" spans="2:11" x14ac:dyDescent="0.25">
      <c r="B10" s="9"/>
      <c r="C10" s="1"/>
      <c r="D10" s="1"/>
      <c r="E10" s="1"/>
      <c r="F10" s="57">
        <f ca="1">IF(F10&lt;F11,F10+1,F11)</f>
        <v>100</v>
      </c>
      <c r="I10" s="10"/>
    </row>
    <row r="11" spans="2:11" s="2" customFormat="1" ht="15.75" thickBot="1" x14ac:dyDescent="0.3">
      <c r="B11" s="19"/>
      <c r="C11" s="3" t="s">
        <v>8</v>
      </c>
      <c r="D11" s="3"/>
      <c r="E11" s="82" t="s">
        <v>9</v>
      </c>
      <c r="F11" s="3">
        <f ca="1">IF(_xlfn.HYPGEOM.DIST(ROUNDUP(F$7*F10,0),F10,F$6,$F$4,TRUE)&gt;$F$5,F10+1,F10)</f>
        <v>100</v>
      </c>
      <c r="G11"/>
      <c r="H11" s="42" t="str">
        <f ca="1">IF(MAX(F11,H11)&gt;250,"&lt;= Cỡ mẫu lớn hơn 250","")</f>
        <v/>
      </c>
      <c r="I11" s="20"/>
    </row>
    <row r="12" spans="2:11" ht="15.75" thickBot="1" x14ac:dyDescent="0.3">
      <c r="B12" s="11"/>
      <c r="C12" s="21"/>
      <c r="D12" s="21"/>
      <c r="E12" s="22"/>
      <c r="F12" s="23"/>
      <c r="G12" s="12"/>
      <c r="H12" s="24"/>
      <c r="I12" s="13"/>
    </row>
    <row r="13" spans="2:11" ht="15.75" thickBot="1" x14ac:dyDescent="0.3">
      <c r="F13" s="18"/>
    </row>
    <row r="14" spans="2:11" ht="15.75" x14ac:dyDescent="0.25">
      <c r="B14" s="6"/>
      <c r="C14" s="7"/>
      <c r="D14" s="7"/>
      <c r="E14" s="7"/>
      <c r="F14" s="27">
        <f ca="1">IF(MAX(F11,H11)&gt;500,0,MAX(F11,H11))</f>
        <v>100</v>
      </c>
      <c r="G14" s="7"/>
      <c r="H14" s="7"/>
      <c r="I14" s="8"/>
      <c r="K14" s="29" t="s">
        <v>16</v>
      </c>
    </row>
    <row r="15" spans="2:11" x14ac:dyDescent="0.25">
      <c r="B15" s="9"/>
      <c r="C15" s="45" t="s">
        <v>10</v>
      </c>
      <c r="D15" s="44"/>
      <c r="E15" s="44"/>
      <c r="F15" s="46">
        <v>0</v>
      </c>
      <c r="G15" s="1"/>
      <c r="H15" s="25"/>
      <c r="I15" s="10"/>
      <c r="K15" s="18" t="s">
        <v>49</v>
      </c>
    </row>
    <row r="16" spans="2:11" x14ac:dyDescent="0.25">
      <c r="B16" s="9"/>
      <c r="G16" s="1"/>
      <c r="H16" s="1"/>
      <c r="I16" s="10"/>
      <c r="K16" s="28" t="s">
        <v>47</v>
      </c>
    </row>
    <row r="17" spans="2:11" x14ac:dyDescent="0.25">
      <c r="B17" s="9"/>
      <c r="C17" s="43" t="s">
        <v>44</v>
      </c>
      <c r="D17" s="43"/>
      <c r="E17" s="44"/>
      <c r="F17" s="83">
        <v>100</v>
      </c>
      <c r="G17" s="1"/>
      <c r="H17" s="1"/>
      <c r="I17" s="10"/>
      <c r="K17" s="28" t="s">
        <v>48</v>
      </c>
    </row>
    <row r="18" spans="2:11" ht="15.75" thickBot="1" x14ac:dyDescent="0.3">
      <c r="B18" s="11"/>
      <c r="C18" s="12"/>
      <c r="D18" s="12"/>
      <c r="E18" s="12"/>
      <c r="F18" s="12"/>
      <c r="G18" s="12"/>
      <c r="H18" s="12"/>
      <c r="I18" s="13"/>
    </row>
    <row r="19" spans="2:11" ht="15.75" thickBot="1" x14ac:dyDescent="0.3"/>
    <row r="20" spans="2:11" ht="15.75" x14ac:dyDescent="0.25">
      <c r="B20" s="6"/>
      <c r="C20" s="7"/>
      <c r="D20" s="7"/>
      <c r="E20" s="7"/>
      <c r="F20" s="7"/>
      <c r="G20" s="7"/>
      <c r="H20" s="7"/>
      <c r="I20" s="8"/>
      <c r="K20" s="29" t="s">
        <v>40</v>
      </c>
    </row>
    <row r="21" spans="2:11" ht="15.75" thickBot="1" x14ac:dyDescent="0.3">
      <c r="B21" s="9"/>
      <c r="C21" s="37" t="s">
        <v>18</v>
      </c>
      <c r="D21" s="37" t="s">
        <v>19</v>
      </c>
      <c r="E21" s="56" t="s">
        <v>45</v>
      </c>
      <c r="F21" s="37" t="s">
        <v>46</v>
      </c>
      <c r="G21" s="37"/>
      <c r="H21" s="37" t="s">
        <v>20</v>
      </c>
      <c r="I21" s="10"/>
      <c r="K21" s="28" t="s">
        <v>41</v>
      </c>
    </row>
    <row r="22" spans="2:11" x14ac:dyDescent="0.25">
      <c r="B22" s="60">
        <f>COUNTIF(phamtramss,"&gt;0")</f>
        <v>4</v>
      </c>
      <c r="C22" s="84" t="s">
        <v>21</v>
      </c>
      <c r="D22" s="85"/>
      <c r="E22" s="86"/>
      <c r="F22" s="85"/>
      <c r="G22" s="87"/>
      <c r="H22" s="85"/>
      <c r="I22" s="10"/>
      <c r="K22" s="28" t="s">
        <v>42</v>
      </c>
    </row>
    <row r="23" spans="2:11" x14ac:dyDescent="0.25">
      <c r="B23" s="69">
        <f ca="1">D23</f>
        <v>0.03</v>
      </c>
      <c r="C23" s="52">
        <v>0</v>
      </c>
      <c r="D23" s="53">
        <f ca="1">IF(C23&lt;&gt;"",E23-E22,"")</f>
        <v>0.03</v>
      </c>
      <c r="E23" s="58">
        <f ca="1">IF(C23&lt;&gt;"",VLOOKUP(beta,OFFSET(betabegin,0,C23,1000,22-C23),22-C23,TRUE),"")</f>
        <v>0.03</v>
      </c>
      <c r="F23" s="54">
        <v>1</v>
      </c>
      <c r="G23" s="71">
        <v>1</v>
      </c>
      <c r="H23" s="55">
        <f ca="1">IF(C23&lt;&gt;"",B23*G23*tongtheN,"")</f>
        <v>36000</v>
      </c>
      <c r="I23" s="10"/>
    </row>
    <row r="24" spans="2:11" x14ac:dyDescent="0.25">
      <c r="B24" s="69">
        <f ca="1">IF(C24&lt;&gt;"",LARGE(gioihantren,C24),"")</f>
        <v>1.7000000000000001E-2</v>
      </c>
      <c r="C24" s="38">
        <f>IF(C23&lt;$B$22,C23+1,"")</f>
        <v>1</v>
      </c>
      <c r="D24" s="53">
        <f t="shared" ref="D24:D33" ca="1" si="0">IF(C24&lt;&gt;"",E24-E23,"")</f>
        <v>1.7000000000000001E-2</v>
      </c>
      <c r="E24" s="58">
        <f ca="1">IF(C24&lt;&gt;"",VLOOKUP(beta,OFFSET(betabegin,0,C24,1000,22-C24),22-C24,TRUE),"")</f>
        <v>4.7E-2</v>
      </c>
      <c r="F24" s="72">
        <f>G24</f>
        <v>0.67061584888789538</v>
      </c>
      <c r="G24" s="68">
        <f>IF(C24&lt;&gt;"",LARGE(phamtramss,C24),"")</f>
        <v>0.67061584888789538</v>
      </c>
      <c r="H24" s="55">
        <f ca="1">IF(C24&lt;&gt;"",B24*G24*tongtheN,"")</f>
        <v>13680.563317313066</v>
      </c>
      <c r="I24" s="10"/>
    </row>
    <row r="25" spans="2:11" x14ac:dyDescent="0.25">
      <c r="B25" s="69">
        <f ca="1">IF(C25&lt;&gt;"",LARGE(gioihantren,C25),"")</f>
        <v>1.4999999999999999E-2</v>
      </c>
      <c r="C25" s="38">
        <f t="shared" ref="C25:C33" si="1">IF(C24&lt;$B$22,C24+1,"")</f>
        <v>2</v>
      </c>
      <c r="D25" s="53">
        <f t="shared" ca="1" si="0"/>
        <v>1.4999999999999999E-2</v>
      </c>
      <c r="E25" s="58">
        <f ca="1">IF(C25&lt;&gt;"",VLOOKUP(beta,OFFSET(betabegin,0,C25,1000,22-C25),22-C25,TRUE),"")</f>
        <v>6.2E-2</v>
      </c>
      <c r="F25" s="72">
        <f t="shared" ref="F25:F33" si="2">G25</f>
        <v>7.0487993803253296E-2</v>
      </c>
      <c r="G25" s="68">
        <f>IF(C25&lt;&gt;"",LARGE(phamtramss,C25),"")</f>
        <v>7.0487993803253296E-2</v>
      </c>
      <c r="H25" s="55">
        <f ca="1">IF(C25&lt;&gt;"",B25*G25*tongtheN,"")</f>
        <v>1268.7838884585594</v>
      </c>
      <c r="I25" s="10"/>
    </row>
    <row r="26" spans="2:11" x14ac:dyDescent="0.25">
      <c r="B26" s="69">
        <f ca="1">IF(C26&lt;&gt;"",LARGE(gioihantren,C26),"")</f>
        <v>1.3999999999999999E-2</v>
      </c>
      <c r="C26" s="38">
        <f t="shared" si="1"/>
        <v>3</v>
      </c>
      <c r="D26" s="53">
        <f t="shared" ca="1" si="0"/>
        <v>1.3999999999999999E-2</v>
      </c>
      <c r="E26" s="58">
        <f ca="1">IF(C26&lt;&gt;"",VLOOKUP(beta,OFFSET(betabegin,0,C26,1000,22-C26),22-C26,TRUE),"")</f>
        <v>7.5999999999999998E-2</v>
      </c>
      <c r="F26" s="72">
        <f t="shared" si="2"/>
        <v>1.6129032258064516E-2</v>
      </c>
      <c r="G26" s="68">
        <f>IF(C26&lt;&gt;"",LARGE(phamtramss,C26),"")</f>
        <v>1.6129032258064516E-2</v>
      </c>
      <c r="H26" s="55">
        <f ca="1">IF(C26&lt;&gt;"",B26*G26*tongtheN,"")</f>
        <v>270.96774193548384</v>
      </c>
      <c r="I26" s="10"/>
    </row>
    <row r="27" spans="2:11" x14ac:dyDescent="0.25">
      <c r="B27" s="69">
        <f ca="1">IF(C27&lt;&gt;"",LARGE(gioihantren,C27),"")</f>
        <v>1.3999999999999999E-2</v>
      </c>
      <c r="C27" s="38">
        <f t="shared" si="1"/>
        <v>4</v>
      </c>
      <c r="D27" s="53">
        <f t="shared" ca="1" si="0"/>
        <v>1.3999999999999999E-2</v>
      </c>
      <c r="E27" s="58">
        <f ca="1">IF(C27&lt;&gt;"",VLOOKUP(beta,OFFSET(betabegin,0,C27,1000,22-C27),22-C27,TRUE),"")</f>
        <v>0.09</v>
      </c>
      <c r="F27" s="72">
        <f t="shared" si="2"/>
        <v>2.173913043478261E-4</v>
      </c>
      <c r="G27" s="68">
        <f>IF(C27&lt;&gt;"",LARGE(phamtramss,C27),"")</f>
        <v>2.173913043478261E-4</v>
      </c>
      <c r="H27" s="55">
        <f ca="1">IF(C27&lt;&gt;"",B27*G27*tongtheN,"")</f>
        <v>3.652173913043478</v>
      </c>
      <c r="I27" s="10"/>
    </row>
    <row r="28" spans="2:11" x14ac:dyDescent="0.25">
      <c r="B28" s="69" t="str">
        <f>IF(C28&lt;&gt;"",LARGE(gioihantren,C28),"")</f>
        <v/>
      </c>
      <c r="C28" s="38" t="str">
        <f t="shared" si="1"/>
        <v/>
      </c>
      <c r="D28" s="53" t="str">
        <f t="shared" si="0"/>
        <v/>
      </c>
      <c r="E28" s="58" t="str">
        <f ca="1">IF(C28&lt;&gt;"",VLOOKUP(beta,OFFSET(betabegin,0,C28,1000,22-C28),22-C28,TRUE),"")</f>
        <v/>
      </c>
      <c r="F28" s="72" t="str">
        <f t="shared" si="2"/>
        <v/>
      </c>
      <c r="G28" s="68" t="str">
        <f>IF(C28&lt;&gt;"",LARGE(phamtramss,C28),"")</f>
        <v/>
      </c>
      <c r="H28" s="55" t="str">
        <f>IF(C28&lt;&gt;"",B28*G28*tongtheN,"")</f>
        <v/>
      </c>
      <c r="I28" s="10"/>
    </row>
    <row r="29" spans="2:11" x14ac:dyDescent="0.25">
      <c r="B29" s="69" t="str">
        <f>IF(C29&lt;&gt;"",LARGE(gioihantren,C29),"")</f>
        <v/>
      </c>
      <c r="C29" s="38" t="str">
        <f t="shared" si="1"/>
        <v/>
      </c>
      <c r="D29" s="53" t="str">
        <f t="shared" si="0"/>
        <v/>
      </c>
      <c r="E29" s="58" t="str">
        <f ca="1">IF(C29&lt;&gt;"",VLOOKUP(beta,OFFSET(betabegin,0,C29,1000,22-C29),22-C29,TRUE),"")</f>
        <v/>
      </c>
      <c r="F29" s="72" t="str">
        <f t="shared" si="2"/>
        <v/>
      </c>
      <c r="G29" s="68" t="str">
        <f>IF(C29&lt;&gt;"",LARGE(phamtramss,C29),"")</f>
        <v/>
      </c>
      <c r="H29" s="55" t="str">
        <f>IF(C29&lt;&gt;"",B29*G29*tongtheN,"")</f>
        <v/>
      </c>
      <c r="I29" s="10"/>
    </row>
    <row r="30" spans="2:11" x14ac:dyDescent="0.25">
      <c r="B30" s="69" t="str">
        <f>IF(C30&lt;&gt;"",LARGE(gioihantren,C30),"")</f>
        <v/>
      </c>
      <c r="C30" s="38" t="str">
        <f t="shared" si="1"/>
        <v/>
      </c>
      <c r="D30" s="53" t="str">
        <f t="shared" si="0"/>
        <v/>
      </c>
      <c r="E30" s="58" t="str">
        <f ca="1">IF(C30&lt;&gt;"",VLOOKUP(beta,OFFSET(betabegin,0,C30,1000,22-C30),22-C30,TRUE),"")</f>
        <v/>
      </c>
      <c r="F30" s="72" t="str">
        <f t="shared" si="2"/>
        <v/>
      </c>
      <c r="G30" s="68" t="str">
        <f>IF(C30&lt;&gt;"",LARGE(phamtramss,C30),"")</f>
        <v/>
      </c>
      <c r="H30" s="55" t="str">
        <f>IF(C30&lt;&gt;"",B30*G30*tongtheN,"")</f>
        <v/>
      </c>
      <c r="I30" s="10"/>
    </row>
    <row r="31" spans="2:11" x14ac:dyDescent="0.25">
      <c r="B31" s="69" t="str">
        <f>IF(C31&lt;&gt;"",LARGE(gioihantren,C31),"")</f>
        <v/>
      </c>
      <c r="C31" s="38" t="str">
        <f t="shared" si="1"/>
        <v/>
      </c>
      <c r="D31" s="53" t="str">
        <f t="shared" si="0"/>
        <v/>
      </c>
      <c r="E31" s="58" t="str">
        <f ca="1">IF(C31&lt;&gt;"",VLOOKUP(beta,OFFSET(betabegin,0,C31,1000,22-C31),22-C31,TRUE),"")</f>
        <v/>
      </c>
      <c r="F31" s="72" t="str">
        <f t="shared" si="2"/>
        <v/>
      </c>
      <c r="G31" s="68" t="str">
        <f>IF(C31&lt;&gt;"",LARGE(phamtramss,C31),"")</f>
        <v/>
      </c>
      <c r="H31" s="55" t="str">
        <f>IF(C31&lt;&gt;"",B31*G31*tongtheN,"")</f>
        <v/>
      </c>
      <c r="I31" s="10"/>
    </row>
    <row r="32" spans="2:11" x14ac:dyDescent="0.25">
      <c r="B32" s="69" t="str">
        <f>IF(C32&lt;&gt;"",LARGE(gioihantren,C32),"")</f>
        <v/>
      </c>
      <c r="C32" s="38" t="str">
        <f t="shared" si="1"/>
        <v/>
      </c>
      <c r="D32" s="53" t="str">
        <f t="shared" si="0"/>
        <v/>
      </c>
      <c r="E32" s="58" t="str">
        <f ca="1">IF(C32&lt;&gt;"",VLOOKUP(beta,OFFSET(betabegin,0,C32,1000,22-C32),22-C32,TRUE),"")</f>
        <v/>
      </c>
      <c r="F32" s="72" t="str">
        <f t="shared" si="2"/>
        <v/>
      </c>
      <c r="G32" s="68" t="str">
        <f>IF(C32&lt;&gt;"",LARGE(phamtramss,C32),"")</f>
        <v/>
      </c>
      <c r="H32" s="55" t="str">
        <f>IF(C32&lt;&gt;"",B32*G32*tongtheN,"")</f>
        <v/>
      </c>
      <c r="I32" s="10"/>
    </row>
    <row r="33" spans="2:9" x14ac:dyDescent="0.25">
      <c r="B33" s="69" t="str">
        <f>IF(C33&lt;&gt;"",LARGE(gioihantren,C33),"")</f>
        <v/>
      </c>
      <c r="C33" s="38" t="str">
        <f t="shared" si="1"/>
        <v/>
      </c>
      <c r="D33" s="53" t="str">
        <f t="shared" si="0"/>
        <v/>
      </c>
      <c r="E33" s="58" t="str">
        <f ca="1">IF(C33&lt;&gt;"",VLOOKUP(beta,OFFSET(betabegin,0,C33,1000,22-C33),22-C33,TRUE),"")</f>
        <v/>
      </c>
      <c r="F33" s="72" t="str">
        <f t="shared" si="2"/>
        <v/>
      </c>
      <c r="G33" s="68" t="str">
        <f>IF(C33&lt;&gt;"",LARGE(phamtramss,C33),"")</f>
        <v/>
      </c>
      <c r="H33" s="55" t="str">
        <f>IF(C33&lt;&gt;"",B33*G33*tongtheN,"")</f>
        <v/>
      </c>
      <c r="I33" s="10"/>
    </row>
    <row r="34" spans="2:9" x14ac:dyDescent="0.25">
      <c r="B34" s="9"/>
      <c r="C34" s="61" t="s">
        <v>23</v>
      </c>
      <c r="D34" s="44"/>
      <c r="E34" s="62"/>
      <c r="F34" s="44"/>
      <c r="G34" s="44"/>
      <c r="H34" s="67">
        <f ca="1">SUM(H23:H33)</f>
        <v>51223.967121620146</v>
      </c>
      <c r="I34" s="10"/>
    </row>
    <row r="35" spans="2:9" x14ac:dyDescent="0.25">
      <c r="B35" s="9"/>
      <c r="C35" s="39" t="s">
        <v>24</v>
      </c>
      <c r="D35" s="1"/>
      <c r="E35" s="57"/>
      <c r="F35" s="1"/>
      <c r="G35" s="1"/>
      <c r="H35" s="78">
        <f>tongtheN*SUM(G40:G49)/comau</f>
        <v>355.39102267468763</v>
      </c>
      <c r="I35" s="10"/>
    </row>
    <row r="36" spans="2:9" ht="15.75" thickBot="1" x14ac:dyDescent="0.3">
      <c r="B36" s="9"/>
      <c r="C36" s="63" t="s">
        <v>25</v>
      </c>
      <c r="D36" s="64"/>
      <c r="E36" s="65"/>
      <c r="F36" s="64"/>
      <c r="G36" s="64"/>
      <c r="H36" s="79">
        <f ca="1">H34-H35</f>
        <v>50868.576098945457</v>
      </c>
      <c r="I36" s="10"/>
    </row>
    <row r="37" spans="2:9" x14ac:dyDescent="0.25">
      <c r="B37" s="9"/>
      <c r="C37" s="38"/>
      <c r="D37" s="1"/>
      <c r="E37" s="57"/>
      <c r="F37" s="1"/>
      <c r="G37" s="1"/>
      <c r="H37" s="1"/>
      <c r="I37" s="10"/>
    </row>
    <row r="38" spans="2:9" x14ac:dyDescent="0.25">
      <c r="B38" s="60">
        <f>COUNTIF(phamtramss,"&lt;0")</f>
        <v>1</v>
      </c>
      <c r="C38" s="84" t="s">
        <v>22</v>
      </c>
      <c r="D38" s="85"/>
      <c r="E38" s="86"/>
      <c r="F38" s="85"/>
      <c r="G38" s="88"/>
      <c r="H38" s="85"/>
      <c r="I38" s="10"/>
    </row>
    <row r="39" spans="2:9" x14ac:dyDescent="0.25">
      <c r="B39" s="69">
        <f ca="1">D39</f>
        <v>0.03</v>
      </c>
      <c r="C39" s="52">
        <v>0</v>
      </c>
      <c r="D39" s="53">
        <f ca="1">IF(C39&lt;&gt;"",E39-E38,"")</f>
        <v>0.03</v>
      </c>
      <c r="E39" s="58">
        <f ca="1">IF(C39&lt;&gt;"",VLOOKUP(beta,OFFSET(betabegin,0,C39,1000,22-C39),22-C39,TRUE),"")</f>
        <v>0.03</v>
      </c>
      <c r="F39" s="54">
        <f>G39</f>
        <v>1</v>
      </c>
      <c r="G39" s="57">
        <v>1</v>
      </c>
      <c r="H39" s="55">
        <f ca="1">IF(C39&lt;&gt;"",B39*G39*tongtheN,"")</f>
        <v>36000</v>
      </c>
      <c r="I39" s="10"/>
    </row>
    <row r="40" spans="2:9" x14ac:dyDescent="0.25">
      <c r="B40" s="70">
        <f ca="1">IF(C40&lt;&gt;"",LARGE(gioihanduoi,C40),"")</f>
        <v>1.7000000000000001E-2</v>
      </c>
      <c r="C40" s="38">
        <f>IF(C39&lt;$B$38,C39+1,"")</f>
        <v>1</v>
      </c>
      <c r="D40" s="53">
        <f t="shared" ref="D40:D49" ca="1" si="3">IF(C40&lt;&gt;"",E40-E39,"")</f>
        <v>1.7000000000000001E-2</v>
      </c>
      <c r="E40" s="58">
        <f ca="1">IF(C40&lt;&gt;"",VLOOKUP(beta,OFFSET(betabegin,0,C40,1000,22-C40),22-C40,TRUE),"")</f>
        <v>4.7E-2</v>
      </c>
      <c r="F40" s="54">
        <f t="shared" ref="F40:F49" si="4">G40</f>
        <v>2.9615918556223971E-2</v>
      </c>
      <c r="G40" s="57">
        <f>IF(C40&lt;&gt;"",-SMALL(phamtramss,C40),"")</f>
        <v>2.9615918556223971E-2</v>
      </c>
      <c r="H40" s="55">
        <f ca="1">IF(C40&lt;&gt;"",B40*G40*tongtheN,"")</f>
        <v>604.16473854696903</v>
      </c>
      <c r="I40" s="10"/>
    </row>
    <row r="41" spans="2:9" x14ac:dyDescent="0.25">
      <c r="B41" s="70" t="str">
        <f>IF(C41&lt;&gt;"",LARGE(gioihanduoi,C41),"")</f>
        <v/>
      </c>
      <c r="C41" s="38" t="str">
        <f t="shared" ref="C41:C49" si="5">IF(C40&lt;$B$38,C40+1,"")</f>
        <v/>
      </c>
      <c r="D41" s="53" t="str">
        <f t="shared" si="3"/>
        <v/>
      </c>
      <c r="E41" s="58" t="str">
        <f ca="1">IF(C41&lt;&gt;"",VLOOKUP(beta,OFFSET(betabegin,0,C41,1000,22-C41),22-C41,TRUE),"")</f>
        <v/>
      </c>
      <c r="F41" s="54" t="str">
        <f t="shared" si="4"/>
        <v/>
      </c>
      <c r="G41" s="57" t="str">
        <f>IF(C41&lt;&gt;"",-SMALL(phamtramss,C41),"")</f>
        <v/>
      </c>
      <c r="H41" s="55" t="str">
        <f>IF(C41&lt;&gt;"",B41*G41*tongtheN,"")</f>
        <v/>
      </c>
      <c r="I41" s="10"/>
    </row>
    <row r="42" spans="2:9" x14ac:dyDescent="0.25">
      <c r="B42" s="70" t="str">
        <f>IF(C42&lt;&gt;"",LARGE(gioihanduoi,C42),"")</f>
        <v/>
      </c>
      <c r="C42" s="38" t="str">
        <f t="shared" si="5"/>
        <v/>
      </c>
      <c r="D42" s="53" t="str">
        <f t="shared" si="3"/>
        <v/>
      </c>
      <c r="E42" s="58" t="str">
        <f ca="1">IF(C42&lt;&gt;"",VLOOKUP(beta,OFFSET(betabegin,0,C42,1000,22-C42),22-C42,TRUE),"")</f>
        <v/>
      </c>
      <c r="F42" s="54" t="str">
        <f t="shared" si="4"/>
        <v/>
      </c>
      <c r="G42" s="57" t="str">
        <f>IF(C42&lt;&gt;"",-SMALL(phamtramss,C42),"")</f>
        <v/>
      </c>
      <c r="H42" s="55" t="str">
        <f>IF(C42&lt;&gt;"",B42*G42*tongtheN,"")</f>
        <v/>
      </c>
      <c r="I42" s="10"/>
    </row>
    <row r="43" spans="2:9" x14ac:dyDescent="0.25">
      <c r="B43" s="70" t="str">
        <f>IF(C43&lt;&gt;"",LARGE(gioihanduoi,C43),"")</f>
        <v/>
      </c>
      <c r="C43" s="38" t="str">
        <f t="shared" si="5"/>
        <v/>
      </c>
      <c r="D43" s="53" t="str">
        <f t="shared" si="3"/>
        <v/>
      </c>
      <c r="E43" s="58" t="str">
        <f ca="1">IF(C43&lt;&gt;"",VLOOKUP(beta,OFFSET(betabegin,0,C43,1000,22-C43),22-C43,TRUE),"")</f>
        <v/>
      </c>
      <c r="F43" s="54" t="str">
        <f t="shared" si="4"/>
        <v/>
      </c>
      <c r="G43" s="57" t="str">
        <f>IF(C43&lt;&gt;"",-SMALL(phamtramss,C43),"")</f>
        <v/>
      </c>
      <c r="H43" s="55" t="str">
        <f>IF(C43&lt;&gt;"",B43*G43*tongtheN,"")</f>
        <v/>
      </c>
      <c r="I43" s="10"/>
    </row>
    <row r="44" spans="2:9" x14ac:dyDescent="0.25">
      <c r="B44" s="70" t="str">
        <f>IF(C44&lt;&gt;"",LARGE(gioihanduoi,C44),"")</f>
        <v/>
      </c>
      <c r="C44" s="38" t="str">
        <f t="shared" si="5"/>
        <v/>
      </c>
      <c r="D44" s="53" t="str">
        <f t="shared" si="3"/>
        <v/>
      </c>
      <c r="E44" s="58" t="str">
        <f ca="1">IF(C44&lt;&gt;"",VLOOKUP(beta,OFFSET(betabegin,0,C44,1000,22-C44),22-C44,TRUE),"")</f>
        <v/>
      </c>
      <c r="F44" s="54" t="str">
        <f t="shared" si="4"/>
        <v/>
      </c>
      <c r="G44" s="57" t="str">
        <f>IF(C44&lt;&gt;"",-SMALL(phamtramss,C44),"")</f>
        <v/>
      </c>
      <c r="H44" s="55" t="str">
        <f>IF(C44&lt;&gt;"",B44*G44*tongtheN,"")</f>
        <v/>
      </c>
      <c r="I44" s="10"/>
    </row>
    <row r="45" spans="2:9" x14ac:dyDescent="0.25">
      <c r="B45" s="70" t="str">
        <f>IF(C45&lt;&gt;"",LARGE(gioihanduoi,C45),"")</f>
        <v/>
      </c>
      <c r="C45" s="38" t="str">
        <f t="shared" si="5"/>
        <v/>
      </c>
      <c r="D45" s="53" t="str">
        <f t="shared" si="3"/>
        <v/>
      </c>
      <c r="E45" s="58" t="str">
        <f ca="1">IF(C45&lt;&gt;"",VLOOKUP(beta,OFFSET(betabegin,0,C45,1000,22-C45),22-C45,TRUE),"")</f>
        <v/>
      </c>
      <c r="F45" s="54" t="str">
        <f t="shared" si="4"/>
        <v/>
      </c>
      <c r="G45" s="57" t="str">
        <f>IF(C45&lt;&gt;"",-SMALL(phamtramss,C45),"")</f>
        <v/>
      </c>
      <c r="H45" s="55" t="str">
        <f>IF(C45&lt;&gt;"",B45*G45*tongtheN,"")</f>
        <v/>
      </c>
      <c r="I45" s="10"/>
    </row>
    <row r="46" spans="2:9" x14ac:dyDescent="0.25">
      <c r="B46" s="70" t="str">
        <f>IF(C46&lt;&gt;"",LARGE(gioihanduoi,C46),"")</f>
        <v/>
      </c>
      <c r="C46" s="38" t="str">
        <f t="shared" si="5"/>
        <v/>
      </c>
      <c r="D46" s="53" t="str">
        <f t="shared" si="3"/>
        <v/>
      </c>
      <c r="E46" s="58" t="str">
        <f ca="1">IF(C46&lt;&gt;"",VLOOKUP(beta,OFFSET(betabegin,0,C46,1000,22-C46),22-C46,TRUE),"")</f>
        <v/>
      </c>
      <c r="F46" s="54" t="str">
        <f t="shared" si="4"/>
        <v/>
      </c>
      <c r="G46" s="57" t="str">
        <f>IF(C46&lt;&gt;"",-SMALL(phamtramss,C46),"")</f>
        <v/>
      </c>
      <c r="H46" s="55" t="str">
        <f>IF(C46&lt;&gt;"",B46*G46*tongtheN,"")</f>
        <v/>
      </c>
      <c r="I46" s="10"/>
    </row>
    <row r="47" spans="2:9" x14ac:dyDescent="0.25">
      <c r="B47" s="70" t="str">
        <f>IF(C47&lt;&gt;"",LARGE(gioihanduoi,C47),"")</f>
        <v/>
      </c>
      <c r="C47" s="38" t="str">
        <f t="shared" si="5"/>
        <v/>
      </c>
      <c r="D47" s="53" t="str">
        <f t="shared" si="3"/>
        <v/>
      </c>
      <c r="E47" s="58" t="str">
        <f ca="1">IF(C47&lt;&gt;"",VLOOKUP(beta,OFFSET(betabegin,0,C47,1000,22-C47),22-C47,TRUE),"")</f>
        <v/>
      </c>
      <c r="F47" s="54" t="str">
        <f t="shared" si="4"/>
        <v/>
      </c>
      <c r="G47" s="57" t="str">
        <f>IF(C47&lt;&gt;"",-SMALL(phamtramss,C47),"")</f>
        <v/>
      </c>
      <c r="H47" s="55" t="str">
        <f>IF(C47&lt;&gt;"",B47*G47*tongtheN,"")</f>
        <v/>
      </c>
      <c r="I47" s="10"/>
    </row>
    <row r="48" spans="2:9" x14ac:dyDescent="0.25">
      <c r="B48" s="70" t="str">
        <f>IF(C48&lt;&gt;"",LARGE(gioihanduoi,C48),"")</f>
        <v/>
      </c>
      <c r="C48" s="38" t="str">
        <f t="shared" si="5"/>
        <v/>
      </c>
      <c r="D48" s="53" t="str">
        <f t="shared" si="3"/>
        <v/>
      </c>
      <c r="E48" s="58" t="str">
        <f ca="1">IF(C48&lt;&gt;"",VLOOKUP(beta,OFFSET(betabegin,0,C48,1000,22-C48),22-C48,TRUE),"")</f>
        <v/>
      </c>
      <c r="F48" s="54" t="str">
        <f t="shared" si="4"/>
        <v/>
      </c>
      <c r="G48" s="57" t="str">
        <f>IF(C48&lt;&gt;"",-SMALL(phamtramss,C48),"")</f>
        <v/>
      </c>
      <c r="H48" s="55" t="str">
        <f>IF(C48&lt;&gt;"",B48*G48*tongtheN,"")</f>
        <v/>
      </c>
      <c r="I48" s="10"/>
    </row>
    <row r="49" spans="2:9" x14ac:dyDescent="0.25">
      <c r="B49" s="70" t="str">
        <f>IF(C49&lt;&gt;"",LARGE(gioihanduoi,C49),"")</f>
        <v/>
      </c>
      <c r="C49" s="38" t="str">
        <f t="shared" si="5"/>
        <v/>
      </c>
      <c r="D49" s="53" t="str">
        <f t="shared" si="3"/>
        <v/>
      </c>
      <c r="E49" s="58" t="str">
        <f ca="1">IF(C49&lt;&gt;"",VLOOKUP(beta,OFFSET(betabegin,0,C49,1000,22-C49),22-C49,TRUE),"")</f>
        <v/>
      </c>
      <c r="F49" s="54" t="str">
        <f t="shared" si="4"/>
        <v/>
      </c>
      <c r="G49" s="57" t="str">
        <f>IF(C49&lt;&gt;"",-SMALL(phamtramss,C49),"")</f>
        <v/>
      </c>
      <c r="H49" s="55" t="str">
        <f>IF(C49&lt;&gt;"",B49*G49*tongtheN,"")</f>
        <v/>
      </c>
      <c r="I49" s="10"/>
    </row>
    <row r="50" spans="2:9" x14ac:dyDescent="0.25">
      <c r="B50" s="9"/>
      <c r="C50" s="61" t="s">
        <v>26</v>
      </c>
      <c r="D50" s="44"/>
      <c r="E50" s="66"/>
      <c r="F50" s="44"/>
      <c r="G50" s="44"/>
      <c r="H50" s="67">
        <f ca="1">SUM(H39:H49)</f>
        <v>36604.16473854697</v>
      </c>
      <c r="I50" s="10"/>
    </row>
    <row r="51" spans="2:9" x14ac:dyDescent="0.25">
      <c r="B51" s="9"/>
      <c r="C51" s="40" t="s">
        <v>27</v>
      </c>
      <c r="D51" s="1"/>
      <c r="E51" s="57"/>
      <c r="F51" s="1"/>
      <c r="G51" s="1"/>
      <c r="H51" s="78">
        <f>tongtheN*SUM(G24:G33)/comau</f>
        <v>9089.4031950427325</v>
      </c>
      <c r="I51" s="10"/>
    </row>
    <row r="52" spans="2:9" ht="15.75" thickBot="1" x14ac:dyDescent="0.3">
      <c r="B52" s="9"/>
      <c r="C52" s="63" t="s">
        <v>28</v>
      </c>
      <c r="D52" s="64"/>
      <c r="E52" s="65"/>
      <c r="F52" s="64"/>
      <c r="G52" s="64"/>
      <c r="H52" s="79">
        <f ca="1">H50-H51</f>
        <v>27514.761543504239</v>
      </c>
      <c r="I52" s="10"/>
    </row>
    <row r="53" spans="2:9" x14ac:dyDescent="0.25">
      <c r="B53" s="9"/>
      <c r="C53" s="38"/>
      <c r="D53" s="1"/>
      <c r="E53" s="57"/>
      <c r="F53" s="1"/>
      <c r="G53" s="1"/>
      <c r="H53" s="1"/>
      <c r="I53" s="10"/>
    </row>
    <row r="54" spans="2:9" x14ac:dyDescent="0.25">
      <c r="B54" s="9"/>
      <c r="C54" s="76" t="s">
        <v>29</v>
      </c>
      <c r="D54" s="14" t="str">
        <f ca="1">IF(AND(H36&lt;=tongtheL,H52&lt;=tongtheL),"Sai sót là chấp nhận được","Sai sót là không thể chấp nhận")</f>
        <v>Sai sót là chấp nhận được</v>
      </c>
      <c r="E54" s="57"/>
      <c r="F54" s="1"/>
      <c r="G54" s="1"/>
      <c r="H54" s="1"/>
      <c r="I54" s="10"/>
    </row>
    <row r="55" spans="2:9" ht="15.75" thickBot="1" x14ac:dyDescent="0.3">
      <c r="B55" s="11"/>
      <c r="C55" s="37"/>
      <c r="D55" s="12"/>
      <c r="E55" s="59"/>
      <c r="F55" s="12"/>
      <c r="G55" s="12"/>
      <c r="H55" s="12"/>
      <c r="I55" s="13"/>
    </row>
    <row r="56" spans="2:9" x14ac:dyDescent="0.25">
      <c r="C56" s="26"/>
    </row>
    <row r="57" spans="2:9" x14ac:dyDescent="0.25">
      <c r="C57" s="26"/>
    </row>
    <row r="58" spans="2:9" x14ac:dyDescent="0.25">
      <c r="C58" s="26"/>
    </row>
    <row r="59" spans="2:9" x14ac:dyDescent="0.25">
      <c r="C59" s="26"/>
    </row>
    <row r="60" spans="2:9" x14ac:dyDescent="0.25">
      <c r="C60" s="26"/>
    </row>
    <row r="61" spans="2:9" x14ac:dyDescent="0.25">
      <c r="C61" s="26"/>
    </row>
    <row r="62" spans="2:9" x14ac:dyDescent="0.25">
      <c r="C62" s="26"/>
    </row>
    <row r="63" spans="2:9" x14ac:dyDescent="0.25">
      <c r="C63" s="26"/>
    </row>
    <row r="64" spans="2:9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</sheetData>
  <protectedRanges>
    <protectedRange sqref="F4:F7" name="Range2"/>
    <protectedRange sqref="F15" name="Range1"/>
  </protectedRanges>
  <pageMargins left="0.70866141732283472" right="0.70866141732283472" top="0.74803149606299213" bottom="0.74803149606299213" header="0.31496062992125984" footer="0.31496062992125984"/>
  <pageSetup paperSize="9" scale="80" orientation="portrait" verticalDpi="0" r:id="rId1"/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inh_n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ao_ds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J258"/>
  <sheetViews>
    <sheetView zoomScaleNormal="100" zoomScaleSheetLayoutView="100" workbookViewId="0">
      <selection activeCell="F12" sqref="F12"/>
    </sheetView>
  </sheetViews>
  <sheetFormatPr defaultRowHeight="15" x14ac:dyDescent="0.25"/>
  <cols>
    <col min="1" max="1" width="5" customWidth="1"/>
    <col min="2" max="2" width="6.7109375" customWidth="1"/>
    <col min="3" max="3" width="18" customWidth="1"/>
    <col min="4" max="4" width="14.5703125" style="89" customWidth="1"/>
    <col min="5" max="5" width="15.140625" style="91" customWidth="1"/>
    <col min="6" max="6" width="19.85546875" style="91" customWidth="1"/>
    <col min="7" max="7" width="16.7109375" customWidth="1"/>
    <col min="8" max="8" width="9.28515625" customWidth="1"/>
    <col min="9" max="9" width="3.85546875" customWidth="1"/>
  </cols>
  <sheetData>
    <row r="1" spans="2:10" ht="15.75" thickBot="1" x14ac:dyDescent="0.3">
      <c r="B1" s="12"/>
      <c r="C1" s="12"/>
      <c r="D1" s="12"/>
      <c r="E1" s="12"/>
      <c r="F1"/>
    </row>
    <row r="2" spans="2:10" x14ac:dyDescent="0.25">
      <c r="B2" s="1" t="s">
        <v>14</v>
      </c>
      <c r="C2" s="1"/>
      <c r="D2" s="1"/>
      <c r="E2" s="1">
        <f>comau</f>
        <v>100</v>
      </c>
      <c r="F2"/>
      <c r="J2" s="92" t="s">
        <v>50</v>
      </c>
    </row>
    <row r="3" spans="2:10" x14ac:dyDescent="0.25">
      <c r="B3" s="1" t="s">
        <v>0</v>
      </c>
      <c r="C3" s="1"/>
      <c r="D3" s="1"/>
      <c r="E3" s="32">
        <f>tongtheN/comau</f>
        <v>12000</v>
      </c>
      <c r="F3"/>
      <c r="J3" s="28" t="s">
        <v>51</v>
      </c>
    </row>
    <row r="4" spans="2:10" ht="15.75" thickBot="1" x14ac:dyDescent="0.3">
      <c r="B4" s="23" t="s">
        <v>17</v>
      </c>
      <c r="C4" s="34"/>
      <c r="D4" s="34"/>
      <c r="E4" s="35">
        <v>3454.7274112701416</v>
      </c>
      <c r="F4"/>
    </row>
    <row r="5" spans="2:10" x14ac:dyDescent="0.25">
      <c r="D5"/>
      <c r="E5"/>
      <c r="F5"/>
    </row>
    <row r="6" spans="2:10" s="2" customFormat="1" ht="15.75" thickBot="1" x14ac:dyDescent="0.3">
      <c r="B6" s="33" t="s">
        <v>13</v>
      </c>
      <c r="C6" s="33" t="s">
        <v>12</v>
      </c>
      <c r="D6" s="33" t="s">
        <v>31</v>
      </c>
      <c r="E6" s="33" t="s">
        <v>4</v>
      </c>
      <c r="F6" s="33" t="s">
        <v>15</v>
      </c>
      <c r="G6" s="33" t="s">
        <v>37</v>
      </c>
      <c r="H6" s="33" t="s">
        <v>38</v>
      </c>
    </row>
    <row r="7" spans="2:10" x14ac:dyDescent="0.25">
      <c r="B7">
        <f t="shared" ref="B7:B70" si="0">IF(ROW()&lt;comau+7,ROW()-6,"")</f>
        <v>1</v>
      </c>
      <c r="C7" s="93">
        <v>3454.7274112701416</v>
      </c>
      <c r="D7" s="89">
        <v>2073</v>
      </c>
      <c r="E7" s="90">
        <v>6200</v>
      </c>
      <c r="F7" s="90">
        <v>6100</v>
      </c>
      <c r="G7" s="51">
        <f>IF(F7-E7&lt;&gt;0,E7-F7,"")</f>
        <v>100</v>
      </c>
      <c r="H7" s="73">
        <f>IF(G7&lt;&gt;"",G7/E7,"")</f>
        <v>1.6129032258064516E-2</v>
      </c>
    </row>
    <row r="8" spans="2:10" x14ac:dyDescent="0.25">
      <c r="B8">
        <f t="shared" si="0"/>
        <v>2</v>
      </c>
      <c r="C8" s="31">
        <f t="shared" ref="C8:C71" si="1">IF(B8&lt;&gt;"",xuatphat+khoangcach*B7,"")</f>
        <v>6909.4548225402832</v>
      </c>
      <c r="D8" s="89">
        <v>5111</v>
      </c>
      <c r="E8" s="90">
        <v>12910</v>
      </c>
      <c r="F8" s="90">
        <v>12000</v>
      </c>
      <c r="G8" s="51">
        <f t="shared" ref="G8:G18" si="2">IF(F8-E8&lt;&gt;0,E8-F8,"")</f>
        <v>910</v>
      </c>
      <c r="H8" s="73">
        <f t="shared" ref="H8:H11" si="3">IF(G8&lt;&gt;"",G8/E8,"")</f>
        <v>7.0487993803253296E-2</v>
      </c>
    </row>
    <row r="9" spans="2:10" x14ac:dyDescent="0.25">
      <c r="B9">
        <f t="shared" si="0"/>
        <v>3</v>
      </c>
      <c r="C9" s="31">
        <f t="shared" si="1"/>
        <v>10364.182233810425</v>
      </c>
      <c r="D9" s="89">
        <v>5206</v>
      </c>
      <c r="E9" s="90">
        <v>4322</v>
      </c>
      <c r="F9" s="90">
        <v>4450</v>
      </c>
      <c r="G9" s="51">
        <f t="shared" si="2"/>
        <v>-128</v>
      </c>
      <c r="H9" s="73">
        <f t="shared" si="3"/>
        <v>-2.9615918556223971E-2</v>
      </c>
    </row>
    <row r="10" spans="2:10" x14ac:dyDescent="0.25">
      <c r="B10">
        <f t="shared" si="0"/>
        <v>4</v>
      </c>
      <c r="C10" s="31">
        <f t="shared" si="1"/>
        <v>13818.909645080566</v>
      </c>
      <c r="D10" s="89">
        <v>7642</v>
      </c>
      <c r="E10" s="90">
        <v>23000</v>
      </c>
      <c r="F10" s="90">
        <v>22995</v>
      </c>
      <c r="G10" s="51">
        <f t="shared" si="2"/>
        <v>5</v>
      </c>
      <c r="H10" s="73">
        <f t="shared" si="3"/>
        <v>2.173913043478261E-4</v>
      </c>
    </row>
    <row r="11" spans="2:10" x14ac:dyDescent="0.25">
      <c r="B11">
        <f t="shared" si="0"/>
        <v>5</v>
      </c>
      <c r="C11" s="31">
        <f t="shared" si="1"/>
        <v>17273.637056350708</v>
      </c>
      <c r="D11" s="89">
        <v>9816</v>
      </c>
      <c r="E11" s="90">
        <v>8947</v>
      </c>
      <c r="F11" s="90">
        <v>2947</v>
      </c>
      <c r="G11" s="51">
        <f t="shared" si="2"/>
        <v>6000</v>
      </c>
      <c r="H11" s="73">
        <f t="shared" si="3"/>
        <v>0.67061584888789538</v>
      </c>
    </row>
    <row r="12" spans="2:10" x14ac:dyDescent="0.25">
      <c r="B12">
        <f t="shared" si="0"/>
        <v>6</v>
      </c>
      <c r="C12" s="31">
        <f t="shared" si="1"/>
        <v>20728.36446762085</v>
      </c>
      <c r="E12" s="90"/>
      <c r="F12" s="90"/>
      <c r="G12" s="51" t="str">
        <f t="shared" si="2"/>
        <v/>
      </c>
      <c r="H12" s="73" t="str">
        <f t="shared" ref="H8:H71" si="4">IF(G12&lt;&gt;"",G12/E12,"")</f>
        <v/>
      </c>
    </row>
    <row r="13" spans="2:10" x14ac:dyDescent="0.25">
      <c r="B13">
        <f t="shared" si="0"/>
        <v>7</v>
      </c>
      <c r="C13" s="31">
        <f t="shared" si="1"/>
        <v>24183.091878890991</v>
      </c>
      <c r="E13" s="90"/>
      <c r="F13" s="90"/>
      <c r="G13" s="51" t="str">
        <f t="shared" si="2"/>
        <v/>
      </c>
      <c r="H13" s="73" t="str">
        <f t="shared" si="4"/>
        <v/>
      </c>
    </row>
    <row r="14" spans="2:10" x14ac:dyDescent="0.25">
      <c r="B14">
        <f t="shared" si="0"/>
        <v>8</v>
      </c>
      <c r="C14" s="31">
        <f t="shared" si="1"/>
        <v>27637.819290161133</v>
      </c>
      <c r="E14" s="90"/>
      <c r="F14" s="90"/>
      <c r="G14" s="51" t="str">
        <f t="shared" si="2"/>
        <v/>
      </c>
      <c r="H14" s="73" t="str">
        <f t="shared" si="4"/>
        <v/>
      </c>
    </row>
    <row r="15" spans="2:10" x14ac:dyDescent="0.25">
      <c r="B15">
        <f t="shared" si="0"/>
        <v>9</v>
      </c>
      <c r="C15" s="31">
        <f t="shared" si="1"/>
        <v>31092.546701431274</v>
      </c>
      <c r="E15" s="90"/>
      <c r="F15" s="90"/>
      <c r="G15" s="51" t="str">
        <f t="shared" si="2"/>
        <v/>
      </c>
      <c r="H15" s="73" t="str">
        <f t="shared" si="4"/>
        <v/>
      </c>
    </row>
    <row r="16" spans="2:10" x14ac:dyDescent="0.25">
      <c r="B16">
        <f t="shared" si="0"/>
        <v>10</v>
      </c>
      <c r="C16" s="31">
        <f t="shared" si="1"/>
        <v>34547.274112701416</v>
      </c>
      <c r="E16" s="90"/>
      <c r="F16" s="90"/>
      <c r="G16" s="51" t="str">
        <f t="shared" si="2"/>
        <v/>
      </c>
      <c r="H16" s="73" t="str">
        <f t="shared" si="4"/>
        <v/>
      </c>
    </row>
    <row r="17" spans="2:8" x14ac:dyDescent="0.25">
      <c r="B17">
        <f t="shared" si="0"/>
        <v>11</v>
      </c>
      <c r="C17" s="31">
        <f t="shared" si="1"/>
        <v>38002.001523971558</v>
      </c>
      <c r="E17" s="90"/>
      <c r="F17" s="90"/>
      <c r="G17" s="51" t="str">
        <f t="shared" si="2"/>
        <v/>
      </c>
      <c r="H17" s="73" t="str">
        <f t="shared" si="4"/>
        <v/>
      </c>
    </row>
    <row r="18" spans="2:8" x14ac:dyDescent="0.25">
      <c r="B18">
        <f t="shared" si="0"/>
        <v>12</v>
      </c>
      <c r="C18" s="31">
        <f t="shared" si="1"/>
        <v>41456.728935241699</v>
      </c>
      <c r="E18" s="90"/>
      <c r="F18" s="90"/>
      <c r="G18" s="51" t="str">
        <f t="shared" si="2"/>
        <v/>
      </c>
      <c r="H18" s="73" t="str">
        <f t="shared" si="4"/>
        <v/>
      </c>
    </row>
    <row r="19" spans="2:8" x14ac:dyDescent="0.25">
      <c r="B19">
        <f t="shared" si="0"/>
        <v>13</v>
      </c>
      <c r="C19" s="31">
        <f t="shared" si="1"/>
        <v>44911.456346511841</v>
      </c>
      <c r="E19" s="90"/>
      <c r="F19" s="90"/>
      <c r="G19" s="51" t="str">
        <f t="shared" ref="G8:G71" si="5">IF(F19-E19&lt;&gt;0,E19-F19,"")</f>
        <v/>
      </c>
      <c r="H19" s="73" t="str">
        <f t="shared" si="4"/>
        <v/>
      </c>
    </row>
    <row r="20" spans="2:8" x14ac:dyDescent="0.25">
      <c r="B20">
        <f t="shared" si="0"/>
        <v>14</v>
      </c>
      <c r="C20" s="31">
        <f t="shared" si="1"/>
        <v>48366.183757781982</v>
      </c>
      <c r="E20" s="90"/>
      <c r="F20" s="90"/>
      <c r="G20" s="51" t="str">
        <f t="shared" si="5"/>
        <v/>
      </c>
      <c r="H20" s="73" t="str">
        <f t="shared" si="4"/>
        <v/>
      </c>
    </row>
    <row r="21" spans="2:8" x14ac:dyDescent="0.25">
      <c r="B21">
        <f t="shared" si="0"/>
        <v>15</v>
      </c>
      <c r="C21" s="31">
        <f t="shared" si="1"/>
        <v>51820.911169052124</v>
      </c>
      <c r="E21" s="90"/>
      <c r="F21" s="90"/>
      <c r="G21" s="51" t="str">
        <f t="shared" si="5"/>
        <v/>
      </c>
      <c r="H21" s="73" t="str">
        <f t="shared" si="4"/>
        <v/>
      </c>
    </row>
    <row r="22" spans="2:8" x14ac:dyDescent="0.25">
      <c r="B22">
        <f t="shared" si="0"/>
        <v>16</v>
      </c>
      <c r="C22" s="31">
        <f t="shared" si="1"/>
        <v>55275.638580322266</v>
      </c>
      <c r="E22" s="90"/>
      <c r="F22" s="90"/>
      <c r="G22" s="51" t="str">
        <f t="shared" si="5"/>
        <v/>
      </c>
      <c r="H22" s="73" t="str">
        <f t="shared" si="4"/>
        <v/>
      </c>
    </row>
    <row r="23" spans="2:8" x14ac:dyDescent="0.25">
      <c r="B23">
        <f t="shared" si="0"/>
        <v>17</v>
      </c>
      <c r="C23" s="31">
        <f t="shared" si="1"/>
        <v>58730.365991592407</v>
      </c>
      <c r="E23" s="90"/>
      <c r="F23" s="90"/>
      <c r="G23" s="51" t="str">
        <f t="shared" si="5"/>
        <v/>
      </c>
      <c r="H23" s="73" t="str">
        <f t="shared" si="4"/>
        <v/>
      </c>
    </row>
    <row r="24" spans="2:8" x14ac:dyDescent="0.25">
      <c r="B24">
        <f t="shared" si="0"/>
        <v>18</v>
      </c>
      <c r="C24" s="31">
        <f t="shared" si="1"/>
        <v>62185.093402862549</v>
      </c>
      <c r="E24" s="90"/>
      <c r="F24" s="90"/>
      <c r="G24" s="51" t="str">
        <f t="shared" si="5"/>
        <v/>
      </c>
      <c r="H24" s="73" t="str">
        <f t="shared" si="4"/>
        <v/>
      </c>
    </row>
    <row r="25" spans="2:8" x14ac:dyDescent="0.25">
      <c r="B25">
        <f t="shared" si="0"/>
        <v>19</v>
      </c>
      <c r="C25" s="31">
        <f t="shared" si="1"/>
        <v>65639.82081413269</v>
      </c>
      <c r="E25" s="90"/>
      <c r="F25" s="90"/>
      <c r="G25" s="51" t="str">
        <f t="shared" si="5"/>
        <v/>
      </c>
      <c r="H25" s="73" t="str">
        <f t="shared" si="4"/>
        <v/>
      </c>
    </row>
    <row r="26" spans="2:8" x14ac:dyDescent="0.25">
      <c r="B26">
        <f t="shared" si="0"/>
        <v>20</v>
      </c>
      <c r="C26" s="31">
        <f t="shared" si="1"/>
        <v>69094.548225402832</v>
      </c>
      <c r="E26" s="90"/>
      <c r="F26" s="90"/>
      <c r="G26" s="51" t="str">
        <f t="shared" si="5"/>
        <v/>
      </c>
      <c r="H26" s="73" t="str">
        <f t="shared" si="4"/>
        <v/>
      </c>
    </row>
    <row r="27" spans="2:8" x14ac:dyDescent="0.25">
      <c r="B27">
        <f t="shared" si="0"/>
        <v>21</v>
      </c>
      <c r="C27" s="31">
        <f t="shared" si="1"/>
        <v>72549.275636672974</v>
      </c>
      <c r="E27" s="90"/>
      <c r="F27" s="90"/>
      <c r="G27" s="51" t="str">
        <f t="shared" si="5"/>
        <v/>
      </c>
      <c r="H27" s="73" t="str">
        <f t="shared" si="4"/>
        <v/>
      </c>
    </row>
    <row r="28" spans="2:8" x14ac:dyDescent="0.25">
      <c r="B28">
        <f t="shared" si="0"/>
        <v>22</v>
      </c>
      <c r="C28" s="31">
        <f t="shared" si="1"/>
        <v>76004.003047943115</v>
      </c>
      <c r="E28" s="90"/>
      <c r="F28" s="90"/>
      <c r="G28" s="51" t="str">
        <f t="shared" si="5"/>
        <v/>
      </c>
      <c r="H28" s="73" t="str">
        <f t="shared" si="4"/>
        <v/>
      </c>
    </row>
    <row r="29" spans="2:8" x14ac:dyDescent="0.25">
      <c r="B29">
        <f t="shared" si="0"/>
        <v>23</v>
      </c>
      <c r="C29" s="31">
        <f t="shared" si="1"/>
        <v>79458.730459213257</v>
      </c>
      <c r="E29" s="90"/>
      <c r="F29" s="90"/>
      <c r="G29" s="51" t="str">
        <f t="shared" si="5"/>
        <v/>
      </c>
      <c r="H29" s="73" t="str">
        <f t="shared" si="4"/>
        <v/>
      </c>
    </row>
    <row r="30" spans="2:8" x14ac:dyDescent="0.25">
      <c r="B30">
        <f t="shared" si="0"/>
        <v>24</v>
      </c>
      <c r="C30" s="31">
        <f t="shared" si="1"/>
        <v>82913.457870483398</v>
      </c>
      <c r="E30" s="90"/>
      <c r="F30" s="90"/>
      <c r="G30" s="51" t="str">
        <f t="shared" si="5"/>
        <v/>
      </c>
      <c r="H30" s="73" t="str">
        <f t="shared" si="4"/>
        <v/>
      </c>
    </row>
    <row r="31" spans="2:8" x14ac:dyDescent="0.25">
      <c r="B31">
        <f t="shared" si="0"/>
        <v>25</v>
      </c>
      <c r="C31" s="31">
        <f t="shared" si="1"/>
        <v>86368.18528175354</v>
      </c>
      <c r="E31" s="90"/>
      <c r="F31" s="90"/>
      <c r="G31" s="51" t="str">
        <f t="shared" si="5"/>
        <v/>
      </c>
      <c r="H31" s="73" t="str">
        <f t="shared" si="4"/>
        <v/>
      </c>
    </row>
    <row r="32" spans="2:8" x14ac:dyDescent="0.25">
      <c r="B32">
        <f t="shared" si="0"/>
        <v>26</v>
      </c>
      <c r="C32" s="31">
        <f t="shared" si="1"/>
        <v>89822.912693023682</v>
      </c>
      <c r="E32" s="90"/>
      <c r="F32" s="90"/>
      <c r="G32" s="51" t="str">
        <f t="shared" si="5"/>
        <v/>
      </c>
      <c r="H32" s="73" t="str">
        <f t="shared" si="4"/>
        <v/>
      </c>
    </row>
    <row r="33" spans="2:8" x14ac:dyDescent="0.25">
      <c r="B33">
        <f t="shared" si="0"/>
        <v>27</v>
      </c>
      <c r="C33" s="31">
        <f t="shared" si="1"/>
        <v>93277.640104293823</v>
      </c>
      <c r="E33" s="90"/>
      <c r="F33" s="90"/>
      <c r="G33" s="51" t="str">
        <f t="shared" si="5"/>
        <v/>
      </c>
      <c r="H33" s="73" t="str">
        <f t="shared" si="4"/>
        <v/>
      </c>
    </row>
    <row r="34" spans="2:8" x14ac:dyDescent="0.25">
      <c r="B34">
        <f t="shared" si="0"/>
        <v>28</v>
      </c>
      <c r="C34" s="31">
        <f t="shared" si="1"/>
        <v>96732.367515563965</v>
      </c>
      <c r="E34" s="90"/>
      <c r="F34" s="90"/>
      <c r="G34" s="51" t="str">
        <f t="shared" si="5"/>
        <v/>
      </c>
      <c r="H34" s="73" t="str">
        <f t="shared" si="4"/>
        <v/>
      </c>
    </row>
    <row r="35" spans="2:8" x14ac:dyDescent="0.25">
      <c r="B35">
        <f t="shared" si="0"/>
        <v>29</v>
      </c>
      <c r="C35" s="31">
        <f t="shared" si="1"/>
        <v>100187.09492683411</v>
      </c>
      <c r="E35" s="90"/>
      <c r="F35" s="90"/>
      <c r="G35" s="51" t="str">
        <f t="shared" si="5"/>
        <v/>
      </c>
      <c r="H35" s="73" t="str">
        <f t="shared" si="4"/>
        <v/>
      </c>
    </row>
    <row r="36" spans="2:8" x14ac:dyDescent="0.25">
      <c r="B36">
        <f t="shared" si="0"/>
        <v>30</v>
      </c>
      <c r="C36" s="31">
        <f t="shared" si="1"/>
        <v>103641.82233810425</v>
      </c>
      <c r="E36" s="90"/>
      <c r="F36" s="90"/>
      <c r="G36" s="51" t="str">
        <f t="shared" si="5"/>
        <v/>
      </c>
      <c r="H36" s="73" t="str">
        <f t="shared" si="4"/>
        <v/>
      </c>
    </row>
    <row r="37" spans="2:8" x14ac:dyDescent="0.25">
      <c r="B37">
        <f t="shared" si="0"/>
        <v>31</v>
      </c>
      <c r="C37" s="31">
        <f t="shared" si="1"/>
        <v>107096.54974937439</v>
      </c>
      <c r="E37" s="90"/>
      <c r="F37" s="90"/>
      <c r="G37" s="51" t="str">
        <f t="shared" si="5"/>
        <v/>
      </c>
      <c r="H37" s="73" t="str">
        <f t="shared" si="4"/>
        <v/>
      </c>
    </row>
    <row r="38" spans="2:8" x14ac:dyDescent="0.25">
      <c r="B38">
        <f t="shared" si="0"/>
        <v>32</v>
      </c>
      <c r="C38" s="31">
        <f t="shared" si="1"/>
        <v>110551.27716064453</v>
      </c>
      <c r="E38" s="90"/>
      <c r="F38" s="90"/>
      <c r="G38" s="51" t="str">
        <f t="shared" si="5"/>
        <v/>
      </c>
      <c r="H38" s="73" t="str">
        <f t="shared" si="4"/>
        <v/>
      </c>
    </row>
    <row r="39" spans="2:8" x14ac:dyDescent="0.25">
      <c r="B39">
        <f t="shared" si="0"/>
        <v>33</v>
      </c>
      <c r="C39" s="31">
        <f t="shared" si="1"/>
        <v>114006.00457191467</v>
      </c>
      <c r="E39" s="90"/>
      <c r="F39" s="90"/>
      <c r="G39" s="51" t="str">
        <f t="shared" si="5"/>
        <v/>
      </c>
      <c r="H39" s="73" t="str">
        <f t="shared" si="4"/>
        <v/>
      </c>
    </row>
    <row r="40" spans="2:8" x14ac:dyDescent="0.25">
      <c r="B40">
        <f t="shared" si="0"/>
        <v>34</v>
      </c>
      <c r="C40" s="31">
        <f t="shared" si="1"/>
        <v>117460.73198318481</v>
      </c>
      <c r="E40" s="90"/>
      <c r="F40" s="90"/>
      <c r="G40" s="51" t="str">
        <f t="shared" si="5"/>
        <v/>
      </c>
      <c r="H40" s="73" t="str">
        <f t="shared" si="4"/>
        <v/>
      </c>
    </row>
    <row r="41" spans="2:8" x14ac:dyDescent="0.25">
      <c r="B41">
        <f t="shared" si="0"/>
        <v>35</v>
      </c>
      <c r="C41" s="31">
        <f t="shared" si="1"/>
        <v>120915.45939445496</v>
      </c>
      <c r="E41" s="90"/>
      <c r="F41" s="90"/>
      <c r="G41" s="51" t="str">
        <f t="shared" si="5"/>
        <v/>
      </c>
      <c r="H41" s="73" t="str">
        <f t="shared" si="4"/>
        <v/>
      </c>
    </row>
    <row r="42" spans="2:8" x14ac:dyDescent="0.25">
      <c r="B42">
        <f t="shared" si="0"/>
        <v>36</v>
      </c>
      <c r="C42" s="31">
        <f t="shared" si="1"/>
        <v>124370.1868057251</v>
      </c>
      <c r="E42" s="90"/>
      <c r="F42" s="90"/>
      <c r="G42" s="51" t="str">
        <f t="shared" si="5"/>
        <v/>
      </c>
      <c r="H42" s="73" t="str">
        <f t="shared" si="4"/>
        <v/>
      </c>
    </row>
    <row r="43" spans="2:8" x14ac:dyDescent="0.25">
      <c r="B43">
        <f t="shared" si="0"/>
        <v>37</v>
      </c>
      <c r="C43" s="31">
        <f t="shared" si="1"/>
        <v>127824.91421699524</v>
      </c>
      <c r="E43" s="90"/>
      <c r="F43" s="90"/>
      <c r="G43" s="51" t="str">
        <f t="shared" si="5"/>
        <v/>
      </c>
      <c r="H43" s="73" t="str">
        <f t="shared" si="4"/>
        <v/>
      </c>
    </row>
    <row r="44" spans="2:8" x14ac:dyDescent="0.25">
      <c r="B44">
        <f t="shared" si="0"/>
        <v>38</v>
      </c>
      <c r="C44" s="31">
        <f t="shared" si="1"/>
        <v>131279.64162826538</v>
      </c>
      <c r="E44" s="90"/>
      <c r="F44" s="90"/>
      <c r="G44" s="51" t="str">
        <f t="shared" si="5"/>
        <v/>
      </c>
      <c r="H44" s="73" t="str">
        <f t="shared" si="4"/>
        <v/>
      </c>
    </row>
    <row r="45" spans="2:8" x14ac:dyDescent="0.25">
      <c r="B45">
        <f t="shared" si="0"/>
        <v>39</v>
      </c>
      <c r="C45" s="31">
        <f t="shared" si="1"/>
        <v>134734.36903953552</v>
      </c>
      <c r="E45" s="90"/>
      <c r="F45" s="90"/>
      <c r="G45" s="51" t="str">
        <f t="shared" si="5"/>
        <v/>
      </c>
      <c r="H45" s="73" t="str">
        <f t="shared" si="4"/>
        <v/>
      </c>
    </row>
    <row r="46" spans="2:8" x14ac:dyDescent="0.25">
      <c r="B46">
        <f t="shared" si="0"/>
        <v>40</v>
      </c>
      <c r="C46" s="31">
        <f t="shared" si="1"/>
        <v>138189.09645080566</v>
      </c>
      <c r="E46" s="90"/>
      <c r="F46" s="90"/>
      <c r="G46" s="51" t="str">
        <f t="shared" si="5"/>
        <v/>
      </c>
      <c r="H46" s="73" t="str">
        <f t="shared" si="4"/>
        <v/>
      </c>
    </row>
    <row r="47" spans="2:8" x14ac:dyDescent="0.25">
      <c r="B47">
        <f t="shared" si="0"/>
        <v>41</v>
      </c>
      <c r="C47" s="31">
        <f t="shared" si="1"/>
        <v>141643.82386207581</v>
      </c>
      <c r="E47" s="90"/>
      <c r="F47" s="90"/>
      <c r="G47" s="51" t="str">
        <f t="shared" si="5"/>
        <v/>
      </c>
      <c r="H47" s="73" t="str">
        <f t="shared" si="4"/>
        <v/>
      </c>
    </row>
    <row r="48" spans="2:8" x14ac:dyDescent="0.25">
      <c r="B48">
        <f t="shared" si="0"/>
        <v>42</v>
      </c>
      <c r="C48" s="31">
        <f t="shared" si="1"/>
        <v>145098.55127334595</v>
      </c>
      <c r="E48" s="90"/>
      <c r="F48" s="90"/>
      <c r="G48" s="51" t="str">
        <f t="shared" si="5"/>
        <v/>
      </c>
      <c r="H48" s="73" t="str">
        <f t="shared" si="4"/>
        <v/>
      </c>
    </row>
    <row r="49" spans="2:8" x14ac:dyDescent="0.25">
      <c r="B49">
        <f t="shared" si="0"/>
        <v>43</v>
      </c>
      <c r="C49" s="31">
        <f t="shared" si="1"/>
        <v>148553.27868461609</v>
      </c>
      <c r="E49" s="90"/>
      <c r="F49" s="90"/>
      <c r="G49" s="51" t="str">
        <f t="shared" si="5"/>
        <v/>
      </c>
      <c r="H49" s="73" t="str">
        <f t="shared" si="4"/>
        <v/>
      </c>
    </row>
    <row r="50" spans="2:8" x14ac:dyDescent="0.25">
      <c r="B50">
        <f t="shared" si="0"/>
        <v>44</v>
      </c>
      <c r="C50" s="31">
        <f t="shared" si="1"/>
        <v>152008.00609588623</v>
      </c>
      <c r="E50" s="90"/>
      <c r="F50" s="90"/>
      <c r="G50" s="51" t="str">
        <f t="shared" si="5"/>
        <v/>
      </c>
      <c r="H50" s="73" t="str">
        <f t="shared" si="4"/>
        <v/>
      </c>
    </row>
    <row r="51" spans="2:8" x14ac:dyDescent="0.25">
      <c r="B51">
        <f t="shared" si="0"/>
        <v>45</v>
      </c>
      <c r="C51" s="31">
        <f t="shared" si="1"/>
        <v>155462.73350715637</v>
      </c>
      <c r="E51" s="90"/>
      <c r="F51" s="90"/>
      <c r="G51" s="51" t="str">
        <f t="shared" si="5"/>
        <v/>
      </c>
      <c r="H51" s="73" t="str">
        <f t="shared" si="4"/>
        <v/>
      </c>
    </row>
    <row r="52" spans="2:8" x14ac:dyDescent="0.25">
      <c r="B52">
        <f t="shared" si="0"/>
        <v>46</v>
      </c>
      <c r="C52" s="31">
        <f t="shared" si="1"/>
        <v>158917.46091842651</v>
      </c>
      <c r="E52" s="90"/>
      <c r="F52" s="90"/>
      <c r="G52" s="51" t="str">
        <f t="shared" si="5"/>
        <v/>
      </c>
      <c r="H52" s="73" t="str">
        <f t="shared" si="4"/>
        <v/>
      </c>
    </row>
    <row r="53" spans="2:8" x14ac:dyDescent="0.25">
      <c r="B53">
        <f t="shared" si="0"/>
        <v>47</v>
      </c>
      <c r="C53" s="31">
        <f t="shared" si="1"/>
        <v>162372.18832969666</v>
      </c>
      <c r="E53" s="90"/>
      <c r="F53" s="90"/>
      <c r="G53" s="51" t="str">
        <f t="shared" si="5"/>
        <v/>
      </c>
      <c r="H53" s="73" t="str">
        <f t="shared" si="4"/>
        <v/>
      </c>
    </row>
    <row r="54" spans="2:8" x14ac:dyDescent="0.25">
      <c r="B54">
        <f t="shared" si="0"/>
        <v>48</v>
      </c>
      <c r="C54" s="31">
        <f t="shared" si="1"/>
        <v>165826.9157409668</v>
      </c>
      <c r="E54" s="90"/>
      <c r="F54" s="90"/>
      <c r="G54" s="51" t="str">
        <f t="shared" si="5"/>
        <v/>
      </c>
      <c r="H54" s="73" t="str">
        <f t="shared" si="4"/>
        <v/>
      </c>
    </row>
    <row r="55" spans="2:8" x14ac:dyDescent="0.25">
      <c r="B55">
        <f t="shared" si="0"/>
        <v>49</v>
      </c>
      <c r="C55" s="31">
        <f t="shared" si="1"/>
        <v>169281.64315223694</v>
      </c>
      <c r="E55" s="90"/>
      <c r="F55" s="90"/>
      <c r="G55" s="51" t="str">
        <f t="shared" si="5"/>
        <v/>
      </c>
      <c r="H55" s="73" t="str">
        <f t="shared" si="4"/>
        <v/>
      </c>
    </row>
    <row r="56" spans="2:8" x14ac:dyDescent="0.25">
      <c r="B56">
        <f t="shared" si="0"/>
        <v>50</v>
      </c>
      <c r="C56" s="31">
        <f t="shared" si="1"/>
        <v>172736.37056350708</v>
      </c>
      <c r="E56" s="90"/>
      <c r="F56" s="90"/>
      <c r="G56" s="51" t="str">
        <f t="shared" si="5"/>
        <v/>
      </c>
      <c r="H56" s="73" t="str">
        <f t="shared" si="4"/>
        <v/>
      </c>
    </row>
    <row r="57" spans="2:8" x14ac:dyDescent="0.25">
      <c r="B57">
        <f t="shared" si="0"/>
        <v>51</v>
      </c>
      <c r="C57" s="31">
        <f t="shared" si="1"/>
        <v>176191.09797477722</v>
      </c>
      <c r="E57" s="90"/>
      <c r="F57" s="90"/>
      <c r="G57" s="51" t="str">
        <f t="shared" si="5"/>
        <v/>
      </c>
      <c r="H57" s="73" t="str">
        <f t="shared" si="4"/>
        <v/>
      </c>
    </row>
    <row r="58" spans="2:8" x14ac:dyDescent="0.25">
      <c r="B58">
        <f t="shared" si="0"/>
        <v>52</v>
      </c>
      <c r="C58" s="31">
        <f t="shared" si="1"/>
        <v>179645.82538604736</v>
      </c>
      <c r="E58" s="90"/>
      <c r="F58" s="90"/>
      <c r="G58" s="51" t="str">
        <f t="shared" si="5"/>
        <v/>
      </c>
      <c r="H58" s="73" t="str">
        <f t="shared" si="4"/>
        <v/>
      </c>
    </row>
    <row r="59" spans="2:8" x14ac:dyDescent="0.25">
      <c r="B59">
        <f t="shared" si="0"/>
        <v>53</v>
      </c>
      <c r="C59" s="31">
        <f t="shared" si="1"/>
        <v>183100.5527973175</v>
      </c>
      <c r="E59" s="90"/>
      <c r="F59" s="90"/>
      <c r="G59" s="51" t="str">
        <f t="shared" si="5"/>
        <v/>
      </c>
      <c r="H59" s="73" t="str">
        <f t="shared" si="4"/>
        <v/>
      </c>
    </row>
    <row r="60" spans="2:8" x14ac:dyDescent="0.25">
      <c r="B60">
        <f t="shared" si="0"/>
        <v>54</v>
      </c>
      <c r="C60" s="31">
        <f t="shared" si="1"/>
        <v>186555.28020858765</v>
      </c>
      <c r="E60" s="90"/>
      <c r="F60" s="90"/>
      <c r="G60" s="51" t="str">
        <f t="shared" si="5"/>
        <v/>
      </c>
      <c r="H60" s="73" t="str">
        <f t="shared" si="4"/>
        <v/>
      </c>
    </row>
    <row r="61" spans="2:8" x14ac:dyDescent="0.25">
      <c r="B61">
        <f t="shared" si="0"/>
        <v>55</v>
      </c>
      <c r="C61" s="31">
        <f t="shared" si="1"/>
        <v>190010.00761985779</v>
      </c>
      <c r="E61" s="90"/>
      <c r="F61" s="90"/>
      <c r="G61" s="51" t="str">
        <f t="shared" si="5"/>
        <v/>
      </c>
      <c r="H61" s="73" t="str">
        <f t="shared" si="4"/>
        <v/>
      </c>
    </row>
    <row r="62" spans="2:8" x14ac:dyDescent="0.25">
      <c r="B62">
        <f t="shared" si="0"/>
        <v>56</v>
      </c>
      <c r="C62" s="31">
        <f t="shared" si="1"/>
        <v>193464.73503112793</v>
      </c>
      <c r="E62" s="90"/>
      <c r="F62" s="90"/>
      <c r="G62" s="51" t="str">
        <f t="shared" si="5"/>
        <v/>
      </c>
      <c r="H62" s="73" t="str">
        <f t="shared" si="4"/>
        <v/>
      </c>
    </row>
    <row r="63" spans="2:8" x14ac:dyDescent="0.25">
      <c r="B63">
        <f t="shared" si="0"/>
        <v>57</v>
      </c>
      <c r="C63" s="31">
        <f t="shared" si="1"/>
        <v>196919.46244239807</v>
      </c>
      <c r="E63" s="90"/>
      <c r="F63" s="90"/>
      <c r="G63" s="51" t="str">
        <f t="shared" si="5"/>
        <v/>
      </c>
      <c r="H63" s="73" t="str">
        <f t="shared" si="4"/>
        <v/>
      </c>
    </row>
    <row r="64" spans="2:8" x14ac:dyDescent="0.25">
      <c r="B64">
        <f t="shared" si="0"/>
        <v>58</v>
      </c>
      <c r="C64" s="31">
        <f t="shared" si="1"/>
        <v>200374.18985366821</v>
      </c>
      <c r="E64" s="90"/>
      <c r="F64" s="90"/>
      <c r="G64" s="51" t="str">
        <f t="shared" si="5"/>
        <v/>
      </c>
      <c r="H64" s="73" t="str">
        <f t="shared" si="4"/>
        <v/>
      </c>
    </row>
    <row r="65" spans="2:8" x14ac:dyDescent="0.25">
      <c r="B65">
        <f t="shared" si="0"/>
        <v>59</v>
      </c>
      <c r="C65" s="31">
        <f t="shared" si="1"/>
        <v>203828.91726493835</v>
      </c>
      <c r="E65" s="90"/>
      <c r="F65" s="90"/>
      <c r="G65" s="51" t="str">
        <f t="shared" si="5"/>
        <v/>
      </c>
      <c r="H65" s="73" t="str">
        <f t="shared" si="4"/>
        <v/>
      </c>
    </row>
    <row r="66" spans="2:8" x14ac:dyDescent="0.25">
      <c r="B66">
        <f t="shared" si="0"/>
        <v>60</v>
      </c>
      <c r="C66" s="31">
        <f t="shared" si="1"/>
        <v>207283.6446762085</v>
      </c>
      <c r="E66" s="90"/>
      <c r="F66" s="90"/>
      <c r="G66" s="51" t="str">
        <f t="shared" si="5"/>
        <v/>
      </c>
      <c r="H66" s="73" t="str">
        <f t="shared" si="4"/>
        <v/>
      </c>
    </row>
    <row r="67" spans="2:8" x14ac:dyDescent="0.25">
      <c r="B67">
        <f t="shared" si="0"/>
        <v>61</v>
      </c>
      <c r="C67" s="31">
        <f t="shared" si="1"/>
        <v>210738.37208747864</v>
      </c>
      <c r="E67" s="90"/>
      <c r="F67" s="90"/>
      <c r="G67" s="51" t="str">
        <f t="shared" si="5"/>
        <v/>
      </c>
      <c r="H67" s="73" t="str">
        <f t="shared" si="4"/>
        <v/>
      </c>
    </row>
    <row r="68" spans="2:8" x14ac:dyDescent="0.25">
      <c r="B68">
        <f t="shared" si="0"/>
        <v>62</v>
      </c>
      <c r="C68" s="31">
        <f t="shared" si="1"/>
        <v>214193.09949874878</v>
      </c>
      <c r="E68" s="90"/>
      <c r="F68" s="90"/>
      <c r="G68" s="51" t="str">
        <f t="shared" si="5"/>
        <v/>
      </c>
      <c r="H68" s="73" t="str">
        <f t="shared" si="4"/>
        <v/>
      </c>
    </row>
    <row r="69" spans="2:8" x14ac:dyDescent="0.25">
      <c r="B69">
        <f t="shared" si="0"/>
        <v>63</v>
      </c>
      <c r="C69" s="31">
        <f t="shared" si="1"/>
        <v>217647.82691001892</v>
      </c>
      <c r="E69" s="90"/>
      <c r="F69" s="90"/>
      <c r="G69" s="51" t="str">
        <f t="shared" si="5"/>
        <v/>
      </c>
      <c r="H69" s="73" t="str">
        <f t="shared" si="4"/>
        <v/>
      </c>
    </row>
    <row r="70" spans="2:8" x14ac:dyDescent="0.25">
      <c r="B70">
        <f t="shared" si="0"/>
        <v>64</v>
      </c>
      <c r="C70" s="31">
        <f t="shared" si="1"/>
        <v>221102.55432128906</v>
      </c>
      <c r="E70" s="90"/>
      <c r="F70" s="90"/>
      <c r="G70" s="51" t="str">
        <f t="shared" si="5"/>
        <v/>
      </c>
      <c r="H70" s="73" t="str">
        <f t="shared" si="4"/>
        <v/>
      </c>
    </row>
    <row r="71" spans="2:8" x14ac:dyDescent="0.25">
      <c r="B71">
        <f t="shared" ref="B71:B134" si="6">IF(ROW()&lt;comau+7,ROW()-6,"")</f>
        <v>65</v>
      </c>
      <c r="C71" s="31">
        <f t="shared" si="1"/>
        <v>224557.2817325592</v>
      </c>
      <c r="E71" s="90"/>
      <c r="F71" s="90"/>
      <c r="G71" s="51" t="str">
        <f t="shared" si="5"/>
        <v/>
      </c>
      <c r="H71" s="73" t="str">
        <f t="shared" si="4"/>
        <v/>
      </c>
    </row>
    <row r="72" spans="2:8" x14ac:dyDescent="0.25">
      <c r="B72">
        <f t="shared" si="6"/>
        <v>66</v>
      </c>
      <c r="C72" s="31">
        <f t="shared" ref="C72:C135" si="7">IF(B72&lt;&gt;"",xuatphat+khoangcach*B71,"")</f>
        <v>228012.00914382935</v>
      </c>
      <c r="E72" s="90"/>
      <c r="F72" s="90"/>
      <c r="G72" s="51" t="str">
        <f t="shared" ref="G72:G135" si="8">IF(F72-E72&lt;&gt;0,E72-F72,"")</f>
        <v/>
      </c>
      <c r="H72" s="73" t="str">
        <f t="shared" ref="H72:H135" si="9">IF(G72&lt;&gt;"",G72/E72,"")</f>
        <v/>
      </c>
    </row>
    <row r="73" spans="2:8" x14ac:dyDescent="0.25">
      <c r="B73">
        <f t="shared" si="6"/>
        <v>67</v>
      </c>
      <c r="C73" s="31">
        <f t="shared" si="7"/>
        <v>231466.73655509949</v>
      </c>
      <c r="E73" s="90"/>
      <c r="F73" s="90"/>
      <c r="G73" s="51" t="str">
        <f t="shared" si="8"/>
        <v/>
      </c>
      <c r="H73" s="73" t="str">
        <f t="shared" si="9"/>
        <v/>
      </c>
    </row>
    <row r="74" spans="2:8" x14ac:dyDescent="0.25">
      <c r="B74">
        <f t="shared" si="6"/>
        <v>68</v>
      </c>
      <c r="C74" s="31">
        <f t="shared" si="7"/>
        <v>234921.46396636963</v>
      </c>
      <c r="E74" s="90"/>
      <c r="F74" s="90"/>
      <c r="G74" s="51" t="str">
        <f t="shared" si="8"/>
        <v/>
      </c>
      <c r="H74" s="73" t="str">
        <f t="shared" si="9"/>
        <v/>
      </c>
    </row>
    <row r="75" spans="2:8" x14ac:dyDescent="0.25">
      <c r="B75">
        <f t="shared" si="6"/>
        <v>69</v>
      </c>
      <c r="C75" s="31">
        <f t="shared" si="7"/>
        <v>238376.19137763977</v>
      </c>
      <c r="E75" s="90"/>
      <c r="F75" s="90"/>
      <c r="G75" s="51" t="str">
        <f t="shared" si="8"/>
        <v/>
      </c>
      <c r="H75" s="73" t="str">
        <f t="shared" si="9"/>
        <v/>
      </c>
    </row>
    <row r="76" spans="2:8" x14ac:dyDescent="0.25">
      <c r="B76">
        <f t="shared" si="6"/>
        <v>70</v>
      </c>
      <c r="C76" s="31">
        <f t="shared" si="7"/>
        <v>241830.91878890991</v>
      </c>
      <c r="E76" s="90"/>
      <c r="F76" s="90"/>
      <c r="G76" s="51" t="str">
        <f t="shared" si="8"/>
        <v/>
      </c>
      <c r="H76" s="73" t="str">
        <f t="shared" si="9"/>
        <v/>
      </c>
    </row>
    <row r="77" spans="2:8" x14ac:dyDescent="0.25">
      <c r="B77">
        <f t="shared" si="6"/>
        <v>71</v>
      </c>
      <c r="C77" s="31">
        <f t="shared" si="7"/>
        <v>245285.64620018005</v>
      </c>
      <c r="E77" s="90"/>
      <c r="F77" s="90"/>
      <c r="G77" s="51" t="str">
        <f t="shared" si="8"/>
        <v/>
      </c>
      <c r="H77" s="73" t="str">
        <f t="shared" si="9"/>
        <v/>
      </c>
    </row>
    <row r="78" spans="2:8" x14ac:dyDescent="0.25">
      <c r="B78">
        <f t="shared" si="6"/>
        <v>72</v>
      </c>
      <c r="C78" s="31">
        <f t="shared" si="7"/>
        <v>248740.3736114502</v>
      </c>
      <c r="E78" s="90"/>
      <c r="F78" s="90"/>
      <c r="G78" s="51" t="str">
        <f t="shared" si="8"/>
        <v/>
      </c>
      <c r="H78" s="73" t="str">
        <f t="shared" si="9"/>
        <v/>
      </c>
    </row>
    <row r="79" spans="2:8" x14ac:dyDescent="0.25">
      <c r="B79">
        <f t="shared" si="6"/>
        <v>73</v>
      </c>
      <c r="C79" s="31">
        <f t="shared" si="7"/>
        <v>252195.10102272034</v>
      </c>
      <c r="E79" s="90"/>
      <c r="F79" s="90"/>
      <c r="G79" s="51" t="str">
        <f t="shared" si="8"/>
        <v/>
      </c>
      <c r="H79" s="73" t="str">
        <f t="shared" si="9"/>
        <v/>
      </c>
    </row>
    <row r="80" spans="2:8" x14ac:dyDescent="0.25">
      <c r="B80">
        <f t="shared" si="6"/>
        <v>74</v>
      </c>
      <c r="C80" s="31">
        <f t="shared" si="7"/>
        <v>255649.82843399048</v>
      </c>
      <c r="E80" s="90"/>
      <c r="F80" s="90"/>
      <c r="G80" s="51" t="str">
        <f t="shared" si="8"/>
        <v/>
      </c>
      <c r="H80" s="73" t="str">
        <f t="shared" si="9"/>
        <v/>
      </c>
    </row>
    <row r="81" spans="2:8" x14ac:dyDescent="0.25">
      <c r="B81">
        <f t="shared" si="6"/>
        <v>75</v>
      </c>
      <c r="C81" s="31">
        <f t="shared" si="7"/>
        <v>259104.55584526062</v>
      </c>
      <c r="E81" s="90"/>
      <c r="F81" s="90"/>
      <c r="G81" s="51" t="str">
        <f t="shared" si="8"/>
        <v/>
      </c>
      <c r="H81" s="73" t="str">
        <f t="shared" si="9"/>
        <v/>
      </c>
    </row>
    <row r="82" spans="2:8" x14ac:dyDescent="0.25">
      <c r="B82">
        <f t="shared" si="6"/>
        <v>76</v>
      </c>
      <c r="C82" s="31">
        <f t="shared" si="7"/>
        <v>262559.28325653076</v>
      </c>
      <c r="E82" s="90"/>
      <c r="F82" s="90"/>
      <c r="G82" s="51" t="str">
        <f t="shared" si="8"/>
        <v/>
      </c>
      <c r="H82" s="73" t="str">
        <f t="shared" si="9"/>
        <v/>
      </c>
    </row>
    <row r="83" spans="2:8" x14ac:dyDescent="0.25">
      <c r="B83">
        <f t="shared" si="6"/>
        <v>77</v>
      </c>
      <c r="C83" s="31">
        <f t="shared" si="7"/>
        <v>266014.0106678009</v>
      </c>
      <c r="E83" s="90"/>
      <c r="F83" s="90"/>
      <c r="G83" s="51" t="str">
        <f t="shared" si="8"/>
        <v/>
      </c>
      <c r="H83" s="73" t="str">
        <f t="shared" si="9"/>
        <v/>
      </c>
    </row>
    <row r="84" spans="2:8" x14ac:dyDescent="0.25">
      <c r="B84">
        <f t="shared" si="6"/>
        <v>78</v>
      </c>
      <c r="C84" s="31">
        <f t="shared" si="7"/>
        <v>269468.73807907104</v>
      </c>
      <c r="E84" s="90"/>
      <c r="F84" s="90"/>
      <c r="G84" s="51" t="str">
        <f t="shared" si="8"/>
        <v/>
      </c>
      <c r="H84" s="73" t="str">
        <f t="shared" si="9"/>
        <v/>
      </c>
    </row>
    <row r="85" spans="2:8" x14ac:dyDescent="0.25">
      <c r="B85">
        <f t="shared" si="6"/>
        <v>79</v>
      </c>
      <c r="C85" s="31">
        <f t="shared" si="7"/>
        <v>272923.46549034119</v>
      </c>
      <c r="E85" s="90"/>
      <c r="F85" s="90"/>
      <c r="G85" s="51" t="str">
        <f t="shared" si="8"/>
        <v/>
      </c>
      <c r="H85" s="73" t="str">
        <f t="shared" si="9"/>
        <v/>
      </c>
    </row>
    <row r="86" spans="2:8" x14ac:dyDescent="0.25">
      <c r="B86">
        <f t="shared" si="6"/>
        <v>80</v>
      </c>
      <c r="C86" s="31">
        <f t="shared" si="7"/>
        <v>276378.19290161133</v>
      </c>
      <c r="E86" s="90"/>
      <c r="F86" s="90"/>
      <c r="G86" s="51" t="str">
        <f t="shared" si="8"/>
        <v/>
      </c>
      <c r="H86" s="73" t="str">
        <f t="shared" si="9"/>
        <v/>
      </c>
    </row>
    <row r="87" spans="2:8" x14ac:dyDescent="0.25">
      <c r="B87">
        <f t="shared" si="6"/>
        <v>81</v>
      </c>
      <c r="C87" s="31">
        <f t="shared" si="7"/>
        <v>279832.92031288147</v>
      </c>
      <c r="E87" s="90"/>
      <c r="F87" s="90"/>
      <c r="G87" s="51" t="str">
        <f t="shared" si="8"/>
        <v/>
      </c>
      <c r="H87" s="73" t="str">
        <f t="shared" si="9"/>
        <v/>
      </c>
    </row>
    <row r="88" spans="2:8" x14ac:dyDescent="0.25">
      <c r="B88">
        <f t="shared" si="6"/>
        <v>82</v>
      </c>
      <c r="C88" s="31">
        <f t="shared" si="7"/>
        <v>283287.64772415161</v>
      </c>
      <c r="E88" s="90"/>
      <c r="F88" s="90"/>
      <c r="G88" s="51" t="str">
        <f t="shared" si="8"/>
        <v/>
      </c>
      <c r="H88" s="73" t="str">
        <f t="shared" si="9"/>
        <v/>
      </c>
    </row>
    <row r="89" spans="2:8" x14ac:dyDescent="0.25">
      <c r="B89">
        <f t="shared" si="6"/>
        <v>83</v>
      </c>
      <c r="C89" s="31">
        <f t="shared" si="7"/>
        <v>286742.37513542175</v>
      </c>
      <c r="E89" s="90"/>
      <c r="F89" s="90"/>
      <c r="G89" s="51" t="str">
        <f t="shared" si="8"/>
        <v/>
      </c>
      <c r="H89" s="73" t="str">
        <f t="shared" si="9"/>
        <v/>
      </c>
    </row>
    <row r="90" spans="2:8" x14ac:dyDescent="0.25">
      <c r="B90">
        <f t="shared" si="6"/>
        <v>84</v>
      </c>
      <c r="C90" s="31">
        <f t="shared" si="7"/>
        <v>290197.10254669189</v>
      </c>
      <c r="E90" s="90"/>
      <c r="F90" s="90"/>
      <c r="G90" s="51" t="str">
        <f t="shared" si="8"/>
        <v/>
      </c>
      <c r="H90" s="73" t="str">
        <f t="shared" si="9"/>
        <v/>
      </c>
    </row>
    <row r="91" spans="2:8" x14ac:dyDescent="0.25">
      <c r="B91">
        <f t="shared" si="6"/>
        <v>85</v>
      </c>
      <c r="C91" s="31">
        <f t="shared" si="7"/>
        <v>293651.82995796204</v>
      </c>
      <c r="E91" s="90"/>
      <c r="F91" s="90"/>
      <c r="G91" s="51" t="str">
        <f t="shared" si="8"/>
        <v/>
      </c>
      <c r="H91" s="73" t="str">
        <f t="shared" si="9"/>
        <v/>
      </c>
    </row>
    <row r="92" spans="2:8" x14ac:dyDescent="0.25">
      <c r="B92">
        <f t="shared" si="6"/>
        <v>86</v>
      </c>
      <c r="C92" s="31">
        <f t="shared" si="7"/>
        <v>297106.55736923218</v>
      </c>
      <c r="E92" s="90"/>
      <c r="F92" s="90"/>
      <c r="G92" s="51" t="str">
        <f t="shared" si="8"/>
        <v/>
      </c>
      <c r="H92" s="73" t="str">
        <f t="shared" si="9"/>
        <v/>
      </c>
    </row>
    <row r="93" spans="2:8" x14ac:dyDescent="0.25">
      <c r="B93">
        <f t="shared" si="6"/>
        <v>87</v>
      </c>
      <c r="C93" s="31">
        <f t="shared" si="7"/>
        <v>300561.28478050232</v>
      </c>
      <c r="E93" s="90"/>
      <c r="F93" s="90"/>
      <c r="G93" s="51" t="str">
        <f t="shared" si="8"/>
        <v/>
      </c>
      <c r="H93" s="73" t="str">
        <f t="shared" si="9"/>
        <v/>
      </c>
    </row>
    <row r="94" spans="2:8" x14ac:dyDescent="0.25">
      <c r="B94">
        <f t="shared" si="6"/>
        <v>88</v>
      </c>
      <c r="C94" s="31">
        <f t="shared" si="7"/>
        <v>304016.01219177246</v>
      </c>
      <c r="E94" s="90"/>
      <c r="F94" s="90"/>
      <c r="G94" s="51" t="str">
        <f t="shared" si="8"/>
        <v/>
      </c>
      <c r="H94" s="73" t="str">
        <f t="shared" si="9"/>
        <v/>
      </c>
    </row>
    <row r="95" spans="2:8" x14ac:dyDescent="0.25">
      <c r="B95">
        <f t="shared" si="6"/>
        <v>89</v>
      </c>
      <c r="C95" s="31">
        <f t="shared" si="7"/>
        <v>307470.7396030426</v>
      </c>
      <c r="E95" s="90"/>
      <c r="F95" s="90"/>
      <c r="G95" s="51" t="str">
        <f t="shared" si="8"/>
        <v/>
      </c>
      <c r="H95" s="73" t="str">
        <f t="shared" si="9"/>
        <v/>
      </c>
    </row>
    <row r="96" spans="2:8" x14ac:dyDescent="0.25">
      <c r="B96">
        <f t="shared" si="6"/>
        <v>90</v>
      </c>
      <c r="C96" s="31">
        <f t="shared" si="7"/>
        <v>310925.46701431274</v>
      </c>
      <c r="E96" s="90"/>
      <c r="F96" s="90"/>
      <c r="G96" s="51" t="str">
        <f t="shared" si="8"/>
        <v/>
      </c>
      <c r="H96" s="73" t="str">
        <f t="shared" si="9"/>
        <v/>
      </c>
    </row>
    <row r="97" spans="2:8" x14ac:dyDescent="0.25">
      <c r="B97">
        <f t="shared" si="6"/>
        <v>91</v>
      </c>
      <c r="C97" s="31">
        <f t="shared" si="7"/>
        <v>314380.19442558289</v>
      </c>
      <c r="E97" s="90"/>
      <c r="F97" s="90"/>
      <c r="G97" s="51" t="str">
        <f t="shared" si="8"/>
        <v/>
      </c>
      <c r="H97" s="73" t="str">
        <f t="shared" si="9"/>
        <v/>
      </c>
    </row>
    <row r="98" spans="2:8" x14ac:dyDescent="0.25">
      <c r="B98">
        <f t="shared" si="6"/>
        <v>92</v>
      </c>
      <c r="C98" s="31">
        <f t="shared" si="7"/>
        <v>317834.92183685303</v>
      </c>
      <c r="E98" s="90"/>
      <c r="F98" s="90"/>
      <c r="G98" s="51" t="str">
        <f t="shared" si="8"/>
        <v/>
      </c>
      <c r="H98" s="73" t="str">
        <f t="shared" si="9"/>
        <v/>
      </c>
    </row>
    <row r="99" spans="2:8" x14ac:dyDescent="0.25">
      <c r="B99">
        <f t="shared" si="6"/>
        <v>93</v>
      </c>
      <c r="C99" s="31">
        <f t="shared" si="7"/>
        <v>321289.64924812317</v>
      </c>
      <c r="E99" s="90"/>
      <c r="F99" s="90"/>
      <c r="G99" s="51" t="str">
        <f t="shared" si="8"/>
        <v/>
      </c>
      <c r="H99" s="73" t="str">
        <f t="shared" si="9"/>
        <v/>
      </c>
    </row>
    <row r="100" spans="2:8" x14ac:dyDescent="0.25">
      <c r="B100">
        <f t="shared" si="6"/>
        <v>94</v>
      </c>
      <c r="C100" s="31">
        <f t="shared" si="7"/>
        <v>324744.37665939331</v>
      </c>
      <c r="E100" s="90"/>
      <c r="F100" s="90"/>
      <c r="G100" s="51" t="str">
        <f t="shared" si="8"/>
        <v/>
      </c>
      <c r="H100" s="73" t="str">
        <f t="shared" si="9"/>
        <v/>
      </c>
    </row>
    <row r="101" spans="2:8" x14ac:dyDescent="0.25">
      <c r="B101">
        <f t="shared" si="6"/>
        <v>95</v>
      </c>
      <c r="C101" s="31">
        <f t="shared" si="7"/>
        <v>328199.10407066345</v>
      </c>
      <c r="E101" s="90"/>
      <c r="F101" s="90"/>
      <c r="G101" s="51" t="str">
        <f t="shared" si="8"/>
        <v/>
      </c>
      <c r="H101" s="73" t="str">
        <f t="shared" si="9"/>
        <v/>
      </c>
    </row>
    <row r="102" spans="2:8" x14ac:dyDescent="0.25">
      <c r="B102">
        <f t="shared" si="6"/>
        <v>96</v>
      </c>
      <c r="C102" s="31">
        <f t="shared" si="7"/>
        <v>331653.83148193359</v>
      </c>
      <c r="E102" s="90"/>
      <c r="F102" s="90"/>
      <c r="G102" s="51" t="str">
        <f t="shared" si="8"/>
        <v/>
      </c>
      <c r="H102" s="73" t="str">
        <f t="shared" si="9"/>
        <v/>
      </c>
    </row>
    <row r="103" spans="2:8" x14ac:dyDescent="0.25">
      <c r="B103">
        <f t="shared" si="6"/>
        <v>97</v>
      </c>
      <c r="C103" s="31">
        <f t="shared" si="7"/>
        <v>335108.55889320374</v>
      </c>
      <c r="E103" s="90"/>
      <c r="F103" s="90"/>
      <c r="G103" s="51" t="str">
        <f t="shared" si="8"/>
        <v/>
      </c>
      <c r="H103" s="73" t="str">
        <f t="shared" si="9"/>
        <v/>
      </c>
    </row>
    <row r="104" spans="2:8" x14ac:dyDescent="0.25">
      <c r="B104">
        <f t="shared" si="6"/>
        <v>98</v>
      </c>
      <c r="C104" s="31">
        <f t="shared" si="7"/>
        <v>338563.28630447388</v>
      </c>
      <c r="E104" s="90"/>
      <c r="F104" s="90"/>
      <c r="G104" s="51" t="str">
        <f t="shared" si="8"/>
        <v/>
      </c>
      <c r="H104" s="73" t="str">
        <f t="shared" si="9"/>
        <v/>
      </c>
    </row>
    <row r="105" spans="2:8" x14ac:dyDescent="0.25">
      <c r="B105">
        <f t="shared" si="6"/>
        <v>99</v>
      </c>
      <c r="C105" s="31">
        <f t="shared" si="7"/>
        <v>342018.01371574402</v>
      </c>
      <c r="E105" s="90"/>
      <c r="F105" s="90"/>
      <c r="G105" s="51" t="str">
        <f t="shared" si="8"/>
        <v/>
      </c>
      <c r="H105" s="73" t="str">
        <f t="shared" si="9"/>
        <v/>
      </c>
    </row>
    <row r="106" spans="2:8" x14ac:dyDescent="0.25">
      <c r="B106">
        <f t="shared" si="6"/>
        <v>100</v>
      </c>
      <c r="C106" s="31">
        <f t="shared" si="7"/>
        <v>345472.74112701416</v>
      </c>
      <c r="E106" s="90"/>
      <c r="F106" s="90"/>
      <c r="G106" s="51" t="str">
        <f t="shared" si="8"/>
        <v/>
      </c>
      <c r="H106" s="73" t="str">
        <f t="shared" si="9"/>
        <v/>
      </c>
    </row>
    <row r="107" spans="2:8" x14ac:dyDescent="0.25">
      <c r="B107" t="str">
        <f t="shared" si="6"/>
        <v/>
      </c>
      <c r="C107" s="31" t="str">
        <f t="shared" si="7"/>
        <v/>
      </c>
      <c r="E107" s="90"/>
      <c r="F107" s="90"/>
      <c r="G107" s="51" t="str">
        <f t="shared" si="8"/>
        <v/>
      </c>
      <c r="H107" s="73" t="str">
        <f t="shared" si="9"/>
        <v/>
      </c>
    </row>
    <row r="108" spans="2:8" x14ac:dyDescent="0.25">
      <c r="B108" t="str">
        <f t="shared" si="6"/>
        <v/>
      </c>
      <c r="C108" s="31" t="str">
        <f t="shared" si="7"/>
        <v/>
      </c>
      <c r="E108" s="90"/>
      <c r="F108" s="90"/>
      <c r="G108" s="51" t="str">
        <f t="shared" si="8"/>
        <v/>
      </c>
      <c r="H108" s="73" t="str">
        <f t="shared" si="9"/>
        <v/>
      </c>
    </row>
    <row r="109" spans="2:8" x14ac:dyDescent="0.25">
      <c r="B109" t="str">
        <f t="shared" si="6"/>
        <v/>
      </c>
      <c r="C109" s="31" t="str">
        <f t="shared" si="7"/>
        <v/>
      </c>
      <c r="E109" s="90"/>
      <c r="F109" s="90"/>
      <c r="G109" s="51" t="str">
        <f t="shared" si="8"/>
        <v/>
      </c>
      <c r="H109" s="73" t="str">
        <f t="shared" si="9"/>
        <v/>
      </c>
    </row>
    <row r="110" spans="2:8" x14ac:dyDescent="0.25">
      <c r="B110" t="str">
        <f t="shared" si="6"/>
        <v/>
      </c>
      <c r="C110" s="31" t="str">
        <f t="shared" si="7"/>
        <v/>
      </c>
      <c r="E110" s="90"/>
      <c r="F110" s="90"/>
      <c r="G110" s="51" t="str">
        <f t="shared" si="8"/>
        <v/>
      </c>
      <c r="H110" s="73" t="str">
        <f t="shared" si="9"/>
        <v/>
      </c>
    </row>
    <row r="111" spans="2:8" x14ac:dyDescent="0.25">
      <c r="B111" t="str">
        <f t="shared" si="6"/>
        <v/>
      </c>
      <c r="C111" s="31" t="str">
        <f t="shared" si="7"/>
        <v/>
      </c>
      <c r="E111" s="90"/>
      <c r="F111" s="90"/>
      <c r="G111" s="51" t="str">
        <f t="shared" si="8"/>
        <v/>
      </c>
      <c r="H111" s="73" t="str">
        <f t="shared" si="9"/>
        <v/>
      </c>
    </row>
    <row r="112" spans="2:8" x14ac:dyDescent="0.25">
      <c r="B112" t="str">
        <f t="shared" si="6"/>
        <v/>
      </c>
      <c r="C112" s="31" t="str">
        <f t="shared" si="7"/>
        <v/>
      </c>
      <c r="E112" s="90"/>
      <c r="F112" s="90"/>
      <c r="G112" s="51" t="str">
        <f t="shared" si="8"/>
        <v/>
      </c>
      <c r="H112" s="73" t="str">
        <f t="shared" si="9"/>
        <v/>
      </c>
    </row>
    <row r="113" spans="2:8" x14ac:dyDescent="0.25">
      <c r="B113" t="str">
        <f t="shared" si="6"/>
        <v/>
      </c>
      <c r="C113" s="31" t="str">
        <f t="shared" si="7"/>
        <v/>
      </c>
      <c r="E113" s="90"/>
      <c r="F113" s="90"/>
      <c r="G113" s="51" t="str">
        <f t="shared" si="8"/>
        <v/>
      </c>
      <c r="H113" s="73" t="str">
        <f t="shared" si="9"/>
        <v/>
      </c>
    </row>
    <row r="114" spans="2:8" x14ac:dyDescent="0.25">
      <c r="B114" t="str">
        <f t="shared" si="6"/>
        <v/>
      </c>
      <c r="C114" s="31" t="str">
        <f t="shared" si="7"/>
        <v/>
      </c>
      <c r="E114" s="90"/>
      <c r="F114" s="90"/>
      <c r="G114" s="51" t="str">
        <f t="shared" si="8"/>
        <v/>
      </c>
      <c r="H114" s="73" t="str">
        <f t="shared" si="9"/>
        <v/>
      </c>
    </row>
    <row r="115" spans="2:8" x14ac:dyDescent="0.25">
      <c r="B115" t="str">
        <f t="shared" si="6"/>
        <v/>
      </c>
      <c r="C115" s="31" t="str">
        <f t="shared" si="7"/>
        <v/>
      </c>
      <c r="E115" s="90"/>
      <c r="F115" s="90"/>
      <c r="G115" s="51" t="str">
        <f t="shared" si="8"/>
        <v/>
      </c>
      <c r="H115" s="73" t="str">
        <f t="shared" si="9"/>
        <v/>
      </c>
    </row>
    <row r="116" spans="2:8" x14ac:dyDescent="0.25">
      <c r="B116" t="str">
        <f t="shared" si="6"/>
        <v/>
      </c>
      <c r="C116" s="31" t="str">
        <f t="shared" si="7"/>
        <v/>
      </c>
      <c r="E116" s="90"/>
      <c r="F116" s="90"/>
      <c r="G116" s="51" t="str">
        <f t="shared" si="8"/>
        <v/>
      </c>
      <c r="H116" s="73" t="str">
        <f t="shared" si="9"/>
        <v/>
      </c>
    </row>
    <row r="117" spans="2:8" x14ac:dyDescent="0.25">
      <c r="B117" t="str">
        <f t="shared" si="6"/>
        <v/>
      </c>
      <c r="C117" s="31" t="str">
        <f t="shared" si="7"/>
        <v/>
      </c>
      <c r="E117" s="90"/>
      <c r="F117" s="90"/>
      <c r="G117" s="51" t="str">
        <f t="shared" si="8"/>
        <v/>
      </c>
      <c r="H117" s="73" t="str">
        <f t="shared" si="9"/>
        <v/>
      </c>
    </row>
    <row r="118" spans="2:8" x14ac:dyDescent="0.25">
      <c r="B118" t="str">
        <f t="shared" si="6"/>
        <v/>
      </c>
      <c r="C118" s="31" t="str">
        <f t="shared" si="7"/>
        <v/>
      </c>
      <c r="E118" s="90"/>
      <c r="F118" s="90"/>
      <c r="G118" s="51" t="str">
        <f t="shared" si="8"/>
        <v/>
      </c>
      <c r="H118" s="73" t="str">
        <f t="shared" si="9"/>
        <v/>
      </c>
    </row>
    <row r="119" spans="2:8" x14ac:dyDescent="0.25">
      <c r="B119" t="str">
        <f t="shared" si="6"/>
        <v/>
      </c>
      <c r="C119" s="31" t="str">
        <f t="shared" si="7"/>
        <v/>
      </c>
      <c r="E119" s="90"/>
      <c r="F119" s="90"/>
      <c r="G119" s="51" t="str">
        <f t="shared" si="8"/>
        <v/>
      </c>
      <c r="H119" s="73" t="str">
        <f t="shared" si="9"/>
        <v/>
      </c>
    </row>
    <row r="120" spans="2:8" x14ac:dyDescent="0.25">
      <c r="B120" t="str">
        <f t="shared" si="6"/>
        <v/>
      </c>
      <c r="C120" s="31" t="str">
        <f t="shared" si="7"/>
        <v/>
      </c>
      <c r="E120" s="90"/>
      <c r="F120" s="90"/>
      <c r="G120" s="51" t="str">
        <f t="shared" si="8"/>
        <v/>
      </c>
      <c r="H120" s="73" t="str">
        <f t="shared" si="9"/>
        <v/>
      </c>
    </row>
    <row r="121" spans="2:8" x14ac:dyDescent="0.25">
      <c r="B121" t="str">
        <f t="shared" si="6"/>
        <v/>
      </c>
      <c r="C121" s="31" t="str">
        <f t="shared" si="7"/>
        <v/>
      </c>
      <c r="E121" s="90"/>
      <c r="F121" s="90"/>
      <c r="G121" s="51" t="str">
        <f t="shared" si="8"/>
        <v/>
      </c>
      <c r="H121" s="73" t="str">
        <f t="shared" si="9"/>
        <v/>
      </c>
    </row>
    <row r="122" spans="2:8" x14ac:dyDescent="0.25">
      <c r="B122" t="str">
        <f t="shared" si="6"/>
        <v/>
      </c>
      <c r="C122" s="31" t="str">
        <f t="shared" si="7"/>
        <v/>
      </c>
      <c r="E122" s="90"/>
      <c r="F122" s="90"/>
      <c r="G122" s="51" t="str">
        <f t="shared" si="8"/>
        <v/>
      </c>
      <c r="H122" s="73" t="str">
        <f t="shared" si="9"/>
        <v/>
      </c>
    </row>
    <row r="123" spans="2:8" x14ac:dyDescent="0.25">
      <c r="B123" t="str">
        <f t="shared" si="6"/>
        <v/>
      </c>
      <c r="C123" s="31" t="str">
        <f t="shared" si="7"/>
        <v/>
      </c>
      <c r="E123" s="90"/>
      <c r="F123" s="90"/>
      <c r="G123" s="51" t="str">
        <f t="shared" si="8"/>
        <v/>
      </c>
      <c r="H123" s="73" t="str">
        <f t="shared" si="9"/>
        <v/>
      </c>
    </row>
    <row r="124" spans="2:8" x14ac:dyDescent="0.25">
      <c r="B124" t="str">
        <f t="shared" si="6"/>
        <v/>
      </c>
      <c r="C124" s="31" t="str">
        <f t="shared" si="7"/>
        <v/>
      </c>
      <c r="E124" s="90"/>
      <c r="F124" s="90"/>
      <c r="G124" s="51" t="str">
        <f t="shared" si="8"/>
        <v/>
      </c>
      <c r="H124" s="73" t="str">
        <f t="shared" si="9"/>
        <v/>
      </c>
    </row>
    <row r="125" spans="2:8" x14ac:dyDescent="0.25">
      <c r="B125" t="str">
        <f t="shared" si="6"/>
        <v/>
      </c>
      <c r="C125" s="31" t="str">
        <f t="shared" si="7"/>
        <v/>
      </c>
      <c r="E125" s="90"/>
      <c r="F125" s="90"/>
      <c r="G125" s="51" t="str">
        <f t="shared" si="8"/>
        <v/>
      </c>
      <c r="H125" s="73" t="str">
        <f t="shared" si="9"/>
        <v/>
      </c>
    </row>
    <row r="126" spans="2:8" x14ac:dyDescent="0.25">
      <c r="B126" t="str">
        <f t="shared" si="6"/>
        <v/>
      </c>
      <c r="C126" s="31" t="str">
        <f t="shared" si="7"/>
        <v/>
      </c>
      <c r="E126" s="90"/>
      <c r="F126" s="90"/>
      <c r="G126" s="51" t="str">
        <f t="shared" si="8"/>
        <v/>
      </c>
      <c r="H126" s="73" t="str">
        <f t="shared" si="9"/>
        <v/>
      </c>
    </row>
    <row r="127" spans="2:8" x14ac:dyDescent="0.25">
      <c r="B127" t="str">
        <f t="shared" si="6"/>
        <v/>
      </c>
      <c r="C127" s="31" t="str">
        <f t="shared" si="7"/>
        <v/>
      </c>
      <c r="E127" s="90"/>
      <c r="F127" s="90"/>
      <c r="G127" s="51" t="str">
        <f t="shared" si="8"/>
        <v/>
      </c>
      <c r="H127" s="73" t="str">
        <f t="shared" si="9"/>
        <v/>
      </c>
    </row>
    <row r="128" spans="2:8" x14ac:dyDescent="0.25">
      <c r="B128" t="str">
        <f t="shared" si="6"/>
        <v/>
      </c>
      <c r="C128" s="31" t="str">
        <f t="shared" si="7"/>
        <v/>
      </c>
      <c r="E128" s="90"/>
      <c r="F128" s="90"/>
      <c r="G128" s="51" t="str">
        <f t="shared" si="8"/>
        <v/>
      </c>
      <c r="H128" s="73" t="str">
        <f t="shared" si="9"/>
        <v/>
      </c>
    </row>
    <row r="129" spans="2:8" x14ac:dyDescent="0.25">
      <c r="B129" t="str">
        <f t="shared" si="6"/>
        <v/>
      </c>
      <c r="C129" s="31" t="str">
        <f t="shared" si="7"/>
        <v/>
      </c>
      <c r="E129" s="90"/>
      <c r="F129" s="90"/>
      <c r="G129" s="51" t="str">
        <f t="shared" si="8"/>
        <v/>
      </c>
      <c r="H129" s="73" t="str">
        <f t="shared" si="9"/>
        <v/>
      </c>
    </row>
    <row r="130" spans="2:8" x14ac:dyDescent="0.25">
      <c r="B130" t="str">
        <f t="shared" si="6"/>
        <v/>
      </c>
      <c r="C130" s="31" t="str">
        <f t="shared" si="7"/>
        <v/>
      </c>
      <c r="E130" s="90"/>
      <c r="F130" s="90"/>
      <c r="G130" s="51" t="str">
        <f t="shared" si="8"/>
        <v/>
      </c>
      <c r="H130" s="73" t="str">
        <f t="shared" si="9"/>
        <v/>
      </c>
    </row>
    <row r="131" spans="2:8" x14ac:dyDescent="0.25">
      <c r="B131" t="str">
        <f t="shared" si="6"/>
        <v/>
      </c>
      <c r="C131" s="31" t="str">
        <f t="shared" si="7"/>
        <v/>
      </c>
      <c r="E131" s="90"/>
      <c r="F131" s="90"/>
      <c r="G131" s="51" t="str">
        <f t="shared" si="8"/>
        <v/>
      </c>
      <c r="H131" s="73" t="str">
        <f t="shared" si="9"/>
        <v/>
      </c>
    </row>
    <row r="132" spans="2:8" x14ac:dyDescent="0.25">
      <c r="B132" t="str">
        <f t="shared" si="6"/>
        <v/>
      </c>
      <c r="C132" s="31" t="str">
        <f t="shared" si="7"/>
        <v/>
      </c>
      <c r="E132" s="90"/>
      <c r="F132" s="90"/>
      <c r="G132" s="51" t="str">
        <f t="shared" si="8"/>
        <v/>
      </c>
      <c r="H132" s="73" t="str">
        <f t="shared" si="9"/>
        <v/>
      </c>
    </row>
    <row r="133" spans="2:8" x14ac:dyDescent="0.25">
      <c r="B133" t="str">
        <f t="shared" si="6"/>
        <v/>
      </c>
      <c r="C133" s="31" t="str">
        <f t="shared" si="7"/>
        <v/>
      </c>
      <c r="E133" s="90"/>
      <c r="F133" s="90"/>
      <c r="G133" s="51" t="str">
        <f t="shared" si="8"/>
        <v/>
      </c>
      <c r="H133" s="73" t="str">
        <f t="shared" si="9"/>
        <v/>
      </c>
    </row>
    <row r="134" spans="2:8" x14ac:dyDescent="0.25">
      <c r="B134" t="str">
        <f t="shared" si="6"/>
        <v/>
      </c>
      <c r="C134" s="31" t="str">
        <f t="shared" si="7"/>
        <v/>
      </c>
      <c r="E134" s="90"/>
      <c r="F134" s="90"/>
      <c r="G134" s="51" t="str">
        <f t="shared" si="8"/>
        <v/>
      </c>
      <c r="H134" s="73" t="str">
        <f t="shared" si="9"/>
        <v/>
      </c>
    </row>
    <row r="135" spans="2:8" x14ac:dyDescent="0.25">
      <c r="B135" t="str">
        <f t="shared" ref="B135:B198" si="10">IF(ROW()&lt;comau+7,ROW()-6,"")</f>
        <v/>
      </c>
      <c r="C135" s="31" t="str">
        <f t="shared" si="7"/>
        <v/>
      </c>
      <c r="E135" s="90"/>
      <c r="F135" s="90"/>
      <c r="G135" s="51" t="str">
        <f t="shared" si="8"/>
        <v/>
      </c>
      <c r="H135" s="73" t="str">
        <f t="shared" si="9"/>
        <v/>
      </c>
    </row>
    <row r="136" spans="2:8" x14ac:dyDescent="0.25">
      <c r="B136" t="str">
        <f t="shared" si="10"/>
        <v/>
      </c>
      <c r="C136" s="31" t="str">
        <f t="shared" ref="C136:C199" si="11">IF(B136&lt;&gt;"",xuatphat+khoangcach*B135,"")</f>
        <v/>
      </c>
      <c r="E136" s="90"/>
      <c r="F136" s="90"/>
      <c r="G136" s="51" t="str">
        <f t="shared" ref="G136:G199" si="12">IF(F136-E136&lt;&gt;0,E136-F136,"")</f>
        <v/>
      </c>
      <c r="H136" s="73" t="str">
        <f t="shared" ref="H136:H199" si="13">IF(G136&lt;&gt;"",G136/E136,"")</f>
        <v/>
      </c>
    </row>
    <row r="137" spans="2:8" x14ac:dyDescent="0.25">
      <c r="B137" t="str">
        <f t="shared" si="10"/>
        <v/>
      </c>
      <c r="C137" s="31" t="str">
        <f t="shared" si="11"/>
        <v/>
      </c>
      <c r="E137" s="90"/>
      <c r="F137" s="90"/>
      <c r="G137" s="51" t="str">
        <f t="shared" si="12"/>
        <v/>
      </c>
      <c r="H137" s="73" t="str">
        <f t="shared" si="13"/>
        <v/>
      </c>
    </row>
    <row r="138" spans="2:8" x14ac:dyDescent="0.25">
      <c r="B138" t="str">
        <f t="shared" si="10"/>
        <v/>
      </c>
      <c r="C138" s="31" t="str">
        <f t="shared" si="11"/>
        <v/>
      </c>
      <c r="E138" s="90"/>
      <c r="F138" s="90"/>
      <c r="G138" s="51" t="str">
        <f t="shared" si="12"/>
        <v/>
      </c>
      <c r="H138" s="73" t="str">
        <f t="shared" si="13"/>
        <v/>
      </c>
    </row>
    <row r="139" spans="2:8" x14ac:dyDescent="0.25">
      <c r="B139" t="str">
        <f t="shared" si="10"/>
        <v/>
      </c>
      <c r="C139" s="31" t="str">
        <f t="shared" si="11"/>
        <v/>
      </c>
      <c r="E139" s="90"/>
      <c r="F139" s="90"/>
      <c r="G139" s="51" t="str">
        <f t="shared" si="12"/>
        <v/>
      </c>
      <c r="H139" s="73" t="str">
        <f t="shared" si="13"/>
        <v/>
      </c>
    </row>
    <row r="140" spans="2:8" x14ac:dyDescent="0.25">
      <c r="B140" t="str">
        <f t="shared" si="10"/>
        <v/>
      </c>
      <c r="C140" s="31" t="str">
        <f t="shared" si="11"/>
        <v/>
      </c>
      <c r="E140" s="90"/>
      <c r="F140" s="90"/>
      <c r="G140" s="51" t="str">
        <f t="shared" si="12"/>
        <v/>
      </c>
      <c r="H140" s="73" t="str">
        <f t="shared" si="13"/>
        <v/>
      </c>
    </row>
    <row r="141" spans="2:8" x14ac:dyDescent="0.25">
      <c r="B141" t="str">
        <f t="shared" si="10"/>
        <v/>
      </c>
      <c r="C141" s="31" t="str">
        <f t="shared" si="11"/>
        <v/>
      </c>
      <c r="E141" s="90"/>
      <c r="F141" s="90"/>
      <c r="G141" s="51" t="str">
        <f t="shared" si="12"/>
        <v/>
      </c>
      <c r="H141" s="73" t="str">
        <f t="shared" si="13"/>
        <v/>
      </c>
    </row>
    <row r="142" spans="2:8" x14ac:dyDescent="0.25">
      <c r="B142" t="str">
        <f t="shared" si="10"/>
        <v/>
      </c>
      <c r="C142" s="31" t="str">
        <f t="shared" si="11"/>
        <v/>
      </c>
      <c r="E142" s="90"/>
      <c r="F142" s="90"/>
      <c r="G142" s="51" t="str">
        <f t="shared" si="12"/>
        <v/>
      </c>
      <c r="H142" s="73" t="str">
        <f t="shared" si="13"/>
        <v/>
      </c>
    </row>
    <row r="143" spans="2:8" x14ac:dyDescent="0.25">
      <c r="B143" t="str">
        <f t="shared" si="10"/>
        <v/>
      </c>
      <c r="C143" s="31" t="str">
        <f t="shared" si="11"/>
        <v/>
      </c>
      <c r="E143" s="90"/>
      <c r="F143" s="90"/>
      <c r="G143" s="51" t="str">
        <f t="shared" si="12"/>
        <v/>
      </c>
      <c r="H143" s="73" t="str">
        <f t="shared" si="13"/>
        <v/>
      </c>
    </row>
    <row r="144" spans="2:8" x14ac:dyDescent="0.25">
      <c r="B144" t="str">
        <f t="shared" si="10"/>
        <v/>
      </c>
      <c r="C144" s="31" t="str">
        <f t="shared" si="11"/>
        <v/>
      </c>
      <c r="E144" s="90"/>
      <c r="F144" s="90"/>
      <c r="G144" s="51" t="str">
        <f t="shared" si="12"/>
        <v/>
      </c>
      <c r="H144" s="73" t="str">
        <f t="shared" si="13"/>
        <v/>
      </c>
    </row>
    <row r="145" spans="2:8" x14ac:dyDescent="0.25">
      <c r="B145" t="str">
        <f t="shared" si="10"/>
        <v/>
      </c>
      <c r="C145" s="31" t="str">
        <f t="shared" si="11"/>
        <v/>
      </c>
      <c r="E145" s="90"/>
      <c r="F145" s="90"/>
      <c r="G145" s="51" t="str">
        <f t="shared" si="12"/>
        <v/>
      </c>
      <c r="H145" s="73" t="str">
        <f t="shared" si="13"/>
        <v/>
      </c>
    </row>
    <row r="146" spans="2:8" x14ac:dyDescent="0.25">
      <c r="B146" t="str">
        <f t="shared" si="10"/>
        <v/>
      </c>
      <c r="C146" s="31" t="str">
        <f t="shared" si="11"/>
        <v/>
      </c>
      <c r="E146" s="90"/>
      <c r="F146" s="90"/>
      <c r="G146" s="51" t="str">
        <f t="shared" si="12"/>
        <v/>
      </c>
      <c r="H146" s="73" t="str">
        <f t="shared" si="13"/>
        <v/>
      </c>
    </row>
    <row r="147" spans="2:8" x14ac:dyDescent="0.25">
      <c r="B147" t="str">
        <f t="shared" si="10"/>
        <v/>
      </c>
      <c r="C147" s="31" t="str">
        <f t="shared" si="11"/>
        <v/>
      </c>
      <c r="E147" s="90"/>
      <c r="F147" s="90"/>
      <c r="G147" s="51" t="str">
        <f t="shared" si="12"/>
        <v/>
      </c>
      <c r="H147" s="73" t="str">
        <f t="shared" si="13"/>
        <v/>
      </c>
    </row>
    <row r="148" spans="2:8" x14ac:dyDescent="0.25">
      <c r="B148" t="str">
        <f t="shared" si="10"/>
        <v/>
      </c>
      <c r="C148" s="31" t="str">
        <f t="shared" si="11"/>
        <v/>
      </c>
      <c r="E148" s="90"/>
      <c r="F148" s="90"/>
      <c r="G148" s="51" t="str">
        <f t="shared" si="12"/>
        <v/>
      </c>
      <c r="H148" s="73" t="str">
        <f t="shared" si="13"/>
        <v/>
      </c>
    </row>
    <row r="149" spans="2:8" x14ac:dyDescent="0.25">
      <c r="B149" t="str">
        <f t="shared" si="10"/>
        <v/>
      </c>
      <c r="C149" s="31" t="str">
        <f t="shared" si="11"/>
        <v/>
      </c>
      <c r="E149" s="90"/>
      <c r="F149" s="90"/>
      <c r="G149" s="51" t="str">
        <f t="shared" si="12"/>
        <v/>
      </c>
      <c r="H149" s="73" t="str">
        <f t="shared" si="13"/>
        <v/>
      </c>
    </row>
    <row r="150" spans="2:8" x14ac:dyDescent="0.25">
      <c r="B150" t="str">
        <f t="shared" si="10"/>
        <v/>
      </c>
      <c r="C150" s="31" t="str">
        <f t="shared" si="11"/>
        <v/>
      </c>
      <c r="E150" s="90"/>
      <c r="F150" s="90"/>
      <c r="G150" s="51" t="str">
        <f t="shared" si="12"/>
        <v/>
      </c>
      <c r="H150" s="73" t="str">
        <f t="shared" si="13"/>
        <v/>
      </c>
    </row>
    <row r="151" spans="2:8" x14ac:dyDescent="0.25">
      <c r="B151" t="str">
        <f t="shared" si="10"/>
        <v/>
      </c>
      <c r="C151" s="31" t="str">
        <f t="shared" si="11"/>
        <v/>
      </c>
      <c r="E151" s="90"/>
      <c r="F151" s="90"/>
      <c r="G151" s="51" t="str">
        <f t="shared" si="12"/>
        <v/>
      </c>
      <c r="H151" s="73" t="str">
        <f t="shared" si="13"/>
        <v/>
      </c>
    </row>
    <row r="152" spans="2:8" x14ac:dyDescent="0.25">
      <c r="B152" t="str">
        <f t="shared" si="10"/>
        <v/>
      </c>
      <c r="C152" s="31" t="str">
        <f t="shared" si="11"/>
        <v/>
      </c>
      <c r="E152" s="90"/>
      <c r="F152" s="90"/>
      <c r="G152" s="51" t="str">
        <f t="shared" si="12"/>
        <v/>
      </c>
      <c r="H152" s="73" t="str">
        <f t="shared" si="13"/>
        <v/>
      </c>
    </row>
    <row r="153" spans="2:8" x14ac:dyDescent="0.25">
      <c r="B153" t="str">
        <f t="shared" si="10"/>
        <v/>
      </c>
      <c r="C153" s="31" t="str">
        <f t="shared" si="11"/>
        <v/>
      </c>
      <c r="E153" s="90"/>
      <c r="F153" s="90"/>
      <c r="G153" s="51" t="str">
        <f t="shared" si="12"/>
        <v/>
      </c>
      <c r="H153" s="73" t="str">
        <f t="shared" si="13"/>
        <v/>
      </c>
    </row>
    <row r="154" spans="2:8" x14ac:dyDescent="0.25">
      <c r="B154" t="str">
        <f t="shared" si="10"/>
        <v/>
      </c>
      <c r="C154" s="31" t="str">
        <f t="shared" si="11"/>
        <v/>
      </c>
      <c r="E154" s="90"/>
      <c r="F154" s="90"/>
      <c r="G154" s="51" t="str">
        <f t="shared" si="12"/>
        <v/>
      </c>
      <c r="H154" s="73" t="str">
        <f t="shared" si="13"/>
        <v/>
      </c>
    </row>
    <row r="155" spans="2:8" x14ac:dyDescent="0.25">
      <c r="B155" t="str">
        <f t="shared" si="10"/>
        <v/>
      </c>
      <c r="C155" s="31" t="str">
        <f t="shared" si="11"/>
        <v/>
      </c>
      <c r="E155" s="90"/>
      <c r="F155" s="90"/>
      <c r="G155" s="51" t="str">
        <f t="shared" si="12"/>
        <v/>
      </c>
      <c r="H155" s="73" t="str">
        <f t="shared" si="13"/>
        <v/>
      </c>
    </row>
    <row r="156" spans="2:8" x14ac:dyDescent="0.25">
      <c r="B156" t="str">
        <f t="shared" si="10"/>
        <v/>
      </c>
      <c r="C156" s="31" t="str">
        <f t="shared" si="11"/>
        <v/>
      </c>
      <c r="E156" s="90"/>
      <c r="F156" s="90"/>
      <c r="G156" s="51" t="str">
        <f t="shared" si="12"/>
        <v/>
      </c>
      <c r="H156" s="73" t="str">
        <f t="shared" si="13"/>
        <v/>
      </c>
    </row>
    <row r="157" spans="2:8" x14ac:dyDescent="0.25">
      <c r="B157" t="str">
        <f t="shared" si="10"/>
        <v/>
      </c>
      <c r="C157" s="31" t="str">
        <f t="shared" si="11"/>
        <v/>
      </c>
      <c r="E157" s="90"/>
      <c r="F157" s="90"/>
      <c r="G157" s="51" t="str">
        <f t="shared" si="12"/>
        <v/>
      </c>
      <c r="H157" s="73" t="str">
        <f t="shared" si="13"/>
        <v/>
      </c>
    </row>
    <row r="158" spans="2:8" x14ac:dyDescent="0.25">
      <c r="B158" t="str">
        <f t="shared" si="10"/>
        <v/>
      </c>
      <c r="C158" s="31" t="str">
        <f t="shared" si="11"/>
        <v/>
      </c>
      <c r="E158" s="90"/>
      <c r="F158" s="90"/>
      <c r="G158" s="51" t="str">
        <f t="shared" si="12"/>
        <v/>
      </c>
      <c r="H158" s="73" t="str">
        <f t="shared" si="13"/>
        <v/>
      </c>
    </row>
    <row r="159" spans="2:8" x14ac:dyDescent="0.25">
      <c r="B159" t="str">
        <f t="shared" si="10"/>
        <v/>
      </c>
      <c r="C159" s="31" t="str">
        <f t="shared" si="11"/>
        <v/>
      </c>
      <c r="E159" s="90"/>
      <c r="F159" s="90"/>
      <c r="G159" s="51" t="str">
        <f t="shared" si="12"/>
        <v/>
      </c>
      <c r="H159" s="73" t="str">
        <f t="shared" si="13"/>
        <v/>
      </c>
    </row>
    <row r="160" spans="2:8" x14ac:dyDescent="0.25">
      <c r="B160" t="str">
        <f t="shared" si="10"/>
        <v/>
      </c>
      <c r="C160" s="31" t="str">
        <f t="shared" si="11"/>
        <v/>
      </c>
      <c r="E160" s="90"/>
      <c r="F160" s="90"/>
      <c r="G160" s="51" t="str">
        <f t="shared" si="12"/>
        <v/>
      </c>
      <c r="H160" s="73" t="str">
        <f t="shared" si="13"/>
        <v/>
      </c>
    </row>
    <row r="161" spans="2:8" x14ac:dyDescent="0.25">
      <c r="B161" t="str">
        <f t="shared" si="10"/>
        <v/>
      </c>
      <c r="C161" s="31" t="str">
        <f t="shared" si="11"/>
        <v/>
      </c>
      <c r="E161" s="90"/>
      <c r="F161" s="90"/>
      <c r="G161" s="51" t="str">
        <f t="shared" si="12"/>
        <v/>
      </c>
      <c r="H161" s="73" t="str">
        <f t="shared" si="13"/>
        <v/>
      </c>
    </row>
    <row r="162" spans="2:8" x14ac:dyDescent="0.25">
      <c r="B162" t="str">
        <f t="shared" si="10"/>
        <v/>
      </c>
      <c r="C162" s="31" t="str">
        <f t="shared" si="11"/>
        <v/>
      </c>
      <c r="E162" s="90"/>
      <c r="F162" s="90"/>
      <c r="G162" s="51" t="str">
        <f t="shared" si="12"/>
        <v/>
      </c>
      <c r="H162" s="73" t="str">
        <f t="shared" si="13"/>
        <v/>
      </c>
    </row>
    <row r="163" spans="2:8" x14ac:dyDescent="0.25">
      <c r="B163" t="str">
        <f t="shared" si="10"/>
        <v/>
      </c>
      <c r="C163" s="31" t="str">
        <f t="shared" si="11"/>
        <v/>
      </c>
      <c r="E163" s="90"/>
      <c r="F163" s="90"/>
      <c r="G163" s="51" t="str">
        <f t="shared" si="12"/>
        <v/>
      </c>
      <c r="H163" s="73" t="str">
        <f t="shared" si="13"/>
        <v/>
      </c>
    </row>
    <row r="164" spans="2:8" x14ac:dyDescent="0.25">
      <c r="B164" t="str">
        <f t="shared" si="10"/>
        <v/>
      </c>
      <c r="C164" s="31" t="str">
        <f t="shared" si="11"/>
        <v/>
      </c>
      <c r="E164" s="90"/>
      <c r="F164" s="90"/>
      <c r="G164" s="51" t="str">
        <f t="shared" si="12"/>
        <v/>
      </c>
      <c r="H164" s="73" t="str">
        <f t="shared" si="13"/>
        <v/>
      </c>
    </row>
    <row r="165" spans="2:8" x14ac:dyDescent="0.25">
      <c r="B165" t="str">
        <f t="shared" si="10"/>
        <v/>
      </c>
      <c r="C165" s="31" t="str">
        <f t="shared" si="11"/>
        <v/>
      </c>
      <c r="E165" s="90"/>
      <c r="F165" s="90"/>
      <c r="G165" s="51" t="str">
        <f t="shared" si="12"/>
        <v/>
      </c>
      <c r="H165" s="73" t="str">
        <f t="shared" si="13"/>
        <v/>
      </c>
    </row>
    <row r="166" spans="2:8" x14ac:dyDescent="0.25">
      <c r="B166" t="str">
        <f t="shared" si="10"/>
        <v/>
      </c>
      <c r="C166" s="31" t="str">
        <f t="shared" si="11"/>
        <v/>
      </c>
      <c r="E166" s="90"/>
      <c r="F166" s="90"/>
      <c r="G166" s="51" t="str">
        <f t="shared" si="12"/>
        <v/>
      </c>
      <c r="H166" s="73" t="str">
        <f t="shared" si="13"/>
        <v/>
      </c>
    </row>
    <row r="167" spans="2:8" x14ac:dyDescent="0.25">
      <c r="B167" t="str">
        <f t="shared" si="10"/>
        <v/>
      </c>
      <c r="C167" s="31" t="str">
        <f t="shared" si="11"/>
        <v/>
      </c>
      <c r="E167" s="90"/>
      <c r="F167" s="90"/>
      <c r="G167" s="51" t="str">
        <f t="shared" si="12"/>
        <v/>
      </c>
      <c r="H167" s="73" t="str">
        <f t="shared" si="13"/>
        <v/>
      </c>
    </row>
    <row r="168" spans="2:8" x14ac:dyDescent="0.25">
      <c r="B168" t="str">
        <f t="shared" si="10"/>
        <v/>
      </c>
      <c r="C168" s="31" t="str">
        <f t="shared" si="11"/>
        <v/>
      </c>
      <c r="E168" s="90"/>
      <c r="F168" s="90"/>
      <c r="G168" s="51" t="str">
        <f t="shared" si="12"/>
        <v/>
      </c>
      <c r="H168" s="73" t="str">
        <f t="shared" si="13"/>
        <v/>
      </c>
    </row>
    <row r="169" spans="2:8" x14ac:dyDescent="0.25">
      <c r="B169" t="str">
        <f t="shared" si="10"/>
        <v/>
      </c>
      <c r="C169" s="31" t="str">
        <f t="shared" si="11"/>
        <v/>
      </c>
      <c r="E169" s="90"/>
      <c r="F169" s="90"/>
      <c r="G169" s="51" t="str">
        <f t="shared" si="12"/>
        <v/>
      </c>
      <c r="H169" s="73" t="str">
        <f t="shared" si="13"/>
        <v/>
      </c>
    </row>
    <row r="170" spans="2:8" x14ac:dyDescent="0.25">
      <c r="B170" t="str">
        <f t="shared" si="10"/>
        <v/>
      </c>
      <c r="C170" s="31" t="str">
        <f t="shared" si="11"/>
        <v/>
      </c>
      <c r="E170" s="90"/>
      <c r="F170" s="90"/>
      <c r="G170" s="51" t="str">
        <f t="shared" si="12"/>
        <v/>
      </c>
      <c r="H170" s="73" t="str">
        <f t="shared" si="13"/>
        <v/>
      </c>
    </row>
    <row r="171" spans="2:8" x14ac:dyDescent="0.25">
      <c r="B171" t="str">
        <f t="shared" si="10"/>
        <v/>
      </c>
      <c r="C171" s="31" t="str">
        <f t="shared" si="11"/>
        <v/>
      </c>
      <c r="E171" s="90"/>
      <c r="F171" s="90"/>
      <c r="G171" s="51" t="str">
        <f t="shared" si="12"/>
        <v/>
      </c>
      <c r="H171" s="73" t="str">
        <f t="shared" si="13"/>
        <v/>
      </c>
    </row>
    <row r="172" spans="2:8" x14ac:dyDescent="0.25">
      <c r="B172" t="str">
        <f t="shared" si="10"/>
        <v/>
      </c>
      <c r="C172" s="31" t="str">
        <f t="shared" si="11"/>
        <v/>
      </c>
      <c r="E172" s="90"/>
      <c r="F172" s="90"/>
      <c r="G172" s="51" t="str">
        <f t="shared" si="12"/>
        <v/>
      </c>
      <c r="H172" s="73" t="str">
        <f t="shared" si="13"/>
        <v/>
      </c>
    </row>
    <row r="173" spans="2:8" x14ac:dyDescent="0.25">
      <c r="B173" t="str">
        <f t="shared" si="10"/>
        <v/>
      </c>
      <c r="C173" s="31" t="str">
        <f t="shared" si="11"/>
        <v/>
      </c>
      <c r="E173" s="90"/>
      <c r="F173" s="90"/>
      <c r="G173" s="51" t="str">
        <f t="shared" si="12"/>
        <v/>
      </c>
      <c r="H173" s="73" t="str">
        <f t="shared" si="13"/>
        <v/>
      </c>
    </row>
    <row r="174" spans="2:8" x14ac:dyDescent="0.25">
      <c r="B174" t="str">
        <f t="shared" si="10"/>
        <v/>
      </c>
      <c r="C174" s="31" t="str">
        <f t="shared" si="11"/>
        <v/>
      </c>
      <c r="E174" s="90"/>
      <c r="F174" s="90"/>
      <c r="G174" s="51" t="str">
        <f t="shared" si="12"/>
        <v/>
      </c>
      <c r="H174" s="73" t="str">
        <f t="shared" si="13"/>
        <v/>
      </c>
    </row>
    <row r="175" spans="2:8" x14ac:dyDescent="0.25">
      <c r="B175" t="str">
        <f t="shared" si="10"/>
        <v/>
      </c>
      <c r="C175" s="31" t="str">
        <f t="shared" si="11"/>
        <v/>
      </c>
      <c r="E175" s="90"/>
      <c r="F175" s="90"/>
      <c r="G175" s="51" t="str">
        <f t="shared" si="12"/>
        <v/>
      </c>
      <c r="H175" s="73" t="str">
        <f t="shared" si="13"/>
        <v/>
      </c>
    </row>
    <row r="176" spans="2:8" x14ac:dyDescent="0.25">
      <c r="B176" t="str">
        <f t="shared" si="10"/>
        <v/>
      </c>
      <c r="C176" s="31" t="str">
        <f t="shared" si="11"/>
        <v/>
      </c>
      <c r="E176" s="90"/>
      <c r="F176" s="90"/>
      <c r="G176" s="51" t="str">
        <f t="shared" si="12"/>
        <v/>
      </c>
      <c r="H176" s="73" t="str">
        <f t="shared" si="13"/>
        <v/>
      </c>
    </row>
    <row r="177" spans="2:8" x14ac:dyDescent="0.25">
      <c r="B177" t="str">
        <f t="shared" si="10"/>
        <v/>
      </c>
      <c r="C177" s="31" t="str">
        <f t="shared" si="11"/>
        <v/>
      </c>
      <c r="E177" s="90"/>
      <c r="F177" s="90"/>
      <c r="G177" s="51" t="str">
        <f t="shared" si="12"/>
        <v/>
      </c>
      <c r="H177" s="73" t="str">
        <f t="shared" si="13"/>
        <v/>
      </c>
    </row>
    <row r="178" spans="2:8" x14ac:dyDescent="0.25">
      <c r="B178" t="str">
        <f t="shared" si="10"/>
        <v/>
      </c>
      <c r="C178" s="31" t="str">
        <f t="shared" si="11"/>
        <v/>
      </c>
      <c r="E178" s="90"/>
      <c r="F178" s="90"/>
      <c r="G178" s="51" t="str">
        <f t="shared" si="12"/>
        <v/>
      </c>
      <c r="H178" s="73" t="str">
        <f t="shared" si="13"/>
        <v/>
      </c>
    </row>
    <row r="179" spans="2:8" x14ac:dyDescent="0.25">
      <c r="B179" t="str">
        <f t="shared" si="10"/>
        <v/>
      </c>
      <c r="C179" s="31" t="str">
        <f t="shared" si="11"/>
        <v/>
      </c>
      <c r="E179" s="90"/>
      <c r="F179" s="90"/>
      <c r="G179" s="51" t="str">
        <f t="shared" si="12"/>
        <v/>
      </c>
      <c r="H179" s="73" t="str">
        <f t="shared" si="13"/>
        <v/>
      </c>
    </row>
    <row r="180" spans="2:8" x14ac:dyDescent="0.25">
      <c r="B180" t="str">
        <f t="shared" si="10"/>
        <v/>
      </c>
      <c r="C180" s="31" t="str">
        <f t="shared" si="11"/>
        <v/>
      </c>
      <c r="E180" s="90"/>
      <c r="F180" s="90"/>
      <c r="G180" s="51" t="str">
        <f t="shared" si="12"/>
        <v/>
      </c>
      <c r="H180" s="73" t="str">
        <f t="shared" si="13"/>
        <v/>
      </c>
    </row>
    <row r="181" spans="2:8" x14ac:dyDescent="0.25">
      <c r="B181" t="str">
        <f t="shared" si="10"/>
        <v/>
      </c>
      <c r="C181" s="31" t="str">
        <f t="shared" si="11"/>
        <v/>
      </c>
      <c r="E181" s="90"/>
      <c r="F181" s="90"/>
      <c r="G181" s="51" t="str">
        <f t="shared" si="12"/>
        <v/>
      </c>
      <c r="H181" s="73" t="str">
        <f t="shared" si="13"/>
        <v/>
      </c>
    </row>
    <row r="182" spans="2:8" x14ac:dyDescent="0.25">
      <c r="B182" t="str">
        <f t="shared" si="10"/>
        <v/>
      </c>
      <c r="C182" s="31" t="str">
        <f t="shared" si="11"/>
        <v/>
      </c>
      <c r="E182" s="90"/>
      <c r="F182" s="90"/>
      <c r="G182" s="51" t="str">
        <f t="shared" si="12"/>
        <v/>
      </c>
      <c r="H182" s="73" t="str">
        <f t="shared" si="13"/>
        <v/>
      </c>
    </row>
    <row r="183" spans="2:8" x14ac:dyDescent="0.25">
      <c r="B183" t="str">
        <f t="shared" si="10"/>
        <v/>
      </c>
      <c r="C183" s="31" t="str">
        <f t="shared" si="11"/>
        <v/>
      </c>
      <c r="E183" s="90"/>
      <c r="F183" s="90"/>
      <c r="G183" s="51" t="str">
        <f t="shared" si="12"/>
        <v/>
      </c>
      <c r="H183" s="73" t="str">
        <f t="shared" si="13"/>
        <v/>
      </c>
    </row>
    <row r="184" spans="2:8" x14ac:dyDescent="0.25">
      <c r="B184" t="str">
        <f t="shared" si="10"/>
        <v/>
      </c>
      <c r="C184" s="31" t="str">
        <f t="shared" si="11"/>
        <v/>
      </c>
      <c r="E184" s="90"/>
      <c r="F184" s="90"/>
      <c r="G184" s="51" t="str">
        <f t="shared" si="12"/>
        <v/>
      </c>
      <c r="H184" s="73" t="str">
        <f t="shared" si="13"/>
        <v/>
      </c>
    </row>
    <row r="185" spans="2:8" x14ac:dyDescent="0.25">
      <c r="B185" t="str">
        <f t="shared" si="10"/>
        <v/>
      </c>
      <c r="C185" s="31" t="str">
        <f t="shared" si="11"/>
        <v/>
      </c>
      <c r="E185" s="90"/>
      <c r="F185" s="90"/>
      <c r="G185" s="51" t="str">
        <f t="shared" si="12"/>
        <v/>
      </c>
      <c r="H185" s="73" t="str">
        <f t="shared" si="13"/>
        <v/>
      </c>
    </row>
    <row r="186" spans="2:8" x14ac:dyDescent="0.25">
      <c r="B186" t="str">
        <f t="shared" si="10"/>
        <v/>
      </c>
      <c r="C186" s="31" t="str">
        <f t="shared" si="11"/>
        <v/>
      </c>
      <c r="E186" s="90"/>
      <c r="F186" s="90"/>
      <c r="G186" s="51" t="str">
        <f t="shared" si="12"/>
        <v/>
      </c>
      <c r="H186" s="73" t="str">
        <f t="shared" si="13"/>
        <v/>
      </c>
    </row>
    <row r="187" spans="2:8" x14ac:dyDescent="0.25">
      <c r="B187" t="str">
        <f t="shared" si="10"/>
        <v/>
      </c>
      <c r="C187" s="31" t="str">
        <f t="shared" si="11"/>
        <v/>
      </c>
      <c r="E187" s="90"/>
      <c r="F187" s="90"/>
      <c r="G187" s="51" t="str">
        <f t="shared" si="12"/>
        <v/>
      </c>
      <c r="H187" s="73" t="str">
        <f t="shared" si="13"/>
        <v/>
      </c>
    </row>
    <row r="188" spans="2:8" x14ac:dyDescent="0.25">
      <c r="B188" t="str">
        <f t="shared" si="10"/>
        <v/>
      </c>
      <c r="C188" s="31" t="str">
        <f t="shared" si="11"/>
        <v/>
      </c>
      <c r="E188" s="90"/>
      <c r="F188" s="90"/>
      <c r="G188" s="51" t="str">
        <f t="shared" si="12"/>
        <v/>
      </c>
      <c r="H188" s="73" t="str">
        <f t="shared" si="13"/>
        <v/>
      </c>
    </row>
    <row r="189" spans="2:8" x14ac:dyDescent="0.25">
      <c r="B189" t="str">
        <f t="shared" si="10"/>
        <v/>
      </c>
      <c r="C189" s="31" t="str">
        <f t="shared" si="11"/>
        <v/>
      </c>
      <c r="E189" s="90"/>
      <c r="F189" s="90"/>
      <c r="G189" s="51" t="str">
        <f t="shared" si="12"/>
        <v/>
      </c>
      <c r="H189" s="73" t="str">
        <f t="shared" si="13"/>
        <v/>
      </c>
    </row>
    <row r="190" spans="2:8" x14ac:dyDescent="0.25">
      <c r="B190" t="str">
        <f t="shared" si="10"/>
        <v/>
      </c>
      <c r="C190" s="31" t="str">
        <f t="shared" si="11"/>
        <v/>
      </c>
      <c r="E190" s="90"/>
      <c r="F190" s="90"/>
      <c r="G190" s="51" t="str">
        <f t="shared" si="12"/>
        <v/>
      </c>
      <c r="H190" s="73" t="str">
        <f t="shared" si="13"/>
        <v/>
      </c>
    </row>
    <row r="191" spans="2:8" x14ac:dyDescent="0.25">
      <c r="B191" t="str">
        <f t="shared" si="10"/>
        <v/>
      </c>
      <c r="C191" s="31" t="str">
        <f t="shared" si="11"/>
        <v/>
      </c>
      <c r="E191" s="90"/>
      <c r="F191" s="90"/>
      <c r="G191" s="51" t="str">
        <f t="shared" si="12"/>
        <v/>
      </c>
      <c r="H191" s="73" t="str">
        <f t="shared" si="13"/>
        <v/>
      </c>
    </row>
    <row r="192" spans="2:8" x14ac:dyDescent="0.25">
      <c r="B192" t="str">
        <f t="shared" si="10"/>
        <v/>
      </c>
      <c r="C192" s="31" t="str">
        <f t="shared" si="11"/>
        <v/>
      </c>
      <c r="E192" s="90"/>
      <c r="F192" s="90"/>
      <c r="G192" s="51" t="str">
        <f t="shared" si="12"/>
        <v/>
      </c>
      <c r="H192" s="73" t="str">
        <f t="shared" si="13"/>
        <v/>
      </c>
    </row>
    <row r="193" spans="2:8" x14ac:dyDescent="0.25">
      <c r="B193" t="str">
        <f t="shared" si="10"/>
        <v/>
      </c>
      <c r="C193" s="31" t="str">
        <f t="shared" si="11"/>
        <v/>
      </c>
      <c r="E193" s="90"/>
      <c r="F193" s="90"/>
      <c r="G193" s="51" t="str">
        <f t="shared" si="12"/>
        <v/>
      </c>
      <c r="H193" s="73" t="str">
        <f t="shared" si="13"/>
        <v/>
      </c>
    </row>
    <row r="194" spans="2:8" x14ac:dyDescent="0.25">
      <c r="B194" t="str">
        <f t="shared" si="10"/>
        <v/>
      </c>
      <c r="C194" s="31" t="str">
        <f t="shared" si="11"/>
        <v/>
      </c>
      <c r="E194" s="90"/>
      <c r="F194" s="90"/>
      <c r="G194" s="51" t="str">
        <f t="shared" si="12"/>
        <v/>
      </c>
      <c r="H194" s="73" t="str">
        <f t="shared" si="13"/>
        <v/>
      </c>
    </row>
    <row r="195" spans="2:8" x14ac:dyDescent="0.25">
      <c r="B195" t="str">
        <f t="shared" si="10"/>
        <v/>
      </c>
      <c r="C195" s="31" t="str">
        <f t="shared" si="11"/>
        <v/>
      </c>
      <c r="E195" s="90"/>
      <c r="F195" s="90"/>
      <c r="G195" s="51" t="str">
        <f t="shared" si="12"/>
        <v/>
      </c>
      <c r="H195" s="73" t="str">
        <f t="shared" si="13"/>
        <v/>
      </c>
    </row>
    <row r="196" spans="2:8" x14ac:dyDescent="0.25">
      <c r="B196" t="str">
        <f t="shared" si="10"/>
        <v/>
      </c>
      <c r="C196" s="31" t="str">
        <f t="shared" si="11"/>
        <v/>
      </c>
      <c r="E196" s="90"/>
      <c r="F196" s="90"/>
      <c r="G196" s="51" t="str">
        <f t="shared" si="12"/>
        <v/>
      </c>
      <c r="H196" s="73" t="str">
        <f t="shared" si="13"/>
        <v/>
      </c>
    </row>
    <row r="197" spans="2:8" x14ac:dyDescent="0.25">
      <c r="B197" t="str">
        <f t="shared" si="10"/>
        <v/>
      </c>
      <c r="C197" s="31" t="str">
        <f t="shared" si="11"/>
        <v/>
      </c>
      <c r="E197" s="90"/>
      <c r="F197" s="90"/>
      <c r="G197" s="51" t="str">
        <f t="shared" si="12"/>
        <v/>
      </c>
      <c r="H197" s="73" t="str">
        <f t="shared" si="13"/>
        <v/>
      </c>
    </row>
    <row r="198" spans="2:8" x14ac:dyDescent="0.25">
      <c r="B198" t="str">
        <f t="shared" si="10"/>
        <v/>
      </c>
      <c r="C198" s="31" t="str">
        <f t="shared" si="11"/>
        <v/>
      </c>
      <c r="E198" s="90"/>
      <c r="F198" s="90"/>
      <c r="G198" s="51" t="str">
        <f t="shared" si="12"/>
        <v/>
      </c>
      <c r="H198" s="73" t="str">
        <f t="shared" si="13"/>
        <v/>
      </c>
    </row>
    <row r="199" spans="2:8" x14ac:dyDescent="0.25">
      <c r="B199" t="str">
        <f t="shared" ref="B199:B257" si="14">IF(ROW()&lt;comau+7,ROW()-6,"")</f>
        <v/>
      </c>
      <c r="C199" s="31" t="str">
        <f t="shared" si="11"/>
        <v/>
      </c>
      <c r="E199" s="90"/>
      <c r="F199" s="90"/>
      <c r="G199" s="51" t="str">
        <f t="shared" si="12"/>
        <v/>
      </c>
      <c r="H199" s="73" t="str">
        <f t="shared" si="13"/>
        <v/>
      </c>
    </row>
    <row r="200" spans="2:8" x14ac:dyDescent="0.25">
      <c r="B200" t="str">
        <f t="shared" si="14"/>
        <v/>
      </c>
      <c r="C200" s="31" t="str">
        <f t="shared" ref="C200:C257" si="15">IF(B200&lt;&gt;"",xuatphat+khoangcach*B199,"")</f>
        <v/>
      </c>
      <c r="E200" s="90"/>
      <c r="F200" s="90"/>
      <c r="G200" s="51" t="str">
        <f t="shared" ref="G200:G257" si="16">IF(F200-E200&lt;&gt;0,E200-F200,"")</f>
        <v/>
      </c>
      <c r="H200" s="73" t="str">
        <f t="shared" ref="H200:H257" si="17">IF(G200&lt;&gt;"",G200/E200,"")</f>
        <v/>
      </c>
    </row>
    <row r="201" spans="2:8" x14ac:dyDescent="0.25">
      <c r="B201" t="str">
        <f t="shared" si="14"/>
        <v/>
      </c>
      <c r="C201" s="31" t="str">
        <f t="shared" si="15"/>
        <v/>
      </c>
      <c r="E201" s="90"/>
      <c r="F201" s="90"/>
      <c r="G201" s="51" t="str">
        <f t="shared" si="16"/>
        <v/>
      </c>
      <c r="H201" s="73" t="str">
        <f t="shared" si="17"/>
        <v/>
      </c>
    </row>
    <row r="202" spans="2:8" x14ac:dyDescent="0.25">
      <c r="B202" t="str">
        <f t="shared" si="14"/>
        <v/>
      </c>
      <c r="C202" s="31" t="str">
        <f t="shared" si="15"/>
        <v/>
      </c>
      <c r="E202" s="90"/>
      <c r="F202" s="90"/>
      <c r="G202" s="51" t="str">
        <f t="shared" si="16"/>
        <v/>
      </c>
      <c r="H202" s="73" t="str">
        <f t="shared" si="17"/>
        <v/>
      </c>
    </row>
    <row r="203" spans="2:8" x14ac:dyDescent="0.25">
      <c r="B203" t="str">
        <f t="shared" si="14"/>
        <v/>
      </c>
      <c r="C203" s="31" t="str">
        <f t="shared" si="15"/>
        <v/>
      </c>
      <c r="E203" s="90"/>
      <c r="F203" s="90"/>
      <c r="G203" s="51" t="str">
        <f t="shared" si="16"/>
        <v/>
      </c>
      <c r="H203" s="73" t="str">
        <f t="shared" si="17"/>
        <v/>
      </c>
    </row>
    <row r="204" spans="2:8" x14ac:dyDescent="0.25">
      <c r="B204" t="str">
        <f t="shared" si="14"/>
        <v/>
      </c>
      <c r="C204" s="31" t="str">
        <f t="shared" si="15"/>
        <v/>
      </c>
      <c r="E204" s="90"/>
      <c r="F204" s="90"/>
      <c r="G204" s="51" t="str">
        <f t="shared" si="16"/>
        <v/>
      </c>
      <c r="H204" s="73" t="str">
        <f t="shared" si="17"/>
        <v/>
      </c>
    </row>
    <row r="205" spans="2:8" x14ac:dyDescent="0.25">
      <c r="B205" t="str">
        <f t="shared" si="14"/>
        <v/>
      </c>
      <c r="C205" s="31" t="str">
        <f t="shared" si="15"/>
        <v/>
      </c>
      <c r="E205" s="90"/>
      <c r="F205" s="90"/>
      <c r="G205" s="51" t="str">
        <f t="shared" si="16"/>
        <v/>
      </c>
      <c r="H205" s="73" t="str">
        <f t="shared" si="17"/>
        <v/>
      </c>
    </row>
    <row r="206" spans="2:8" x14ac:dyDescent="0.25">
      <c r="B206" t="str">
        <f t="shared" si="14"/>
        <v/>
      </c>
      <c r="C206" s="31" t="str">
        <f t="shared" si="15"/>
        <v/>
      </c>
      <c r="E206" s="90"/>
      <c r="F206" s="90"/>
      <c r="G206" s="51" t="str">
        <f t="shared" si="16"/>
        <v/>
      </c>
      <c r="H206" s="73" t="str">
        <f t="shared" si="17"/>
        <v/>
      </c>
    </row>
    <row r="207" spans="2:8" x14ac:dyDescent="0.25">
      <c r="B207" t="str">
        <f t="shared" si="14"/>
        <v/>
      </c>
      <c r="C207" s="31" t="str">
        <f t="shared" si="15"/>
        <v/>
      </c>
      <c r="E207" s="90"/>
      <c r="F207" s="90"/>
      <c r="G207" s="51" t="str">
        <f t="shared" si="16"/>
        <v/>
      </c>
      <c r="H207" s="73" t="str">
        <f t="shared" si="17"/>
        <v/>
      </c>
    </row>
    <row r="208" spans="2:8" x14ac:dyDescent="0.25">
      <c r="B208" t="str">
        <f t="shared" si="14"/>
        <v/>
      </c>
      <c r="C208" s="31" t="str">
        <f t="shared" si="15"/>
        <v/>
      </c>
      <c r="E208" s="90"/>
      <c r="F208" s="90"/>
      <c r="G208" s="51" t="str">
        <f t="shared" si="16"/>
        <v/>
      </c>
      <c r="H208" s="73" t="str">
        <f t="shared" si="17"/>
        <v/>
      </c>
    </row>
    <row r="209" spans="2:8" x14ac:dyDescent="0.25">
      <c r="B209" t="str">
        <f t="shared" si="14"/>
        <v/>
      </c>
      <c r="C209" s="31" t="str">
        <f t="shared" si="15"/>
        <v/>
      </c>
      <c r="E209" s="90"/>
      <c r="F209" s="90"/>
      <c r="G209" s="51" t="str">
        <f t="shared" si="16"/>
        <v/>
      </c>
      <c r="H209" s="73" t="str">
        <f t="shared" si="17"/>
        <v/>
      </c>
    </row>
    <row r="210" spans="2:8" x14ac:dyDescent="0.25">
      <c r="B210" t="str">
        <f t="shared" si="14"/>
        <v/>
      </c>
      <c r="C210" s="31" t="str">
        <f t="shared" si="15"/>
        <v/>
      </c>
      <c r="E210" s="90"/>
      <c r="F210" s="90"/>
      <c r="G210" s="51" t="str">
        <f t="shared" si="16"/>
        <v/>
      </c>
      <c r="H210" s="73" t="str">
        <f t="shared" si="17"/>
        <v/>
      </c>
    </row>
    <row r="211" spans="2:8" x14ac:dyDescent="0.25">
      <c r="B211" t="str">
        <f t="shared" si="14"/>
        <v/>
      </c>
      <c r="C211" s="31" t="str">
        <f t="shared" si="15"/>
        <v/>
      </c>
      <c r="E211" s="90"/>
      <c r="F211" s="90"/>
      <c r="G211" s="51" t="str">
        <f t="shared" si="16"/>
        <v/>
      </c>
      <c r="H211" s="73" t="str">
        <f t="shared" si="17"/>
        <v/>
      </c>
    </row>
    <row r="212" spans="2:8" x14ac:dyDescent="0.25">
      <c r="B212" t="str">
        <f t="shared" si="14"/>
        <v/>
      </c>
      <c r="C212" s="31" t="str">
        <f t="shared" si="15"/>
        <v/>
      </c>
      <c r="E212" s="90"/>
      <c r="F212" s="90"/>
      <c r="G212" s="51" t="str">
        <f t="shared" si="16"/>
        <v/>
      </c>
      <c r="H212" s="73" t="str">
        <f t="shared" si="17"/>
        <v/>
      </c>
    </row>
    <row r="213" spans="2:8" x14ac:dyDescent="0.25">
      <c r="B213" t="str">
        <f t="shared" si="14"/>
        <v/>
      </c>
      <c r="C213" s="31" t="str">
        <f t="shared" si="15"/>
        <v/>
      </c>
      <c r="E213" s="90"/>
      <c r="F213" s="90"/>
      <c r="G213" s="51" t="str">
        <f t="shared" si="16"/>
        <v/>
      </c>
      <c r="H213" s="73" t="str">
        <f t="shared" si="17"/>
        <v/>
      </c>
    </row>
    <row r="214" spans="2:8" x14ac:dyDescent="0.25">
      <c r="B214" t="str">
        <f t="shared" si="14"/>
        <v/>
      </c>
      <c r="C214" s="31" t="str">
        <f t="shared" si="15"/>
        <v/>
      </c>
      <c r="E214" s="90"/>
      <c r="F214" s="90"/>
      <c r="G214" s="51" t="str">
        <f t="shared" si="16"/>
        <v/>
      </c>
      <c r="H214" s="73" t="str">
        <f t="shared" si="17"/>
        <v/>
      </c>
    </row>
    <row r="215" spans="2:8" x14ac:dyDescent="0.25">
      <c r="B215" t="str">
        <f t="shared" si="14"/>
        <v/>
      </c>
      <c r="C215" s="31" t="str">
        <f t="shared" si="15"/>
        <v/>
      </c>
      <c r="E215" s="90"/>
      <c r="F215" s="90"/>
      <c r="G215" s="51" t="str">
        <f t="shared" si="16"/>
        <v/>
      </c>
      <c r="H215" s="73" t="str">
        <f t="shared" si="17"/>
        <v/>
      </c>
    </row>
    <row r="216" spans="2:8" x14ac:dyDescent="0.25">
      <c r="B216" t="str">
        <f t="shared" si="14"/>
        <v/>
      </c>
      <c r="C216" s="31" t="str">
        <f t="shared" si="15"/>
        <v/>
      </c>
      <c r="E216" s="90"/>
      <c r="F216" s="90"/>
      <c r="G216" s="51" t="str">
        <f t="shared" si="16"/>
        <v/>
      </c>
      <c r="H216" s="73" t="str">
        <f t="shared" si="17"/>
        <v/>
      </c>
    </row>
    <row r="217" spans="2:8" x14ac:dyDescent="0.25">
      <c r="B217" t="str">
        <f t="shared" si="14"/>
        <v/>
      </c>
      <c r="C217" s="31" t="str">
        <f t="shared" si="15"/>
        <v/>
      </c>
      <c r="E217" s="90"/>
      <c r="F217" s="90"/>
      <c r="G217" s="51" t="str">
        <f t="shared" si="16"/>
        <v/>
      </c>
      <c r="H217" s="73" t="str">
        <f t="shared" si="17"/>
        <v/>
      </c>
    </row>
    <row r="218" spans="2:8" x14ac:dyDescent="0.25">
      <c r="B218" t="str">
        <f t="shared" si="14"/>
        <v/>
      </c>
      <c r="C218" s="31" t="str">
        <f t="shared" si="15"/>
        <v/>
      </c>
      <c r="E218" s="90"/>
      <c r="F218" s="90"/>
      <c r="G218" s="51" t="str">
        <f t="shared" si="16"/>
        <v/>
      </c>
      <c r="H218" s="73" t="str">
        <f t="shared" si="17"/>
        <v/>
      </c>
    </row>
    <row r="219" spans="2:8" x14ac:dyDescent="0.25">
      <c r="B219" t="str">
        <f t="shared" si="14"/>
        <v/>
      </c>
      <c r="C219" s="31" t="str">
        <f t="shared" si="15"/>
        <v/>
      </c>
      <c r="E219" s="90"/>
      <c r="F219" s="90"/>
      <c r="G219" s="51" t="str">
        <f t="shared" si="16"/>
        <v/>
      </c>
      <c r="H219" s="73" t="str">
        <f t="shared" si="17"/>
        <v/>
      </c>
    </row>
    <row r="220" spans="2:8" x14ac:dyDescent="0.25">
      <c r="B220" t="str">
        <f t="shared" si="14"/>
        <v/>
      </c>
      <c r="C220" s="31" t="str">
        <f t="shared" si="15"/>
        <v/>
      </c>
      <c r="E220" s="90"/>
      <c r="F220" s="90"/>
      <c r="G220" s="51" t="str">
        <f t="shared" si="16"/>
        <v/>
      </c>
      <c r="H220" s="73" t="str">
        <f t="shared" si="17"/>
        <v/>
      </c>
    </row>
    <row r="221" spans="2:8" x14ac:dyDescent="0.25">
      <c r="B221" t="str">
        <f t="shared" si="14"/>
        <v/>
      </c>
      <c r="C221" s="31" t="str">
        <f t="shared" si="15"/>
        <v/>
      </c>
      <c r="E221" s="90"/>
      <c r="F221" s="90"/>
      <c r="G221" s="51" t="str">
        <f t="shared" si="16"/>
        <v/>
      </c>
      <c r="H221" s="73" t="str">
        <f t="shared" si="17"/>
        <v/>
      </c>
    </row>
    <row r="222" spans="2:8" x14ac:dyDescent="0.25">
      <c r="B222" t="str">
        <f t="shared" si="14"/>
        <v/>
      </c>
      <c r="C222" s="31" t="str">
        <f t="shared" si="15"/>
        <v/>
      </c>
      <c r="E222" s="90"/>
      <c r="F222" s="90"/>
      <c r="G222" s="51" t="str">
        <f t="shared" si="16"/>
        <v/>
      </c>
      <c r="H222" s="73" t="str">
        <f t="shared" si="17"/>
        <v/>
      </c>
    </row>
    <row r="223" spans="2:8" x14ac:dyDescent="0.25">
      <c r="B223" t="str">
        <f t="shared" si="14"/>
        <v/>
      </c>
      <c r="C223" s="31" t="str">
        <f t="shared" si="15"/>
        <v/>
      </c>
      <c r="E223" s="90"/>
      <c r="F223" s="90"/>
      <c r="G223" s="51" t="str">
        <f t="shared" si="16"/>
        <v/>
      </c>
      <c r="H223" s="73" t="str">
        <f t="shared" si="17"/>
        <v/>
      </c>
    </row>
    <row r="224" spans="2:8" x14ac:dyDescent="0.25">
      <c r="B224" t="str">
        <f t="shared" si="14"/>
        <v/>
      </c>
      <c r="C224" s="31" t="str">
        <f t="shared" si="15"/>
        <v/>
      </c>
      <c r="E224" s="90"/>
      <c r="F224" s="90"/>
      <c r="G224" s="51" t="str">
        <f t="shared" si="16"/>
        <v/>
      </c>
      <c r="H224" s="73" t="str">
        <f t="shared" si="17"/>
        <v/>
      </c>
    </row>
    <row r="225" spans="2:8" x14ac:dyDescent="0.25">
      <c r="B225" t="str">
        <f t="shared" si="14"/>
        <v/>
      </c>
      <c r="C225" s="31" t="str">
        <f t="shared" si="15"/>
        <v/>
      </c>
      <c r="E225" s="90"/>
      <c r="F225" s="90"/>
      <c r="G225" s="51" t="str">
        <f t="shared" si="16"/>
        <v/>
      </c>
      <c r="H225" s="73" t="str">
        <f t="shared" si="17"/>
        <v/>
      </c>
    </row>
    <row r="226" spans="2:8" x14ac:dyDescent="0.25">
      <c r="B226" t="str">
        <f t="shared" si="14"/>
        <v/>
      </c>
      <c r="C226" s="31" t="str">
        <f t="shared" si="15"/>
        <v/>
      </c>
      <c r="E226" s="90"/>
      <c r="F226" s="90"/>
      <c r="G226" s="51" t="str">
        <f t="shared" si="16"/>
        <v/>
      </c>
      <c r="H226" s="73" t="str">
        <f t="shared" si="17"/>
        <v/>
      </c>
    </row>
    <row r="227" spans="2:8" x14ac:dyDescent="0.25">
      <c r="B227" t="str">
        <f t="shared" si="14"/>
        <v/>
      </c>
      <c r="C227" s="31" t="str">
        <f t="shared" si="15"/>
        <v/>
      </c>
      <c r="E227" s="90"/>
      <c r="F227" s="90"/>
      <c r="G227" s="51" t="str">
        <f t="shared" si="16"/>
        <v/>
      </c>
      <c r="H227" s="73" t="str">
        <f t="shared" si="17"/>
        <v/>
      </c>
    </row>
    <row r="228" spans="2:8" x14ac:dyDescent="0.25">
      <c r="B228" t="str">
        <f t="shared" si="14"/>
        <v/>
      </c>
      <c r="C228" s="31" t="str">
        <f t="shared" si="15"/>
        <v/>
      </c>
      <c r="E228" s="90"/>
      <c r="F228" s="90"/>
      <c r="G228" s="51" t="str">
        <f t="shared" si="16"/>
        <v/>
      </c>
      <c r="H228" s="73" t="str">
        <f t="shared" si="17"/>
        <v/>
      </c>
    </row>
    <row r="229" spans="2:8" x14ac:dyDescent="0.25">
      <c r="B229" t="str">
        <f t="shared" si="14"/>
        <v/>
      </c>
      <c r="C229" s="31" t="str">
        <f t="shared" si="15"/>
        <v/>
      </c>
      <c r="E229" s="90"/>
      <c r="F229" s="90"/>
      <c r="G229" s="51" t="str">
        <f t="shared" si="16"/>
        <v/>
      </c>
      <c r="H229" s="73" t="str">
        <f t="shared" si="17"/>
        <v/>
      </c>
    </row>
    <row r="230" spans="2:8" x14ac:dyDescent="0.25">
      <c r="B230" t="str">
        <f t="shared" si="14"/>
        <v/>
      </c>
      <c r="C230" s="31" t="str">
        <f t="shared" si="15"/>
        <v/>
      </c>
      <c r="E230" s="90"/>
      <c r="F230" s="90"/>
      <c r="G230" s="51" t="str">
        <f t="shared" si="16"/>
        <v/>
      </c>
      <c r="H230" s="73" t="str">
        <f t="shared" si="17"/>
        <v/>
      </c>
    </row>
    <row r="231" spans="2:8" x14ac:dyDescent="0.25">
      <c r="B231" t="str">
        <f t="shared" si="14"/>
        <v/>
      </c>
      <c r="C231" s="31" t="str">
        <f t="shared" si="15"/>
        <v/>
      </c>
      <c r="E231" s="90"/>
      <c r="F231" s="90"/>
      <c r="G231" s="51" t="str">
        <f t="shared" si="16"/>
        <v/>
      </c>
      <c r="H231" s="73" t="str">
        <f t="shared" si="17"/>
        <v/>
      </c>
    </row>
    <row r="232" spans="2:8" x14ac:dyDescent="0.25">
      <c r="B232" t="str">
        <f t="shared" si="14"/>
        <v/>
      </c>
      <c r="C232" s="31" t="str">
        <f t="shared" si="15"/>
        <v/>
      </c>
      <c r="E232" s="90"/>
      <c r="F232" s="90"/>
      <c r="G232" s="51" t="str">
        <f t="shared" si="16"/>
        <v/>
      </c>
      <c r="H232" s="73" t="str">
        <f t="shared" si="17"/>
        <v/>
      </c>
    </row>
    <row r="233" spans="2:8" x14ac:dyDescent="0.25">
      <c r="B233" t="str">
        <f t="shared" si="14"/>
        <v/>
      </c>
      <c r="C233" s="31" t="str">
        <f t="shared" si="15"/>
        <v/>
      </c>
      <c r="E233" s="90"/>
      <c r="F233" s="90"/>
      <c r="G233" s="51" t="str">
        <f t="shared" si="16"/>
        <v/>
      </c>
      <c r="H233" s="73" t="str">
        <f t="shared" si="17"/>
        <v/>
      </c>
    </row>
    <row r="234" spans="2:8" x14ac:dyDescent="0.25">
      <c r="B234" t="str">
        <f t="shared" si="14"/>
        <v/>
      </c>
      <c r="C234" s="31" t="str">
        <f t="shared" si="15"/>
        <v/>
      </c>
      <c r="E234" s="90"/>
      <c r="F234" s="90"/>
      <c r="G234" s="51" t="str">
        <f t="shared" si="16"/>
        <v/>
      </c>
      <c r="H234" s="73" t="str">
        <f t="shared" si="17"/>
        <v/>
      </c>
    </row>
    <row r="235" spans="2:8" x14ac:dyDescent="0.25">
      <c r="B235" t="str">
        <f t="shared" si="14"/>
        <v/>
      </c>
      <c r="C235" s="31" t="str">
        <f t="shared" si="15"/>
        <v/>
      </c>
      <c r="E235" s="90"/>
      <c r="F235" s="90"/>
      <c r="G235" s="51" t="str">
        <f t="shared" si="16"/>
        <v/>
      </c>
      <c r="H235" s="73" t="str">
        <f t="shared" si="17"/>
        <v/>
      </c>
    </row>
    <row r="236" spans="2:8" x14ac:dyDescent="0.25">
      <c r="B236" t="str">
        <f t="shared" si="14"/>
        <v/>
      </c>
      <c r="C236" s="31" t="str">
        <f t="shared" si="15"/>
        <v/>
      </c>
      <c r="E236" s="90"/>
      <c r="F236" s="90"/>
      <c r="G236" s="51" t="str">
        <f t="shared" si="16"/>
        <v/>
      </c>
      <c r="H236" s="73" t="str">
        <f t="shared" si="17"/>
        <v/>
      </c>
    </row>
    <row r="237" spans="2:8" x14ac:dyDescent="0.25">
      <c r="B237" t="str">
        <f t="shared" si="14"/>
        <v/>
      </c>
      <c r="C237" s="31" t="str">
        <f t="shared" si="15"/>
        <v/>
      </c>
      <c r="E237" s="90"/>
      <c r="F237" s="90"/>
      <c r="G237" s="51" t="str">
        <f t="shared" si="16"/>
        <v/>
      </c>
      <c r="H237" s="73" t="str">
        <f t="shared" si="17"/>
        <v/>
      </c>
    </row>
    <row r="238" spans="2:8" x14ac:dyDescent="0.25">
      <c r="B238" t="str">
        <f t="shared" si="14"/>
        <v/>
      </c>
      <c r="C238" s="31" t="str">
        <f t="shared" si="15"/>
        <v/>
      </c>
      <c r="E238" s="90"/>
      <c r="F238" s="90"/>
      <c r="G238" s="51" t="str">
        <f t="shared" si="16"/>
        <v/>
      </c>
      <c r="H238" s="73" t="str">
        <f t="shared" si="17"/>
        <v/>
      </c>
    </row>
    <row r="239" spans="2:8" x14ac:dyDescent="0.25">
      <c r="B239" t="str">
        <f t="shared" si="14"/>
        <v/>
      </c>
      <c r="C239" s="31" t="str">
        <f t="shared" si="15"/>
        <v/>
      </c>
      <c r="E239" s="90"/>
      <c r="F239" s="90"/>
      <c r="G239" s="51" t="str">
        <f t="shared" si="16"/>
        <v/>
      </c>
      <c r="H239" s="73" t="str">
        <f t="shared" si="17"/>
        <v/>
      </c>
    </row>
    <row r="240" spans="2:8" x14ac:dyDescent="0.25">
      <c r="B240" t="str">
        <f t="shared" si="14"/>
        <v/>
      </c>
      <c r="C240" s="31" t="str">
        <f t="shared" si="15"/>
        <v/>
      </c>
      <c r="E240" s="90"/>
      <c r="F240" s="90"/>
      <c r="G240" s="51" t="str">
        <f t="shared" si="16"/>
        <v/>
      </c>
      <c r="H240" s="73" t="str">
        <f t="shared" si="17"/>
        <v/>
      </c>
    </row>
    <row r="241" spans="2:8" x14ac:dyDescent="0.25">
      <c r="B241" t="str">
        <f t="shared" si="14"/>
        <v/>
      </c>
      <c r="C241" s="31" t="str">
        <f t="shared" si="15"/>
        <v/>
      </c>
      <c r="E241" s="90"/>
      <c r="F241" s="90"/>
      <c r="G241" s="51" t="str">
        <f t="shared" si="16"/>
        <v/>
      </c>
      <c r="H241" s="73" t="str">
        <f t="shared" si="17"/>
        <v/>
      </c>
    </row>
    <row r="242" spans="2:8" x14ac:dyDescent="0.25">
      <c r="B242" t="str">
        <f t="shared" si="14"/>
        <v/>
      </c>
      <c r="C242" s="31" t="str">
        <f t="shared" si="15"/>
        <v/>
      </c>
      <c r="E242" s="90"/>
      <c r="F242" s="90"/>
      <c r="G242" s="51" t="str">
        <f t="shared" si="16"/>
        <v/>
      </c>
      <c r="H242" s="73" t="str">
        <f t="shared" si="17"/>
        <v/>
      </c>
    </row>
    <row r="243" spans="2:8" x14ac:dyDescent="0.25">
      <c r="B243" t="str">
        <f t="shared" si="14"/>
        <v/>
      </c>
      <c r="C243" s="31" t="str">
        <f t="shared" si="15"/>
        <v/>
      </c>
      <c r="E243" s="90"/>
      <c r="F243" s="90"/>
      <c r="G243" s="51" t="str">
        <f t="shared" si="16"/>
        <v/>
      </c>
      <c r="H243" s="73" t="str">
        <f t="shared" si="17"/>
        <v/>
      </c>
    </row>
    <row r="244" spans="2:8" x14ac:dyDescent="0.25">
      <c r="B244" t="str">
        <f t="shared" si="14"/>
        <v/>
      </c>
      <c r="C244" s="31" t="str">
        <f t="shared" si="15"/>
        <v/>
      </c>
      <c r="E244" s="90"/>
      <c r="F244" s="90"/>
      <c r="G244" s="51" t="str">
        <f t="shared" si="16"/>
        <v/>
      </c>
      <c r="H244" s="73" t="str">
        <f t="shared" si="17"/>
        <v/>
      </c>
    </row>
    <row r="245" spans="2:8" x14ac:dyDescent="0.25">
      <c r="B245" t="str">
        <f t="shared" si="14"/>
        <v/>
      </c>
      <c r="C245" s="31" t="str">
        <f t="shared" si="15"/>
        <v/>
      </c>
      <c r="E245" s="90"/>
      <c r="F245" s="90"/>
      <c r="G245" s="51" t="str">
        <f t="shared" si="16"/>
        <v/>
      </c>
      <c r="H245" s="73" t="str">
        <f t="shared" si="17"/>
        <v/>
      </c>
    </row>
    <row r="246" spans="2:8" x14ac:dyDescent="0.25">
      <c r="B246" t="str">
        <f t="shared" si="14"/>
        <v/>
      </c>
      <c r="C246" s="31" t="str">
        <f t="shared" si="15"/>
        <v/>
      </c>
      <c r="E246" s="90"/>
      <c r="F246" s="90"/>
      <c r="G246" s="51" t="str">
        <f t="shared" si="16"/>
        <v/>
      </c>
      <c r="H246" s="73" t="str">
        <f t="shared" si="17"/>
        <v/>
      </c>
    </row>
    <row r="247" spans="2:8" x14ac:dyDescent="0.25">
      <c r="B247" t="str">
        <f t="shared" si="14"/>
        <v/>
      </c>
      <c r="C247" s="31" t="str">
        <f t="shared" si="15"/>
        <v/>
      </c>
      <c r="E247" s="90"/>
      <c r="F247" s="90"/>
      <c r="G247" s="51" t="str">
        <f t="shared" si="16"/>
        <v/>
      </c>
      <c r="H247" s="73" t="str">
        <f t="shared" si="17"/>
        <v/>
      </c>
    </row>
    <row r="248" spans="2:8" x14ac:dyDescent="0.25">
      <c r="B248" t="str">
        <f t="shared" si="14"/>
        <v/>
      </c>
      <c r="C248" s="31" t="str">
        <f t="shared" si="15"/>
        <v/>
      </c>
      <c r="E248" s="90"/>
      <c r="F248" s="90"/>
      <c r="G248" s="51" t="str">
        <f t="shared" si="16"/>
        <v/>
      </c>
      <c r="H248" s="73" t="str">
        <f t="shared" si="17"/>
        <v/>
      </c>
    </row>
    <row r="249" spans="2:8" x14ac:dyDescent="0.25">
      <c r="B249" t="str">
        <f t="shared" si="14"/>
        <v/>
      </c>
      <c r="C249" s="31" t="str">
        <f t="shared" si="15"/>
        <v/>
      </c>
      <c r="E249" s="90"/>
      <c r="F249" s="90"/>
      <c r="G249" s="51" t="str">
        <f t="shared" si="16"/>
        <v/>
      </c>
      <c r="H249" s="73" t="str">
        <f t="shared" si="17"/>
        <v/>
      </c>
    </row>
    <row r="250" spans="2:8" x14ac:dyDescent="0.25">
      <c r="B250" t="str">
        <f t="shared" si="14"/>
        <v/>
      </c>
      <c r="C250" s="31" t="str">
        <f t="shared" si="15"/>
        <v/>
      </c>
      <c r="E250" s="90"/>
      <c r="F250" s="90"/>
      <c r="G250" s="51" t="str">
        <f t="shared" si="16"/>
        <v/>
      </c>
      <c r="H250" s="73" t="str">
        <f t="shared" si="17"/>
        <v/>
      </c>
    </row>
    <row r="251" spans="2:8" x14ac:dyDescent="0.25">
      <c r="B251" t="str">
        <f t="shared" si="14"/>
        <v/>
      </c>
      <c r="C251" s="31" t="str">
        <f t="shared" si="15"/>
        <v/>
      </c>
      <c r="E251" s="90"/>
      <c r="F251" s="90"/>
      <c r="G251" s="51" t="str">
        <f t="shared" si="16"/>
        <v/>
      </c>
      <c r="H251" s="73" t="str">
        <f t="shared" si="17"/>
        <v/>
      </c>
    </row>
    <row r="252" spans="2:8" x14ac:dyDescent="0.25">
      <c r="B252" t="str">
        <f t="shared" si="14"/>
        <v/>
      </c>
      <c r="C252" s="31" t="str">
        <f t="shared" si="15"/>
        <v/>
      </c>
      <c r="E252" s="90"/>
      <c r="F252" s="90"/>
      <c r="G252" s="51" t="str">
        <f t="shared" si="16"/>
        <v/>
      </c>
      <c r="H252" s="73" t="str">
        <f t="shared" si="17"/>
        <v/>
      </c>
    </row>
    <row r="253" spans="2:8" x14ac:dyDescent="0.25">
      <c r="B253" t="str">
        <f t="shared" si="14"/>
        <v/>
      </c>
      <c r="C253" s="31" t="str">
        <f t="shared" si="15"/>
        <v/>
      </c>
      <c r="E253" s="90"/>
      <c r="F253" s="90"/>
      <c r="G253" s="51" t="str">
        <f t="shared" si="16"/>
        <v/>
      </c>
      <c r="H253" s="73" t="str">
        <f t="shared" si="17"/>
        <v/>
      </c>
    </row>
    <row r="254" spans="2:8" x14ac:dyDescent="0.25">
      <c r="B254" t="str">
        <f t="shared" si="14"/>
        <v/>
      </c>
      <c r="C254" s="31" t="str">
        <f t="shared" si="15"/>
        <v/>
      </c>
      <c r="E254" s="90"/>
      <c r="F254" s="90"/>
      <c r="G254" s="51" t="str">
        <f t="shared" si="16"/>
        <v/>
      </c>
      <c r="H254" s="73" t="str">
        <f t="shared" si="17"/>
        <v/>
      </c>
    </row>
    <row r="255" spans="2:8" x14ac:dyDescent="0.25">
      <c r="B255" t="str">
        <f t="shared" si="14"/>
        <v/>
      </c>
      <c r="C255" s="31" t="str">
        <f t="shared" si="15"/>
        <v/>
      </c>
      <c r="E255" s="90"/>
      <c r="F255" s="90"/>
      <c r="G255" s="51" t="str">
        <f t="shared" si="16"/>
        <v/>
      </c>
      <c r="H255" s="73" t="str">
        <f t="shared" si="17"/>
        <v/>
      </c>
    </row>
    <row r="256" spans="2:8" x14ac:dyDescent="0.25">
      <c r="B256" t="str">
        <f t="shared" si="14"/>
        <v/>
      </c>
      <c r="C256" s="31" t="str">
        <f t="shared" si="15"/>
        <v/>
      </c>
      <c r="E256" s="90"/>
      <c r="F256" s="90"/>
      <c r="G256" s="51" t="str">
        <f t="shared" si="16"/>
        <v/>
      </c>
      <c r="H256" s="73" t="str">
        <f t="shared" si="17"/>
        <v/>
      </c>
    </row>
    <row r="257" spans="2:8" x14ac:dyDescent="0.25">
      <c r="B257" t="str">
        <f t="shared" si="14"/>
        <v/>
      </c>
      <c r="C257" s="31" t="str">
        <f t="shared" si="15"/>
        <v/>
      </c>
      <c r="E257" s="90"/>
      <c r="F257" s="90"/>
      <c r="G257" s="51" t="str">
        <f t="shared" si="16"/>
        <v/>
      </c>
      <c r="H257" s="73" t="str">
        <f t="shared" si="17"/>
        <v/>
      </c>
    </row>
    <row r="258" spans="2:8" s="30" customFormat="1" x14ac:dyDescent="0.25">
      <c r="D258" s="94"/>
    </row>
  </sheetData>
  <protectedRanges>
    <protectedRange sqref="E9:F9 D7:F8 D10:F257" name="Range1"/>
  </protectedRanges>
  <pageMargins left="0.7" right="0.7" top="0.75" bottom="0.75" header="0.3" footer="0.3"/>
  <pageSetup paperSize="9" scale="76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nh_gia">
                <anchor moveWithCells="1" sizeWithCells="1">
                  <from>
                    <xdr:col>6</xdr:col>
                    <xdr:colOff>304800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2:W1002"/>
  <sheetViews>
    <sheetView workbookViewId="0">
      <selection activeCell="M500" sqref="M500"/>
    </sheetView>
  </sheetViews>
  <sheetFormatPr defaultRowHeight="15" x14ac:dyDescent="0.25"/>
  <cols>
    <col min="1" max="1" width="4.7109375" customWidth="1"/>
    <col min="2" max="22" width="6.5703125" bestFit="1" customWidth="1"/>
    <col min="23" max="23" width="6" bestFit="1" customWidth="1"/>
  </cols>
  <sheetData>
    <row r="2" spans="1:23" x14ac:dyDescent="0.25">
      <c r="A2" s="48" t="s">
        <v>34</v>
      </c>
      <c r="B2" s="48">
        <v>0</v>
      </c>
      <c r="C2" s="48">
        <v>1</v>
      </c>
      <c r="D2" s="48">
        <v>2</v>
      </c>
      <c r="E2" s="48">
        <v>3</v>
      </c>
      <c r="F2" s="48">
        <v>4</v>
      </c>
      <c r="G2" s="48">
        <v>5</v>
      </c>
      <c r="H2" s="48">
        <v>6</v>
      </c>
      <c r="I2" s="48">
        <v>7</v>
      </c>
      <c r="J2" s="48">
        <v>8</v>
      </c>
      <c r="K2" s="48">
        <v>9</v>
      </c>
      <c r="L2" s="48">
        <v>10</v>
      </c>
      <c r="M2" s="48">
        <v>11</v>
      </c>
      <c r="N2" s="48">
        <v>12</v>
      </c>
      <c r="O2" s="48">
        <v>13</v>
      </c>
      <c r="P2" s="48">
        <v>14</v>
      </c>
      <c r="Q2" s="48">
        <v>15</v>
      </c>
      <c r="R2" s="48">
        <v>16</v>
      </c>
      <c r="S2" s="48">
        <v>17</v>
      </c>
      <c r="T2" s="48">
        <v>18</v>
      </c>
      <c r="U2" s="48">
        <v>19</v>
      </c>
      <c r="V2" s="48">
        <v>20</v>
      </c>
      <c r="W2" s="47" t="s">
        <v>36</v>
      </c>
    </row>
    <row r="3" spans="1:23" x14ac:dyDescent="0.25">
      <c r="A3" s="50" t="s">
        <v>35</v>
      </c>
      <c r="B3" s="49">
        <f t="shared" ref="B3:K12" si="0">_xlfn.HYPGEOM.DIST(B$2,comau,tongtheN*$W3,tongtheN,TRUE)</f>
        <v>0</v>
      </c>
      <c r="C3" s="49">
        <f t="shared" si="0"/>
        <v>0</v>
      </c>
      <c r="D3" s="49">
        <f t="shared" si="0"/>
        <v>0</v>
      </c>
      <c r="E3" s="49">
        <f t="shared" si="0"/>
        <v>0</v>
      </c>
      <c r="F3" s="49">
        <f t="shared" si="0"/>
        <v>0</v>
      </c>
      <c r="G3" s="49">
        <f t="shared" si="0"/>
        <v>0</v>
      </c>
      <c r="H3" s="49">
        <f t="shared" si="0"/>
        <v>0</v>
      </c>
      <c r="I3" s="49">
        <f t="shared" si="0"/>
        <v>0</v>
      </c>
      <c r="J3" s="49">
        <f t="shared" si="0"/>
        <v>0</v>
      </c>
      <c r="K3" s="49">
        <f t="shared" si="0"/>
        <v>0</v>
      </c>
      <c r="L3" s="49">
        <f t="shared" ref="L3:V12" si="1">_xlfn.HYPGEOM.DIST(L$2,comau,tongtheN*$W3,tongtheN,TRUE)</f>
        <v>0</v>
      </c>
      <c r="M3" s="49">
        <f t="shared" si="1"/>
        <v>0</v>
      </c>
      <c r="N3" s="49">
        <f t="shared" si="1"/>
        <v>0</v>
      </c>
      <c r="O3" s="49">
        <f t="shared" si="1"/>
        <v>0</v>
      </c>
      <c r="P3" s="49">
        <f t="shared" si="1"/>
        <v>0</v>
      </c>
      <c r="Q3" s="49">
        <f t="shared" si="1"/>
        <v>0</v>
      </c>
      <c r="R3" s="49">
        <f t="shared" si="1"/>
        <v>0</v>
      </c>
      <c r="S3" s="49">
        <f t="shared" si="1"/>
        <v>0</v>
      </c>
      <c r="T3" s="49">
        <f t="shared" si="1"/>
        <v>0</v>
      </c>
      <c r="U3" s="49">
        <f t="shared" si="1"/>
        <v>0</v>
      </c>
      <c r="V3" s="49">
        <f t="shared" si="1"/>
        <v>0</v>
      </c>
      <c r="W3" s="47">
        <v>1</v>
      </c>
    </row>
    <row r="4" spans="1:23" x14ac:dyDescent="0.25">
      <c r="B4" s="49">
        <f t="shared" si="0"/>
        <v>1.4409597202071279E-302</v>
      </c>
      <c r="C4" s="49">
        <f t="shared" si="0"/>
        <v>1.5689721866946961E-297</v>
      </c>
      <c r="D4" s="49">
        <f t="shared" si="0"/>
        <v>8.4486884946987373E-293</v>
      </c>
      <c r="E4" s="49">
        <f t="shared" si="0"/>
        <v>2.9996375622419886E-288</v>
      </c>
      <c r="F4" s="49">
        <f t="shared" si="0"/>
        <v>7.8988044276059274E-284</v>
      </c>
      <c r="G4" s="49">
        <f t="shared" si="0"/>
        <v>1.6453183970859952E-279</v>
      </c>
      <c r="H4" s="49">
        <f t="shared" si="0"/>
        <v>2.8236870431324434E-275</v>
      </c>
      <c r="I4" s="49">
        <f t="shared" si="0"/>
        <v>4.106273509082826E-271</v>
      </c>
      <c r="J4" s="49">
        <f t="shared" si="0"/>
        <v>5.1647575322998729E-267</v>
      </c>
      <c r="K4" s="49">
        <f t="shared" si="0"/>
        <v>5.7070584399728198E-263</v>
      </c>
      <c r="L4" s="49">
        <f t="shared" si="1"/>
        <v>5.6089180432527732E-259</v>
      </c>
      <c r="M4" s="49">
        <f t="shared" si="1"/>
        <v>4.9517986253378128E-255</v>
      </c>
      <c r="N4" s="49">
        <f t="shared" si="1"/>
        <v>3.9592672908469403E-251</v>
      </c>
      <c r="O4" s="49">
        <f t="shared" si="1"/>
        <v>2.886732979197271E-247</v>
      </c>
      <c r="P4" s="49">
        <f t="shared" si="1"/>
        <v>1.9304566025245167E-243</v>
      </c>
      <c r="Q4" s="49">
        <f t="shared" si="1"/>
        <v>1.1899796707348409E-239</v>
      </c>
      <c r="R4" s="49">
        <f t="shared" si="1"/>
        <v>6.7908047054714329E-236</v>
      </c>
      <c r="S4" s="49">
        <f t="shared" si="1"/>
        <v>3.6011827718404511E-232</v>
      </c>
      <c r="T4" s="49">
        <f t="shared" si="1"/>
        <v>1.7805552940974274E-228</v>
      </c>
      <c r="U4" s="49">
        <f t="shared" si="1"/>
        <v>8.2325037822040329E-225</v>
      </c>
      <c r="V4" s="49">
        <f t="shared" si="1"/>
        <v>3.5687411266054577E-221</v>
      </c>
      <c r="W4" s="47">
        <v>0.999</v>
      </c>
    </row>
    <row r="5" spans="1:23" x14ac:dyDescent="0.25">
      <c r="B5" s="49">
        <f t="shared" si="0"/>
        <v>1.5718714784608125E-271</v>
      </c>
      <c r="C5" s="49">
        <f t="shared" si="0"/>
        <v>8.181266629151625E-267</v>
      </c>
      <c r="D5" s="49">
        <f t="shared" si="0"/>
        <v>2.1068827687408591E-262</v>
      </c>
      <c r="E5" s="49">
        <f t="shared" si="0"/>
        <v>3.5790768037281491E-258</v>
      </c>
      <c r="F5" s="49">
        <f t="shared" si="0"/>
        <v>4.5114887058224401E-254</v>
      </c>
      <c r="G5" s="49">
        <f t="shared" si="0"/>
        <v>4.5005914624139447E-250</v>
      </c>
      <c r="H5" s="49">
        <f t="shared" si="0"/>
        <v>3.7008535441550894E-246</v>
      </c>
      <c r="I5" s="49">
        <f t="shared" si="0"/>
        <v>2.5799020381391273E-242</v>
      </c>
      <c r="J5" s="49">
        <f t="shared" si="0"/>
        <v>1.5562498398768546E-238</v>
      </c>
      <c r="K5" s="49">
        <f t="shared" si="0"/>
        <v>8.2512454848852061E-235</v>
      </c>
      <c r="L5" s="49">
        <f t="shared" si="1"/>
        <v>3.8928492623951678E-231</v>
      </c>
      <c r="M5" s="49">
        <f t="shared" si="1"/>
        <v>1.6505778174463748E-227</v>
      </c>
      <c r="N5" s="49">
        <f t="shared" si="1"/>
        <v>6.3412569600276431E-224</v>
      </c>
      <c r="O5" s="49">
        <f t="shared" si="1"/>
        <v>2.222579699107321E-220</v>
      </c>
      <c r="P5" s="49">
        <f t="shared" si="1"/>
        <v>7.1483104488179946E-217</v>
      </c>
      <c r="Q5" s="49">
        <f t="shared" si="1"/>
        <v>2.1202042814901474E-213</v>
      </c>
      <c r="R5" s="49">
        <f t="shared" si="1"/>
        <v>5.8244659984441451E-210</v>
      </c>
      <c r="S5" s="49">
        <f t="shared" si="1"/>
        <v>1.4875733473758885E-206</v>
      </c>
      <c r="T5" s="49">
        <f t="shared" si="1"/>
        <v>3.5439568233163195E-203</v>
      </c>
      <c r="U5" s="49">
        <f t="shared" si="1"/>
        <v>7.8988842251766133E-200</v>
      </c>
      <c r="V5" s="49">
        <f t="shared" si="1"/>
        <v>1.6513934854208362E-196</v>
      </c>
      <c r="W5" s="47">
        <v>0.998</v>
      </c>
    </row>
    <row r="6" spans="1:23" x14ac:dyDescent="0.25">
      <c r="B6" s="49">
        <f t="shared" si="0"/>
        <v>1.2917640575015516E-253</v>
      </c>
      <c r="C6" s="49">
        <f t="shared" si="0"/>
        <v>4.414486555424749E-249</v>
      </c>
      <c r="D6" s="49">
        <f t="shared" si="0"/>
        <v>7.4654891733301887E-245</v>
      </c>
      <c r="E6" s="49">
        <f t="shared" si="0"/>
        <v>8.3293646898929493E-241</v>
      </c>
      <c r="F6" s="49">
        <f t="shared" si="0"/>
        <v>6.896811636004398E-237</v>
      </c>
      <c r="G6" s="49">
        <f t="shared" si="0"/>
        <v>4.5201239059404267E-233</v>
      </c>
      <c r="H6" s="49">
        <f t="shared" si="0"/>
        <v>2.442302689270349E-229</v>
      </c>
      <c r="I6" s="49">
        <f t="shared" si="0"/>
        <v>1.1188765854736152E-225</v>
      </c>
      <c r="J6" s="49">
        <f t="shared" si="0"/>
        <v>4.4361290140797277E-222</v>
      </c>
      <c r="K6" s="49">
        <f t="shared" si="0"/>
        <v>1.5461609101827626E-218</v>
      </c>
      <c r="L6" s="49">
        <f t="shared" si="1"/>
        <v>4.7959816576074007E-215</v>
      </c>
      <c r="M6" s="49">
        <f t="shared" si="1"/>
        <v>1.3371651359572163E-211</v>
      </c>
      <c r="N6" s="49">
        <f t="shared" si="1"/>
        <v>3.3785304257346673E-208</v>
      </c>
      <c r="O6" s="49">
        <f t="shared" si="1"/>
        <v>7.7889255574718336E-205</v>
      </c>
      <c r="P6" s="49">
        <f t="shared" si="1"/>
        <v>1.6479938507660583E-201</v>
      </c>
      <c r="Q6" s="49">
        <f t="shared" si="1"/>
        <v>3.2160742184012614E-198</v>
      </c>
      <c r="R6" s="49">
        <f t="shared" si="1"/>
        <v>5.813863153392113E-195</v>
      </c>
      <c r="S6" s="49">
        <f t="shared" si="1"/>
        <v>9.7726317793967816E-192</v>
      </c>
      <c r="T6" s="49">
        <f t="shared" si="1"/>
        <v>1.5325339530340022E-188</v>
      </c>
      <c r="U6" s="49">
        <f t="shared" si="1"/>
        <v>2.2487439452287607E-185</v>
      </c>
      <c r="V6" s="49">
        <f t="shared" si="1"/>
        <v>3.0955755034638371E-182</v>
      </c>
      <c r="W6" s="47">
        <v>0.997</v>
      </c>
    </row>
    <row r="7" spans="1:23" x14ac:dyDescent="0.25">
      <c r="B7" s="49">
        <f t="shared" si="0"/>
        <v>5.7121204064805794E-241</v>
      </c>
      <c r="C7" s="49">
        <f t="shared" si="0"/>
        <v>1.4523281932794609E-236</v>
      </c>
      <c r="D7" s="49">
        <f t="shared" si="0"/>
        <v>1.8274478739747089E-232</v>
      </c>
      <c r="E7" s="49">
        <f t="shared" si="0"/>
        <v>1.5171638865138064E-228</v>
      </c>
      <c r="F7" s="49">
        <f t="shared" si="0"/>
        <v>9.3483420488700174E-225</v>
      </c>
      <c r="G7" s="49">
        <f t="shared" si="0"/>
        <v>4.5596749857980592E-221</v>
      </c>
      <c r="H7" s="49">
        <f t="shared" si="0"/>
        <v>1.8336314398424278E-217</v>
      </c>
      <c r="I7" s="49">
        <f t="shared" si="0"/>
        <v>6.2525250210501322E-214</v>
      </c>
      <c r="J7" s="49">
        <f t="shared" si="0"/>
        <v>1.8453119061876345E-210</v>
      </c>
      <c r="K7" s="49">
        <f t="shared" si="0"/>
        <v>4.7878917773327485E-207</v>
      </c>
      <c r="L7" s="49">
        <f t="shared" si="1"/>
        <v>1.1056630973653893E-203</v>
      </c>
      <c r="M7" s="49">
        <f t="shared" si="1"/>
        <v>2.2951847236570453E-200</v>
      </c>
      <c r="N7" s="49">
        <f t="shared" si="1"/>
        <v>4.3179673548859472E-197</v>
      </c>
      <c r="O7" s="49">
        <f t="shared" si="1"/>
        <v>7.4127542711085699E-194</v>
      </c>
      <c r="P7" s="49">
        <f t="shared" si="1"/>
        <v>1.1679917272272873E-190</v>
      </c>
      <c r="Q7" s="49">
        <f t="shared" si="1"/>
        <v>1.6975554115889007E-187</v>
      </c>
      <c r="R7" s="49">
        <f t="shared" si="1"/>
        <v>2.2856408848303028E-184</v>
      </c>
      <c r="S7" s="49">
        <f t="shared" si="1"/>
        <v>2.8617493084099639E-181</v>
      </c>
      <c r="T7" s="49">
        <f t="shared" si="1"/>
        <v>3.3430169028237367E-178</v>
      </c>
      <c r="U7" s="49">
        <f t="shared" si="1"/>
        <v>3.6543356666441859E-175</v>
      </c>
      <c r="V7" s="49">
        <f t="shared" si="1"/>
        <v>3.7478424790454508E-172</v>
      </c>
      <c r="W7" s="47">
        <v>0.996</v>
      </c>
    </row>
    <row r="8" spans="1:23" x14ac:dyDescent="0.25">
      <c r="B8" s="49">
        <f t="shared" si="0"/>
        <v>3.4554280112448089E-231</v>
      </c>
      <c r="C8" s="49">
        <f t="shared" si="0"/>
        <v>6.9920097445066219E-227</v>
      </c>
      <c r="D8" s="49">
        <f t="shared" si="0"/>
        <v>7.0021899367589345E-223</v>
      </c>
      <c r="E8" s="49">
        <f t="shared" si="0"/>
        <v>4.6269188743860341E-219</v>
      </c>
      <c r="F8" s="49">
        <f t="shared" si="0"/>
        <v>2.2692552308467023E-215</v>
      </c>
      <c r="G8" s="49">
        <f t="shared" si="0"/>
        <v>8.810303286369062E-212</v>
      </c>
      <c r="H8" s="49">
        <f t="shared" si="0"/>
        <v>2.8203051084856914E-208</v>
      </c>
      <c r="I8" s="49">
        <f t="shared" si="0"/>
        <v>7.6557089041280858E-205</v>
      </c>
      <c r="J8" s="49">
        <f t="shared" si="0"/>
        <v>1.798724003909037E-201</v>
      </c>
      <c r="K8" s="49">
        <f t="shared" si="0"/>
        <v>3.7155463905165991E-198</v>
      </c>
      <c r="L8" s="49">
        <f t="shared" si="1"/>
        <v>6.8313043348488569E-195</v>
      </c>
      <c r="M8" s="49">
        <f t="shared" si="1"/>
        <v>1.1290671084988194E-191</v>
      </c>
      <c r="N8" s="49">
        <f t="shared" si="1"/>
        <v>1.6913036713764478E-188</v>
      </c>
      <c r="O8" s="49">
        <f t="shared" si="1"/>
        <v>2.3119625599029554E-185</v>
      </c>
      <c r="P8" s="49">
        <f t="shared" si="1"/>
        <v>2.900806390285858E-182</v>
      </c>
      <c r="Q8" s="49">
        <f t="shared" si="1"/>
        <v>3.3573726241343029E-179</v>
      </c>
      <c r="R8" s="49">
        <f t="shared" si="1"/>
        <v>3.5999710878801474E-176</v>
      </c>
      <c r="S8" s="49">
        <f t="shared" si="1"/>
        <v>3.589689258549548E-173</v>
      </c>
      <c r="T8" s="49">
        <f t="shared" si="1"/>
        <v>3.3397727146244413E-170</v>
      </c>
      <c r="U8" s="49">
        <f t="shared" si="1"/>
        <v>2.9077607136748394E-167</v>
      </c>
      <c r="V8" s="49">
        <f t="shared" si="1"/>
        <v>2.3753207419654467E-164</v>
      </c>
      <c r="W8" s="47">
        <v>0.995</v>
      </c>
    </row>
    <row r="9" spans="1:23" x14ac:dyDescent="0.25">
      <c r="B9" s="49">
        <f t="shared" si="0"/>
        <v>3.2881689342520234E-223</v>
      </c>
      <c r="C9" s="49">
        <f t="shared" si="0"/>
        <v>5.523674690398697E-219</v>
      </c>
      <c r="D9" s="49">
        <f t="shared" si="0"/>
        <v>4.5924694473238338E-215</v>
      </c>
      <c r="E9" s="49">
        <f t="shared" si="0"/>
        <v>2.5194347590928268E-211</v>
      </c>
      <c r="F9" s="49">
        <f t="shared" si="0"/>
        <v>1.0259021549569663E-207</v>
      </c>
      <c r="G9" s="49">
        <f t="shared" si="0"/>
        <v>3.3070239623032039E-204</v>
      </c>
      <c r="H9" s="49">
        <f t="shared" si="0"/>
        <v>8.7897997961424944E-201</v>
      </c>
      <c r="I9" s="49">
        <f t="shared" si="0"/>
        <v>1.9811493991073715E-197</v>
      </c>
      <c r="J9" s="49">
        <f t="shared" si="0"/>
        <v>3.8650738010934426E-194</v>
      </c>
      <c r="K9" s="49">
        <f t="shared" si="0"/>
        <v>6.629639490242475E-191</v>
      </c>
      <c r="L9" s="49">
        <f t="shared" si="1"/>
        <v>1.0121790432297343E-187</v>
      </c>
      <c r="M9" s="49">
        <f t="shared" si="1"/>
        <v>1.3892245999849266E-184</v>
      </c>
      <c r="N9" s="49">
        <f t="shared" si="1"/>
        <v>1.7281674512739269E-181</v>
      </c>
      <c r="O9" s="49">
        <f t="shared" si="1"/>
        <v>1.9618647599799014E-178</v>
      </c>
      <c r="P9" s="49">
        <f t="shared" si="1"/>
        <v>2.0442950285812953E-175</v>
      </c>
      <c r="Q9" s="49">
        <f t="shared" si="1"/>
        <v>1.9650493158034137E-172</v>
      </c>
      <c r="R9" s="49">
        <f t="shared" si="1"/>
        <v>1.7499857967065438E-169</v>
      </c>
      <c r="S9" s="49">
        <f t="shared" si="1"/>
        <v>1.4493273610050857E-166</v>
      </c>
      <c r="T9" s="49">
        <f t="shared" si="1"/>
        <v>1.1199875543883147E-163</v>
      </c>
      <c r="U9" s="49">
        <f t="shared" si="1"/>
        <v>8.0994237987612694E-161</v>
      </c>
      <c r="V9" s="49">
        <f t="shared" si="1"/>
        <v>5.495781062619217E-158</v>
      </c>
      <c r="W9" s="47">
        <v>0.99399999999999999</v>
      </c>
    </row>
    <row r="10" spans="1:23" x14ac:dyDescent="0.25">
      <c r="B10" s="49">
        <f t="shared" si="0"/>
        <v>1.7974443883159752E-216</v>
      </c>
      <c r="C10" s="49">
        <f t="shared" si="0"/>
        <v>2.5803926502544644E-212</v>
      </c>
      <c r="D10" s="49">
        <f t="shared" si="0"/>
        <v>1.8334508405016528E-208</v>
      </c>
      <c r="E10" s="49">
        <f t="shared" si="0"/>
        <v>8.596077692104648E-205</v>
      </c>
      <c r="F10" s="49">
        <f t="shared" si="0"/>
        <v>2.9914814121717109E-201</v>
      </c>
      <c r="G10" s="49">
        <f t="shared" si="0"/>
        <v>8.2415669430691835E-198</v>
      </c>
      <c r="H10" s="49">
        <f t="shared" si="0"/>
        <v>1.8722008845358368E-194</v>
      </c>
      <c r="I10" s="49">
        <f t="shared" si="0"/>
        <v>3.6066220741370415E-191</v>
      </c>
      <c r="J10" s="49">
        <f t="shared" si="0"/>
        <v>6.0139537056355575E-188</v>
      </c>
      <c r="K10" s="49">
        <f t="shared" si="0"/>
        <v>8.8169832932912154E-185</v>
      </c>
      <c r="L10" s="49">
        <f t="shared" si="1"/>
        <v>1.1505995451832968E-181</v>
      </c>
      <c r="M10" s="49">
        <f t="shared" si="1"/>
        <v>1.3498484482008844E-178</v>
      </c>
      <c r="N10" s="49">
        <f t="shared" si="1"/>
        <v>1.4353340815807612E-175</v>
      </c>
      <c r="O10" s="49">
        <f t="shared" si="1"/>
        <v>1.3928354542484908E-172</v>
      </c>
      <c r="P10" s="49">
        <f t="shared" si="1"/>
        <v>1.2406430129867739E-169</v>
      </c>
      <c r="Q10" s="49">
        <f t="shared" si="1"/>
        <v>1.0194317990434018E-166</v>
      </c>
      <c r="R10" s="49">
        <f t="shared" si="1"/>
        <v>7.7608565381058586E-164</v>
      </c>
      <c r="S10" s="49">
        <f t="shared" si="1"/>
        <v>5.4946620131708427E-161</v>
      </c>
      <c r="T10" s="49">
        <f t="shared" si="1"/>
        <v>3.6299112264694341E-158</v>
      </c>
      <c r="U10" s="49">
        <f t="shared" si="1"/>
        <v>2.2441619980414359E-155</v>
      </c>
      <c r="V10" s="49">
        <f t="shared" si="1"/>
        <v>1.3018343821162971E-152</v>
      </c>
      <c r="W10" s="47">
        <v>0.99299999999999999</v>
      </c>
    </row>
    <row r="11" spans="1:23" x14ac:dyDescent="0.25">
      <c r="B11" s="49">
        <f t="shared" si="0"/>
        <v>1.2192125632502032E-210</v>
      </c>
      <c r="C11" s="49">
        <f t="shared" si="0"/>
        <v>1.5276986345425199E-206</v>
      </c>
      <c r="D11" s="49">
        <f t="shared" si="0"/>
        <v>9.4744888331318361E-203</v>
      </c>
      <c r="E11" s="49">
        <f t="shared" si="0"/>
        <v>3.8772889932415939E-199</v>
      </c>
      <c r="F11" s="49">
        <f t="shared" si="0"/>
        <v>1.1777745620796185E-195</v>
      </c>
      <c r="G11" s="49">
        <f t="shared" si="0"/>
        <v>2.8323073139701498E-192</v>
      </c>
      <c r="H11" s="49">
        <f t="shared" si="0"/>
        <v>5.6162244204714176E-189</v>
      </c>
      <c r="I11" s="49">
        <f t="shared" si="0"/>
        <v>9.444104246299624E-186</v>
      </c>
      <c r="J11" s="49">
        <f t="shared" si="0"/>
        <v>1.3746592251598971E-182</v>
      </c>
      <c r="K11" s="49">
        <f t="shared" si="0"/>
        <v>1.7592863401858944E-179</v>
      </c>
      <c r="L11" s="49">
        <f t="shared" si="1"/>
        <v>2.0041441884090323E-176</v>
      </c>
      <c r="M11" s="49">
        <f t="shared" si="1"/>
        <v>2.0525074534823039E-173</v>
      </c>
      <c r="N11" s="49">
        <f t="shared" si="1"/>
        <v>1.905260700283325E-170</v>
      </c>
      <c r="O11" s="49">
        <f t="shared" si="1"/>
        <v>1.614022647383111E-167</v>
      </c>
      <c r="P11" s="49">
        <f t="shared" si="1"/>
        <v>1.255081029341163E-164</v>
      </c>
      <c r="Q11" s="49">
        <f t="shared" si="1"/>
        <v>9.0033669641416092E-162</v>
      </c>
      <c r="R11" s="49">
        <f t="shared" si="1"/>
        <v>5.9839093044668572E-159</v>
      </c>
      <c r="S11" s="49">
        <f t="shared" si="1"/>
        <v>3.6987215124703066E-156</v>
      </c>
      <c r="T11" s="49">
        <f t="shared" si="1"/>
        <v>2.1332840773316192E-153</v>
      </c>
      <c r="U11" s="49">
        <f t="shared" si="1"/>
        <v>1.1514780635074964E-150</v>
      </c>
      <c r="V11" s="49">
        <f t="shared" si="1"/>
        <v>5.8319356429517288E-148</v>
      </c>
      <c r="W11" s="47">
        <v>0.99199999999999999</v>
      </c>
    </row>
    <row r="12" spans="1:23" x14ac:dyDescent="0.25">
      <c r="B12" s="49">
        <f t="shared" si="0"/>
        <v>1.6841342342209374E-205</v>
      </c>
      <c r="C12" s="49">
        <f t="shared" si="0"/>
        <v>1.8717434356975763E-201</v>
      </c>
      <c r="D12" s="49">
        <f t="shared" si="0"/>
        <v>1.0296295185148391E-197</v>
      </c>
      <c r="E12" s="49">
        <f t="shared" si="0"/>
        <v>3.7374479585468318E-194</v>
      </c>
      <c r="F12" s="49">
        <f t="shared" si="0"/>
        <v>1.0070155010544477E-190</v>
      </c>
      <c r="G12" s="49">
        <f t="shared" si="0"/>
        <v>2.1480608706651745E-187</v>
      </c>
      <c r="H12" s="49">
        <f t="shared" si="0"/>
        <v>3.7782275549664182E-184</v>
      </c>
      <c r="I12" s="49">
        <f t="shared" si="0"/>
        <v>5.635690078584282E-181</v>
      </c>
      <c r="J12" s="49">
        <f t="shared" si="0"/>
        <v>7.2766130427240421E-178</v>
      </c>
      <c r="K12" s="49">
        <f t="shared" si="0"/>
        <v>8.2608339033300423E-175</v>
      </c>
      <c r="L12" s="49">
        <f t="shared" si="1"/>
        <v>8.3478509397022991E-172</v>
      </c>
      <c r="M12" s="49">
        <f t="shared" si="1"/>
        <v>7.5839255850649867E-169</v>
      </c>
      <c r="N12" s="49">
        <f t="shared" si="1"/>
        <v>6.2450017762500819E-166</v>
      </c>
      <c r="O12" s="49">
        <f t="shared" si="1"/>
        <v>4.6931221703617124E-163</v>
      </c>
      <c r="P12" s="49">
        <f t="shared" si="1"/>
        <v>3.2374519007688561E-160</v>
      </c>
      <c r="Q12" s="49">
        <f t="shared" si="1"/>
        <v>2.0602555098022911E-157</v>
      </c>
      <c r="R12" s="49">
        <f t="shared" si="1"/>
        <v>1.2147613370163169E-154</v>
      </c>
      <c r="S12" s="49">
        <f t="shared" si="1"/>
        <v>6.6612030845819353E-152</v>
      </c>
      <c r="T12" s="49">
        <f t="shared" si="1"/>
        <v>3.4083962375591615E-149</v>
      </c>
      <c r="U12" s="49">
        <f t="shared" si="1"/>
        <v>1.632159752093033E-146</v>
      </c>
      <c r="V12" s="49">
        <f t="shared" si="1"/>
        <v>7.3338259564152716E-144</v>
      </c>
      <c r="W12" s="47">
        <v>0.99099999999999999</v>
      </c>
    </row>
    <row r="13" spans="1:23" x14ac:dyDescent="0.25">
      <c r="B13" s="49">
        <f t="shared" ref="B13:K22" si="2">_xlfn.HYPGEOM.DIST(B$2,comau,tongtheN*$W13,tongtheN,TRUE)</f>
        <v>6.6396905111490137E-201</v>
      </c>
      <c r="C13" s="49">
        <f t="shared" si="2"/>
        <v>6.6286383638460162E-197</v>
      </c>
      <c r="D13" s="49">
        <f t="shared" si="2"/>
        <v>3.2754430199069922E-193</v>
      </c>
      <c r="E13" s="49">
        <f t="shared" si="2"/>
        <v>1.0680201793058302E-189</v>
      </c>
      <c r="F13" s="49">
        <f t="shared" si="2"/>
        <v>2.5849960651378411E-186</v>
      </c>
      <c r="G13" s="49">
        <f t="shared" si="2"/>
        <v>4.953291983768557E-183</v>
      </c>
      <c r="H13" s="49">
        <f t="shared" si="2"/>
        <v>7.8264220058865683E-180</v>
      </c>
      <c r="I13" s="49">
        <f t="shared" si="2"/>
        <v>1.0487072038758012E-176</v>
      </c>
      <c r="J13" s="49">
        <f t="shared" si="2"/>
        <v>1.2163893928062601E-173</v>
      </c>
      <c r="K13" s="49">
        <f t="shared" si="2"/>
        <v>1.2405310168254405E-170</v>
      </c>
      <c r="L13" s="49">
        <f t="shared" ref="L13:V22" si="3">_xlfn.HYPGEOM.DIST(L$2,comau,tongtheN*$W13,tongtheN,TRUE)</f>
        <v>1.1261675733661377E-167</v>
      </c>
      <c r="M13" s="49">
        <f t="shared" si="3"/>
        <v>9.1911784015756252E-165</v>
      </c>
      <c r="N13" s="49">
        <f t="shared" si="3"/>
        <v>6.7992765833034483E-162</v>
      </c>
      <c r="O13" s="49">
        <f t="shared" si="3"/>
        <v>4.5903861676966148E-159</v>
      </c>
      <c r="P13" s="49">
        <f t="shared" si="3"/>
        <v>2.8448025176404673E-156</v>
      </c>
      <c r="Q13" s="49">
        <f t="shared" si="3"/>
        <v>1.6264306099476535E-153</v>
      </c>
      <c r="R13" s="49">
        <f t="shared" si="3"/>
        <v>8.6153970248375003E-151</v>
      </c>
      <c r="S13" s="49">
        <f t="shared" si="3"/>
        <v>4.2443492968609687E-148</v>
      </c>
      <c r="T13" s="49">
        <f t="shared" si="3"/>
        <v>1.9511329437614885E-145</v>
      </c>
      <c r="U13" s="49">
        <f t="shared" si="3"/>
        <v>8.3942524862284512E-143</v>
      </c>
      <c r="V13" s="49">
        <f t="shared" si="3"/>
        <v>3.3887285784466604E-140</v>
      </c>
      <c r="W13" s="47">
        <v>0.99</v>
      </c>
    </row>
    <row r="14" spans="1:23" x14ac:dyDescent="0.25">
      <c r="B14" s="49">
        <f t="shared" si="2"/>
        <v>9.5014271471468158E-197</v>
      </c>
      <c r="C14" s="49">
        <f t="shared" si="2"/>
        <v>8.6081509199341178E-193</v>
      </c>
      <c r="D14" s="49">
        <f t="shared" si="2"/>
        <v>3.8601445513346818E-189</v>
      </c>
      <c r="E14" s="49">
        <f t="shared" si="2"/>
        <v>1.1422584648388481E-185</v>
      </c>
      <c r="F14" s="49">
        <f t="shared" si="2"/>
        <v>2.5089942016562327E-182</v>
      </c>
      <c r="G14" s="49">
        <f t="shared" si="2"/>
        <v>4.3630680305702852E-179</v>
      </c>
      <c r="H14" s="49">
        <f t="shared" si="2"/>
        <v>6.2563789112694757E-176</v>
      </c>
      <c r="I14" s="49">
        <f t="shared" si="2"/>
        <v>7.6081524183459902E-173</v>
      </c>
      <c r="J14" s="49">
        <f t="shared" si="2"/>
        <v>8.0087769194752112E-170</v>
      </c>
      <c r="K14" s="49">
        <f t="shared" si="2"/>
        <v>7.412646164906488E-167</v>
      </c>
      <c r="L14" s="49">
        <f t="shared" si="3"/>
        <v>6.107228725033446E-164</v>
      </c>
      <c r="M14" s="49">
        <f t="shared" si="3"/>
        <v>4.5236744705392103E-161</v>
      </c>
      <c r="N14" s="49">
        <f t="shared" si="3"/>
        <v>3.0371434167658442E-158</v>
      </c>
      <c r="O14" s="49">
        <f t="shared" si="3"/>
        <v>1.8609629319606404E-155</v>
      </c>
      <c r="P14" s="49">
        <f t="shared" si="3"/>
        <v>1.0467187432450685E-152</v>
      </c>
      <c r="Q14" s="49">
        <f t="shared" si="3"/>
        <v>5.4313309499093229E-150</v>
      </c>
      <c r="R14" s="49">
        <f t="shared" si="3"/>
        <v>2.6112133101632867E-147</v>
      </c>
      <c r="S14" s="49">
        <f t="shared" si="3"/>
        <v>1.1675567051289677E-144</v>
      </c>
      <c r="T14" s="49">
        <f t="shared" si="3"/>
        <v>4.8714362422150929E-142</v>
      </c>
      <c r="U14" s="49">
        <f t="shared" si="3"/>
        <v>1.9022122656321262E-139</v>
      </c>
      <c r="V14" s="49">
        <f t="shared" si="3"/>
        <v>6.9698594623810718E-137</v>
      </c>
      <c r="W14" s="47">
        <v>0.98899999999999999</v>
      </c>
    </row>
    <row r="15" spans="1:23" x14ac:dyDescent="0.25">
      <c r="B15" s="49">
        <f t="shared" si="2"/>
        <v>5.8922660779802348E-193</v>
      </c>
      <c r="C15" s="49">
        <f t="shared" si="2"/>
        <v>4.8854718656216697E-189</v>
      </c>
      <c r="D15" s="49">
        <f t="shared" si="2"/>
        <v>2.0049623453311498E-185</v>
      </c>
      <c r="E15" s="49">
        <f t="shared" si="2"/>
        <v>5.4297010718091437E-182</v>
      </c>
      <c r="F15" s="49">
        <f t="shared" si="2"/>
        <v>1.0914980207159912E-178</v>
      </c>
      <c r="G15" s="49">
        <f t="shared" si="2"/>
        <v>1.737120391993939E-175</v>
      </c>
      <c r="H15" s="49">
        <f t="shared" si="2"/>
        <v>2.2797041944899276E-172</v>
      </c>
      <c r="I15" s="49">
        <f t="shared" si="2"/>
        <v>2.5372021193293592E-169</v>
      </c>
      <c r="J15" s="49">
        <f t="shared" si="2"/>
        <v>2.4443610349067095E-166</v>
      </c>
      <c r="K15" s="49">
        <f t="shared" si="2"/>
        <v>2.07061144891064E-163</v>
      </c>
      <c r="L15" s="49">
        <f t="shared" si="3"/>
        <v>1.5613440287461709E-160</v>
      </c>
      <c r="M15" s="49">
        <f t="shared" si="3"/>
        <v>1.0584680297518008E-157</v>
      </c>
      <c r="N15" s="49">
        <f t="shared" si="3"/>
        <v>6.5040905794932303E-155</v>
      </c>
      <c r="O15" s="49">
        <f t="shared" si="3"/>
        <v>3.6475125075506463E-152</v>
      </c>
      <c r="P15" s="49">
        <f t="shared" si="3"/>
        <v>1.8777153851521008E-149</v>
      </c>
      <c r="Q15" s="49">
        <f t="shared" si="3"/>
        <v>8.917633943965435E-147</v>
      </c>
      <c r="R15" s="49">
        <f t="shared" si="3"/>
        <v>3.9240294224938363E-144</v>
      </c>
      <c r="S15" s="49">
        <f t="shared" si="3"/>
        <v>1.6058957173631309E-141</v>
      </c>
      <c r="T15" s="49">
        <f t="shared" si="3"/>
        <v>6.1326582329642234E-139</v>
      </c>
      <c r="U15" s="49">
        <f t="shared" si="3"/>
        <v>2.1918257940093725E-136</v>
      </c>
      <c r="V15" s="49">
        <f t="shared" si="3"/>
        <v>7.3507107349709345E-134</v>
      </c>
      <c r="W15" s="47">
        <v>0.98799999999999999</v>
      </c>
    </row>
    <row r="16" spans="1:23" x14ac:dyDescent="0.25">
      <c r="B16" s="49">
        <f t="shared" si="2"/>
        <v>1.8114562286741213E-189</v>
      </c>
      <c r="C16" s="49">
        <f t="shared" si="2"/>
        <v>1.3842781440368543E-185</v>
      </c>
      <c r="D16" s="49">
        <f t="shared" si="2"/>
        <v>5.2359664927496202E-182</v>
      </c>
      <c r="E16" s="49">
        <f t="shared" si="2"/>
        <v>1.3069013153055179E-178</v>
      </c>
      <c r="F16" s="49">
        <f t="shared" si="2"/>
        <v>2.421410995932717E-175</v>
      </c>
      <c r="G16" s="49">
        <f t="shared" si="2"/>
        <v>3.5518662931354665E-172</v>
      </c>
      <c r="H16" s="49">
        <f t="shared" si="2"/>
        <v>4.2962423652645501E-169</v>
      </c>
      <c r="I16" s="49">
        <f t="shared" si="2"/>
        <v>4.4070845302244103E-166</v>
      </c>
      <c r="J16" s="49">
        <f t="shared" si="2"/>
        <v>3.9133632802183725E-163</v>
      </c>
      <c r="K16" s="49">
        <f t="shared" si="2"/>
        <v>3.0554443960149242E-160</v>
      </c>
      <c r="L16" s="49">
        <f t="shared" si="3"/>
        <v>2.123575986734153E-157</v>
      </c>
      <c r="M16" s="49">
        <f t="shared" si="3"/>
        <v>1.3269141894668423E-154</v>
      </c>
      <c r="N16" s="49">
        <f t="shared" si="3"/>
        <v>7.515364361827198E-152</v>
      </c>
      <c r="O16" s="49">
        <f t="shared" si="3"/>
        <v>3.8847322727333513E-149</v>
      </c>
      <c r="P16" s="49">
        <f t="shared" si="3"/>
        <v>1.8433058142155835E-146</v>
      </c>
      <c r="Q16" s="49">
        <f t="shared" si="3"/>
        <v>8.0690624993270173E-144</v>
      </c>
      <c r="R16" s="49">
        <f t="shared" si="3"/>
        <v>3.2727587530176611E-141</v>
      </c>
      <c r="S16" s="49">
        <f t="shared" si="3"/>
        <v>1.2345533795932962E-138</v>
      </c>
      <c r="T16" s="49">
        <f t="shared" si="3"/>
        <v>4.3456484490795754E-136</v>
      </c>
      <c r="U16" s="49">
        <f t="shared" si="3"/>
        <v>1.43161968543459E-133</v>
      </c>
      <c r="V16" s="49">
        <f t="shared" si="3"/>
        <v>4.425570589480495E-131</v>
      </c>
      <c r="W16" s="47">
        <v>0.98699999999999999</v>
      </c>
    </row>
    <row r="17" spans="2:23" x14ac:dyDescent="0.25">
      <c r="B17" s="49">
        <f t="shared" si="2"/>
        <v>3.0646433566198771E-186</v>
      </c>
      <c r="C17" s="49">
        <f t="shared" si="2"/>
        <v>2.1714854473619844E-182</v>
      </c>
      <c r="D17" s="49">
        <f t="shared" si="2"/>
        <v>7.6157729509086088E-179</v>
      </c>
      <c r="E17" s="49">
        <f t="shared" si="2"/>
        <v>1.7625668550286636E-175</v>
      </c>
      <c r="F17" s="49">
        <f t="shared" si="2"/>
        <v>3.0280225010364673E-172</v>
      </c>
      <c r="G17" s="49">
        <f t="shared" si="2"/>
        <v>4.1184812438369012E-169</v>
      </c>
      <c r="H17" s="49">
        <f t="shared" si="2"/>
        <v>4.6191415173861131E-166</v>
      </c>
      <c r="I17" s="49">
        <f t="shared" si="2"/>
        <v>4.393574594108833E-163</v>
      </c>
      <c r="J17" s="49">
        <f t="shared" si="2"/>
        <v>3.6175374824532756E-160</v>
      </c>
      <c r="K17" s="49">
        <f t="shared" si="2"/>
        <v>2.619000816818088E-157</v>
      </c>
      <c r="L17" s="49">
        <f t="shared" si="3"/>
        <v>1.6878333284475116E-154</v>
      </c>
      <c r="M17" s="49">
        <f t="shared" si="3"/>
        <v>9.7792877765930359E-152</v>
      </c>
      <c r="N17" s="49">
        <f t="shared" si="3"/>
        <v>5.1359312372087794E-149</v>
      </c>
      <c r="O17" s="49">
        <f t="shared" si="3"/>
        <v>2.461711556850908E-146</v>
      </c>
      <c r="P17" s="49">
        <f t="shared" si="3"/>
        <v>1.08313482559581E-143</v>
      </c>
      <c r="Q17" s="49">
        <f t="shared" si="3"/>
        <v>4.3966248560126957E-141</v>
      </c>
      <c r="R17" s="49">
        <f t="shared" si="3"/>
        <v>1.6535741821940061E-138</v>
      </c>
      <c r="S17" s="49">
        <f t="shared" si="3"/>
        <v>5.7840904999620335E-136</v>
      </c>
      <c r="T17" s="49">
        <f t="shared" si="3"/>
        <v>1.8879803843690898E-133</v>
      </c>
      <c r="U17" s="49">
        <f t="shared" si="3"/>
        <v>5.7675371329008976E-131</v>
      </c>
      <c r="V17" s="49">
        <f t="shared" si="3"/>
        <v>1.6533090213055642E-128</v>
      </c>
      <c r="W17" s="47">
        <v>0.98599999999999999</v>
      </c>
    </row>
    <row r="18" spans="2:23" x14ac:dyDescent="0.25">
      <c r="B18" s="49">
        <f t="shared" si="2"/>
        <v>3.0993153301167285E-183</v>
      </c>
      <c r="C18" s="49">
        <f t="shared" si="2"/>
        <v>2.0467825979751048E-179</v>
      </c>
      <c r="D18" s="49">
        <f t="shared" si="2"/>
        <v>6.6905155537100861E-176</v>
      </c>
      <c r="E18" s="49">
        <f t="shared" si="2"/>
        <v>1.4431910825570584E-172</v>
      </c>
      <c r="F18" s="49">
        <f t="shared" si="2"/>
        <v>2.3108503231278123E-169</v>
      </c>
      <c r="G18" s="49">
        <f t="shared" si="2"/>
        <v>2.9294503004779858E-166</v>
      </c>
      <c r="H18" s="49">
        <f t="shared" si="2"/>
        <v>3.0623052504666267E-163</v>
      </c>
      <c r="I18" s="49">
        <f t="shared" si="2"/>
        <v>2.7148462119182649E-160</v>
      </c>
      <c r="J18" s="49">
        <f t="shared" si="2"/>
        <v>2.0834454718615099E-157</v>
      </c>
      <c r="K18" s="49">
        <f t="shared" si="2"/>
        <v>1.4058806656026274E-154</v>
      </c>
      <c r="L18" s="49">
        <f t="shared" si="3"/>
        <v>8.4447727587367113E-152</v>
      </c>
      <c r="M18" s="49">
        <f t="shared" si="3"/>
        <v>4.5605065457666127E-149</v>
      </c>
      <c r="N18" s="49">
        <f t="shared" si="3"/>
        <v>2.2324121233783502E-146</v>
      </c>
      <c r="O18" s="49">
        <f t="shared" si="3"/>
        <v>9.9734065394661965E-144</v>
      </c>
      <c r="P18" s="49">
        <f t="shared" si="3"/>
        <v>4.0901754620839204E-141</v>
      </c>
      <c r="Q18" s="49">
        <f t="shared" si="3"/>
        <v>1.5475110956850239E-138</v>
      </c>
      <c r="R18" s="49">
        <f t="shared" si="3"/>
        <v>5.4249391372859699E-136</v>
      </c>
      <c r="S18" s="49">
        <f t="shared" si="3"/>
        <v>1.7687440147653833E-133</v>
      </c>
      <c r="T18" s="49">
        <f t="shared" si="3"/>
        <v>5.3813097811318219E-131</v>
      </c>
      <c r="U18" s="49">
        <f t="shared" si="3"/>
        <v>1.5322986808484262E-128</v>
      </c>
      <c r="V18" s="49">
        <f t="shared" si="3"/>
        <v>4.0942229035189399E-126</v>
      </c>
      <c r="W18" s="47">
        <v>0.98499999999999999</v>
      </c>
    </row>
    <row r="19" spans="2:23" x14ac:dyDescent="0.25">
      <c r="B19" s="49">
        <f t="shared" si="2"/>
        <v>2.0027618800643822E-180</v>
      </c>
      <c r="C19" s="49">
        <f t="shared" si="2"/>
        <v>1.2382826948991448E-176</v>
      </c>
      <c r="D19" s="49">
        <f t="shared" si="2"/>
        <v>3.7896039436526646E-173</v>
      </c>
      <c r="E19" s="49">
        <f t="shared" si="2"/>
        <v>7.6532490323285258E-170</v>
      </c>
      <c r="F19" s="49">
        <f t="shared" si="2"/>
        <v>1.1473164375391844E-166</v>
      </c>
      <c r="G19" s="49">
        <f t="shared" si="2"/>
        <v>1.3617222956494789E-163</v>
      </c>
      <c r="H19" s="49">
        <f t="shared" si="2"/>
        <v>1.3327341759312158E-160</v>
      </c>
      <c r="I19" s="49">
        <f t="shared" si="2"/>
        <v>1.1062023098116612E-157</v>
      </c>
      <c r="J19" s="49">
        <f t="shared" si="2"/>
        <v>7.9481741133614762E-155</v>
      </c>
      <c r="K19" s="49">
        <f t="shared" si="2"/>
        <v>5.0214741930009843E-152</v>
      </c>
      <c r="L19" s="49">
        <f t="shared" si="3"/>
        <v>2.8240340462732486E-149</v>
      </c>
      <c r="M19" s="49">
        <f t="shared" si="3"/>
        <v>1.4278936843132746E-146</v>
      </c>
      <c r="N19" s="49">
        <f t="shared" si="3"/>
        <v>6.5442463433137479E-144</v>
      </c>
      <c r="O19" s="49">
        <f t="shared" si="3"/>
        <v>2.7373663189068068E-141</v>
      </c>
      <c r="P19" s="49">
        <f t="shared" si="3"/>
        <v>1.0510832706890333E-138</v>
      </c>
      <c r="Q19" s="49">
        <f t="shared" si="3"/>
        <v>3.7233718097837432E-136</v>
      </c>
      <c r="R19" s="49">
        <f t="shared" si="3"/>
        <v>1.2220996555821868E-133</v>
      </c>
      <c r="S19" s="49">
        <f t="shared" si="3"/>
        <v>3.7306759176784162E-131</v>
      </c>
      <c r="T19" s="49">
        <f t="shared" si="3"/>
        <v>1.06273014599702E-128</v>
      </c>
      <c r="U19" s="49">
        <f t="shared" si="3"/>
        <v>2.8333001456932429E-126</v>
      </c>
      <c r="V19" s="49">
        <f t="shared" si="3"/>
        <v>7.0882084083246921E-124</v>
      </c>
      <c r="W19" s="47">
        <v>0.98399999999999999</v>
      </c>
    </row>
    <row r="20" spans="2:23" x14ac:dyDescent="0.25">
      <c r="B20" s="49">
        <f t="shared" si="2"/>
        <v>8.7323598729016603E-178</v>
      </c>
      <c r="C20" s="49">
        <f t="shared" si="2"/>
        <v>5.0748556536391032E-174</v>
      </c>
      <c r="D20" s="49">
        <f t="shared" si="2"/>
        <v>1.4598247794331413E-170</v>
      </c>
      <c r="E20" s="49">
        <f t="shared" si="2"/>
        <v>2.7711319684488806E-167</v>
      </c>
      <c r="F20" s="49">
        <f t="shared" si="2"/>
        <v>3.9048151172748537E-164</v>
      </c>
      <c r="G20" s="49">
        <f t="shared" si="2"/>
        <v>4.3562535546548227E-161</v>
      </c>
      <c r="H20" s="49">
        <f t="shared" si="2"/>
        <v>4.0075313174470694E-158</v>
      </c>
      <c r="I20" s="49">
        <f t="shared" si="2"/>
        <v>3.1266422379549981E-155</v>
      </c>
      <c r="J20" s="49">
        <f t="shared" si="2"/>
        <v>2.1116536873687559E-152</v>
      </c>
      <c r="K20" s="49">
        <f t="shared" si="2"/>
        <v>1.2540062726479413E-149</v>
      </c>
      <c r="L20" s="49">
        <f t="shared" si="3"/>
        <v>6.6290762477665225E-147</v>
      </c>
      <c r="M20" s="49">
        <f t="shared" si="3"/>
        <v>3.1506128229234591E-144</v>
      </c>
      <c r="N20" s="49">
        <f t="shared" si="3"/>
        <v>1.3573015633874836E-141</v>
      </c>
      <c r="O20" s="49">
        <f t="shared" si="3"/>
        <v>5.3366491286865294E-139</v>
      </c>
      <c r="P20" s="49">
        <f t="shared" si="3"/>
        <v>1.9261644045054473E-136</v>
      </c>
      <c r="Q20" s="49">
        <f t="shared" si="3"/>
        <v>6.4137882324193921E-134</v>
      </c>
      <c r="R20" s="49">
        <f t="shared" si="3"/>
        <v>1.978829156318268E-131</v>
      </c>
      <c r="S20" s="49">
        <f t="shared" si="3"/>
        <v>5.6782454862642638E-129</v>
      </c>
      <c r="T20" s="49">
        <f t="shared" si="3"/>
        <v>1.5204638564580194E-126</v>
      </c>
      <c r="U20" s="49">
        <f t="shared" si="3"/>
        <v>3.8104270237841757E-124</v>
      </c>
      <c r="V20" s="49">
        <f t="shared" si="3"/>
        <v>8.9608047999311218E-122</v>
      </c>
      <c r="W20" s="47">
        <v>0.98299999999999998</v>
      </c>
    </row>
    <row r="21" spans="2:23" x14ac:dyDescent="0.25">
      <c r="B21" s="49">
        <f t="shared" si="2"/>
        <v>2.687590093372398E-175</v>
      </c>
      <c r="C21" s="49">
        <f t="shared" si="2"/>
        <v>1.4732496278202465E-171</v>
      </c>
      <c r="D21" s="49">
        <f t="shared" si="2"/>
        <v>3.997384306733195E-168</v>
      </c>
      <c r="E21" s="49">
        <f t="shared" si="2"/>
        <v>7.1574149321117062E-165</v>
      </c>
      <c r="F21" s="49">
        <f t="shared" si="2"/>
        <v>9.513154909279729E-162</v>
      </c>
      <c r="G21" s="49">
        <f t="shared" si="2"/>
        <v>1.0010681484521519E-158</v>
      </c>
      <c r="H21" s="49">
        <f t="shared" si="2"/>
        <v>8.686705879789089E-156</v>
      </c>
      <c r="I21" s="49">
        <f t="shared" si="2"/>
        <v>6.3927155787525138E-153</v>
      </c>
      <c r="J21" s="49">
        <f t="shared" si="2"/>
        <v>4.0724915451416224E-150</v>
      </c>
      <c r="K21" s="49">
        <f t="shared" si="2"/>
        <v>2.2812286511935485E-147</v>
      </c>
      <c r="L21" s="49">
        <f t="shared" si="3"/>
        <v>1.1375095387176844E-144</v>
      </c>
      <c r="M21" s="49">
        <f t="shared" si="3"/>
        <v>5.0995435988986535E-142</v>
      </c>
      <c r="N21" s="49">
        <f t="shared" si="3"/>
        <v>2.0722787913322711E-139</v>
      </c>
      <c r="O21" s="49">
        <f t="shared" si="3"/>
        <v>7.6855927343597217E-137</v>
      </c>
      <c r="P21" s="49">
        <f t="shared" si="3"/>
        <v>2.6166177493292424E-134</v>
      </c>
      <c r="Q21" s="49">
        <f t="shared" si="3"/>
        <v>8.2186614918373812E-132</v>
      </c>
      <c r="R21" s="49">
        <f t="shared" si="3"/>
        <v>2.3918594847003738E-129</v>
      </c>
      <c r="S21" s="49">
        <f t="shared" si="3"/>
        <v>6.474164869516669E-127</v>
      </c>
      <c r="T21" s="49">
        <f t="shared" si="3"/>
        <v>1.6352692463475302E-124</v>
      </c>
      <c r="U21" s="49">
        <f t="shared" si="3"/>
        <v>3.8657320675464085E-122</v>
      </c>
      <c r="V21" s="49">
        <f t="shared" si="3"/>
        <v>8.575341263718555E-120</v>
      </c>
      <c r="W21" s="47">
        <v>0.98199999999999998</v>
      </c>
    </row>
    <row r="22" spans="2:23" x14ac:dyDescent="0.25">
      <c r="B22" s="49">
        <f t="shared" si="2"/>
        <v>6.06354400237724E-173</v>
      </c>
      <c r="C22" s="49">
        <f t="shared" si="2"/>
        <v>3.1449629904950027E-169</v>
      </c>
      <c r="D22" s="49">
        <f t="shared" si="2"/>
        <v>8.0740597563512491E-166</v>
      </c>
      <c r="E22" s="49">
        <f t="shared" si="2"/>
        <v>1.3678871542990663E-162</v>
      </c>
      <c r="F22" s="49">
        <f t="shared" si="2"/>
        <v>1.7202748122914467E-159</v>
      </c>
      <c r="G22" s="49">
        <f t="shared" si="2"/>
        <v>1.7128418272263489E-156</v>
      </c>
      <c r="H22" s="49">
        <f t="shared" si="2"/>
        <v>1.4063397753098391E-153</v>
      </c>
      <c r="I22" s="49">
        <f t="shared" si="2"/>
        <v>9.7927175222459321E-151</v>
      </c>
      <c r="J22" s="49">
        <f t="shared" si="2"/>
        <v>5.9028523010613666E-148</v>
      </c>
      <c r="K22" s="49">
        <f t="shared" si="2"/>
        <v>3.1286400878974747E-145</v>
      </c>
      <c r="L22" s="49">
        <f t="shared" si="3"/>
        <v>1.4761418210165253E-142</v>
      </c>
      <c r="M22" s="49">
        <f t="shared" si="3"/>
        <v>6.2616932126215571E-140</v>
      </c>
      <c r="N22" s="49">
        <f t="shared" si="3"/>
        <v>2.4076718357941329E-137</v>
      </c>
      <c r="O22" s="49">
        <f t="shared" si="3"/>
        <v>8.4492139951258538E-135</v>
      </c>
      <c r="P22" s="49">
        <f t="shared" si="3"/>
        <v>2.7218880640504959E-132</v>
      </c>
      <c r="Q22" s="49">
        <f t="shared" si="3"/>
        <v>8.0895304647079507E-130</v>
      </c>
      <c r="R22" s="49">
        <f t="shared" si="3"/>
        <v>2.2276724848737396E-127</v>
      </c>
      <c r="S22" s="49">
        <f t="shared" si="3"/>
        <v>5.7055052324100795E-125</v>
      </c>
      <c r="T22" s="49">
        <f t="shared" si="3"/>
        <v>1.3636267783539698E-122</v>
      </c>
      <c r="U22" s="49">
        <f t="shared" si="3"/>
        <v>3.0502478535217731E-120</v>
      </c>
      <c r="V22" s="49">
        <f t="shared" si="3"/>
        <v>6.4025526218450867E-118</v>
      </c>
      <c r="W22" s="47">
        <v>0.98099999999999998</v>
      </c>
    </row>
    <row r="23" spans="2:23" x14ac:dyDescent="0.25">
      <c r="B23" s="49">
        <f t="shared" ref="B23:K32" si="4">_xlfn.HYPGEOM.DIST(B$2,comau,tongtheN*$W23,tongtheN,TRUE)</f>
        <v>1.0353657664802483E-170</v>
      </c>
      <c r="C23" s="49">
        <f t="shared" si="4"/>
        <v>5.0953416348801586E-167</v>
      </c>
      <c r="D23" s="49">
        <f t="shared" si="4"/>
        <v>1.2411986161210536E-163</v>
      </c>
      <c r="E23" s="49">
        <f t="shared" si="4"/>
        <v>1.9952265023071008E-160</v>
      </c>
      <c r="F23" s="49">
        <f t="shared" si="4"/>
        <v>2.3808576691154725E-157</v>
      </c>
      <c r="G23" s="49">
        <f t="shared" si="4"/>
        <v>2.2493010905753317E-154</v>
      </c>
      <c r="H23" s="49">
        <f t="shared" si="4"/>
        <v>1.7523319939510896E-151</v>
      </c>
      <c r="I23" s="49">
        <f t="shared" si="4"/>
        <v>1.1577804776831285E-148</v>
      </c>
      <c r="J23" s="49">
        <f t="shared" si="4"/>
        <v>6.6219035149688067E-146</v>
      </c>
      <c r="K23" s="49">
        <f t="shared" si="4"/>
        <v>3.3302401320637405E-143</v>
      </c>
      <c r="L23" s="49">
        <f t="shared" ref="L23:V32" si="5">_xlfn.HYPGEOM.DIST(L$2,comau,tongtheN*$W23,tongtheN,TRUE)</f>
        <v>1.4908986479239266E-140</v>
      </c>
      <c r="M23" s="49">
        <f t="shared" si="5"/>
        <v>6.0008531304501014E-138</v>
      </c>
      <c r="N23" s="49">
        <f t="shared" si="5"/>
        <v>2.1893780892644526E-135</v>
      </c>
      <c r="O23" s="49">
        <f t="shared" si="5"/>
        <v>7.2902620571334417E-133</v>
      </c>
      <c r="P23" s="49">
        <f t="shared" si="5"/>
        <v>2.2284430672108262E-130</v>
      </c>
      <c r="Q23" s="49">
        <f t="shared" si="5"/>
        <v>6.2843468972981661E-128</v>
      </c>
      <c r="R23" s="49">
        <f t="shared" si="5"/>
        <v>1.6420819824611163E-125</v>
      </c>
      <c r="S23" s="49">
        <f t="shared" si="5"/>
        <v>3.9906659449883097E-123</v>
      </c>
      <c r="T23" s="49">
        <f t="shared" si="5"/>
        <v>9.0501479123674142E-121</v>
      </c>
      <c r="U23" s="49">
        <f t="shared" si="5"/>
        <v>1.9209023979078418E-118</v>
      </c>
      <c r="V23" s="49">
        <f t="shared" si="5"/>
        <v>3.8259075102869396E-116</v>
      </c>
      <c r="W23" s="47">
        <v>0.98</v>
      </c>
    </row>
    <row r="24" spans="2:23" x14ac:dyDescent="0.25">
      <c r="B24" s="49">
        <f t="shared" si="4"/>
        <v>1.3749934962506639E-168</v>
      </c>
      <c r="C24" s="49">
        <f t="shared" si="4"/>
        <v>6.43674553409331E-165</v>
      </c>
      <c r="D24" s="49">
        <f t="shared" si="4"/>
        <v>1.4914938472419964E-161</v>
      </c>
      <c r="E24" s="49">
        <f t="shared" si="4"/>
        <v>2.2806597807064899E-158</v>
      </c>
      <c r="F24" s="49">
        <f t="shared" si="4"/>
        <v>2.5887541937994606E-155</v>
      </c>
      <c r="G24" s="49">
        <f t="shared" si="4"/>
        <v>2.3264569966923323E-152</v>
      </c>
      <c r="H24" s="49">
        <f t="shared" si="4"/>
        <v>1.7240698333135582E-149</v>
      </c>
      <c r="I24" s="49">
        <f t="shared" si="4"/>
        <v>1.083569292710586E-146</v>
      </c>
      <c r="J24" s="49">
        <f t="shared" si="4"/>
        <v>5.8953052906417757E-144</v>
      </c>
      <c r="K24" s="49">
        <f t="shared" si="4"/>
        <v>2.8202848261031553E-141</v>
      </c>
      <c r="L24" s="49">
        <f t="shared" si="5"/>
        <v>1.2010483717977875E-138</v>
      </c>
      <c r="M24" s="49">
        <f t="shared" si="5"/>
        <v>4.5985543629453005E-136</v>
      </c>
      <c r="N24" s="49">
        <f t="shared" si="5"/>
        <v>1.5959748401449293E-133</v>
      </c>
      <c r="O24" s="49">
        <f t="shared" si="5"/>
        <v>5.0552933216925088E-131</v>
      </c>
      <c r="P24" s="49">
        <f t="shared" si="5"/>
        <v>1.4699539003571371E-128</v>
      </c>
      <c r="Q24" s="49">
        <f t="shared" si="5"/>
        <v>3.9433223871546745E-126</v>
      </c>
      <c r="R24" s="49">
        <f t="shared" si="5"/>
        <v>9.8016219525833378E-124</v>
      </c>
      <c r="S24" s="49">
        <f t="shared" si="5"/>
        <v>2.2659508491495141E-121</v>
      </c>
      <c r="T24" s="49">
        <f t="shared" si="5"/>
        <v>4.8883670992996584E-119</v>
      </c>
      <c r="U24" s="49">
        <f t="shared" si="5"/>
        <v>9.8700076887834323E-117</v>
      </c>
      <c r="V24" s="49">
        <f t="shared" si="5"/>
        <v>1.8700436969289397E-114</v>
      </c>
      <c r="W24" s="47">
        <v>0.97899999999999998</v>
      </c>
    </row>
    <row r="25" spans="2:23" x14ac:dyDescent="0.25">
      <c r="B25" s="49">
        <f t="shared" si="4"/>
        <v>1.4538743884378516E-166</v>
      </c>
      <c r="C25" s="49">
        <f t="shared" si="4"/>
        <v>6.4889143598100138E-163</v>
      </c>
      <c r="D25" s="49">
        <f t="shared" si="4"/>
        <v>1.433532392091327E-159</v>
      </c>
      <c r="E25" s="49">
        <f t="shared" si="4"/>
        <v>2.0899109258327379E-156</v>
      </c>
      <c r="F25" s="49">
        <f t="shared" si="4"/>
        <v>2.2617271138269981E-153</v>
      </c>
      <c r="G25" s="49">
        <f t="shared" si="4"/>
        <v>1.9378824345573992E-150</v>
      </c>
      <c r="H25" s="49">
        <f t="shared" si="4"/>
        <v>1.3692134374059312E-147</v>
      </c>
      <c r="I25" s="49">
        <f t="shared" si="4"/>
        <v>8.2046071238739894E-145</v>
      </c>
      <c r="J25" s="49">
        <f t="shared" si="4"/>
        <v>4.2559165486448767E-142</v>
      </c>
      <c r="K25" s="49">
        <f t="shared" si="4"/>
        <v>1.941182567185126E-139</v>
      </c>
      <c r="L25" s="49">
        <f t="shared" si="5"/>
        <v>7.8817277253714754E-137</v>
      </c>
      <c r="M25" s="49">
        <f t="shared" si="5"/>
        <v>2.8772041974340192E-134</v>
      </c>
      <c r="N25" s="49">
        <f t="shared" si="5"/>
        <v>9.5206094362990228E-132</v>
      </c>
      <c r="O25" s="49">
        <f t="shared" si="5"/>
        <v>2.8752481931282277E-129</v>
      </c>
      <c r="P25" s="49">
        <f t="shared" si="5"/>
        <v>7.9712034174819242E-127</v>
      </c>
      <c r="Q25" s="49">
        <f t="shared" si="5"/>
        <v>2.0387998391355509E-124</v>
      </c>
      <c r="R25" s="49">
        <f t="shared" si="5"/>
        <v>4.8317373694533457E-122</v>
      </c>
      <c r="S25" s="49">
        <f t="shared" si="5"/>
        <v>1.0650006324120936E-119</v>
      </c>
      <c r="T25" s="49">
        <f t="shared" si="5"/>
        <v>2.1905751096567186E-117</v>
      </c>
      <c r="U25" s="49">
        <f t="shared" si="5"/>
        <v>4.2170401593944105E-115</v>
      </c>
      <c r="V25" s="49">
        <f t="shared" si="5"/>
        <v>7.617963197110473E-113</v>
      </c>
      <c r="W25" s="47">
        <v>0.97799999999999998</v>
      </c>
    </row>
    <row r="26" spans="2:23" x14ac:dyDescent="0.25">
      <c r="B26" s="49">
        <f t="shared" si="4"/>
        <v>1.2490838014146782E-164</v>
      </c>
      <c r="C26" s="49">
        <f t="shared" si="4"/>
        <v>5.3262403524047611E-161</v>
      </c>
      <c r="D26" s="49">
        <f t="shared" si="4"/>
        <v>1.1241935021415212E-157</v>
      </c>
      <c r="E26" s="49">
        <f t="shared" si="4"/>
        <v>1.5658386014415171E-154</v>
      </c>
      <c r="F26" s="49">
        <f t="shared" si="4"/>
        <v>1.6189964699579136E-151</v>
      </c>
      <c r="G26" s="49">
        <f t="shared" si="4"/>
        <v>1.3253190032909449E-148</v>
      </c>
      <c r="H26" s="49">
        <f t="shared" si="4"/>
        <v>8.9464817342427005E-146</v>
      </c>
      <c r="I26" s="49">
        <f t="shared" si="4"/>
        <v>5.1218620165371548E-143</v>
      </c>
      <c r="J26" s="49">
        <f t="shared" si="4"/>
        <v>2.5383586185112716E-140</v>
      </c>
      <c r="K26" s="49">
        <f t="shared" si="4"/>
        <v>1.1061572901304929E-137</v>
      </c>
      <c r="L26" s="49">
        <f t="shared" si="5"/>
        <v>4.2910482740580529E-135</v>
      </c>
      <c r="M26" s="49">
        <f t="shared" si="5"/>
        <v>1.4965973481383741E-132</v>
      </c>
      <c r="N26" s="49">
        <f t="shared" si="5"/>
        <v>4.7314275981858951E-130</v>
      </c>
      <c r="O26" s="49">
        <f t="shared" si="5"/>
        <v>1.3652016528379053E-127</v>
      </c>
      <c r="P26" s="49">
        <f t="shared" si="5"/>
        <v>3.6160983482232582E-125</v>
      </c>
      <c r="Q26" s="49">
        <f t="shared" si="5"/>
        <v>8.8366299997187781E-123</v>
      </c>
      <c r="R26" s="49">
        <f t="shared" si="5"/>
        <v>2.0008383715911061E-120</v>
      </c>
      <c r="S26" s="49">
        <f t="shared" si="5"/>
        <v>4.2136264778642462E-118</v>
      </c>
      <c r="T26" s="49">
        <f t="shared" si="5"/>
        <v>8.2806166261575678E-116</v>
      </c>
      <c r="U26" s="49">
        <f t="shared" si="5"/>
        <v>1.5230407131122565E-113</v>
      </c>
      <c r="V26" s="49">
        <f t="shared" si="5"/>
        <v>2.6287106486092243E-111</v>
      </c>
      <c r="W26" s="47">
        <v>0.97699999999999998</v>
      </c>
    </row>
    <row r="27" spans="2:23" x14ac:dyDescent="0.25">
      <c r="B27" s="49">
        <f t="shared" si="4"/>
        <v>8.8753443202256468E-163</v>
      </c>
      <c r="C27" s="49">
        <f t="shared" si="4"/>
        <v>3.6226440125506935E-159</v>
      </c>
      <c r="D27" s="49">
        <f t="shared" si="4"/>
        <v>7.319105170947698E-156</v>
      </c>
      <c r="E27" s="49">
        <f t="shared" si="4"/>
        <v>9.7583566674341076E-153</v>
      </c>
      <c r="F27" s="49">
        <f t="shared" si="4"/>
        <v>9.6580428828802196E-150</v>
      </c>
      <c r="G27" s="49">
        <f t="shared" si="4"/>
        <v>7.5679447206064991E-147</v>
      </c>
      <c r="H27" s="49">
        <f t="shared" si="4"/>
        <v>4.8901802831637218E-144</v>
      </c>
      <c r="I27" s="49">
        <f t="shared" si="4"/>
        <v>2.6798858750138597E-141</v>
      </c>
      <c r="J27" s="49">
        <f t="shared" si="4"/>
        <v>1.2713291719667079E-138</v>
      </c>
      <c r="K27" s="49">
        <f t="shared" si="4"/>
        <v>5.303215856158182E-136</v>
      </c>
      <c r="L27" s="49">
        <f t="shared" si="5"/>
        <v>1.969264198072114E-133</v>
      </c>
      <c r="M27" s="49">
        <f t="shared" si="5"/>
        <v>6.5745269198959488E-131</v>
      </c>
      <c r="N27" s="49">
        <f t="shared" si="5"/>
        <v>1.9896261327450553E-128</v>
      </c>
      <c r="O27" s="49">
        <f t="shared" si="5"/>
        <v>5.4953659489477888E-126</v>
      </c>
      <c r="P27" s="49">
        <f t="shared" si="5"/>
        <v>1.3933537172311788E-123</v>
      </c>
      <c r="Q27" s="49">
        <f t="shared" si="5"/>
        <v>3.2593421692788237E-121</v>
      </c>
      <c r="R27" s="49">
        <f t="shared" si="5"/>
        <v>7.0644480986905938E-119</v>
      </c>
      <c r="S27" s="49">
        <f t="shared" si="5"/>
        <v>1.4241181666259262E-116</v>
      </c>
      <c r="T27" s="49">
        <f t="shared" si="5"/>
        <v>2.6790279915987846E-114</v>
      </c>
      <c r="U27" s="49">
        <f t="shared" si="5"/>
        <v>4.716843780929854E-112</v>
      </c>
      <c r="V27" s="49">
        <f t="shared" si="5"/>
        <v>7.7930776561079402E-110</v>
      </c>
      <c r="W27" s="47">
        <v>0.97599999999999998</v>
      </c>
    </row>
    <row r="28" spans="2:23" x14ac:dyDescent="0.25">
      <c r="B28" s="49">
        <f t="shared" si="4"/>
        <v>5.2972984007593725E-161</v>
      </c>
      <c r="C28" s="49">
        <f t="shared" si="4"/>
        <v>2.0733163018238161E-157</v>
      </c>
      <c r="D28" s="49">
        <f t="shared" si="4"/>
        <v>4.0166988167201843E-154</v>
      </c>
      <c r="E28" s="49">
        <f t="shared" si="4"/>
        <v>5.1352317721241372E-151</v>
      </c>
      <c r="F28" s="49">
        <f t="shared" si="4"/>
        <v>4.8735483661864461E-148</v>
      </c>
      <c r="G28" s="49">
        <f t="shared" si="4"/>
        <v>3.66190945397909E-145</v>
      </c>
      <c r="H28" s="49">
        <f t="shared" si="4"/>
        <v>2.268969895681937E-142</v>
      </c>
      <c r="I28" s="49">
        <f t="shared" si="4"/>
        <v>1.1923262173229372E-139</v>
      </c>
      <c r="J28" s="49">
        <f t="shared" si="4"/>
        <v>5.423909786066983E-137</v>
      </c>
      <c r="K28" s="49">
        <f t="shared" si="4"/>
        <v>2.1695523074435995E-134</v>
      </c>
      <c r="L28" s="49">
        <f t="shared" si="5"/>
        <v>7.7252387553528838E-132</v>
      </c>
      <c r="M28" s="49">
        <f t="shared" si="5"/>
        <v>2.4731489325924896E-129</v>
      </c>
      <c r="N28" s="49">
        <f t="shared" si="5"/>
        <v>7.176882119771146E-127</v>
      </c>
      <c r="O28" s="49">
        <f t="shared" si="5"/>
        <v>1.9008168386078792E-124</v>
      </c>
      <c r="P28" s="49">
        <f t="shared" si="5"/>
        <v>4.6215227450328186E-122</v>
      </c>
      <c r="Q28" s="49">
        <f t="shared" si="5"/>
        <v>1.0366555642507656E-119</v>
      </c>
      <c r="R28" s="49">
        <f t="shared" si="5"/>
        <v>2.1545884934086197E-117</v>
      </c>
      <c r="S28" s="49">
        <f t="shared" si="5"/>
        <v>4.1649947249478517E-115</v>
      </c>
      <c r="T28" s="49">
        <f t="shared" si="5"/>
        <v>7.5132662623520424E-113</v>
      </c>
      <c r="U28" s="49">
        <f t="shared" si="5"/>
        <v>1.2684895534047933E-110</v>
      </c>
      <c r="V28" s="49">
        <f t="shared" si="5"/>
        <v>2.009689943829184E-108</v>
      </c>
      <c r="W28" s="47">
        <v>0.97499999999999998</v>
      </c>
    </row>
    <row r="29" spans="2:23" x14ac:dyDescent="0.25">
      <c r="B29" s="49">
        <f t="shared" si="4"/>
        <v>2.6924674314505901E-159</v>
      </c>
      <c r="C29" s="49">
        <f t="shared" si="4"/>
        <v>1.0121196482991318E-155</v>
      </c>
      <c r="D29" s="49">
        <f t="shared" si="4"/>
        <v>1.8832435518928507E-152</v>
      </c>
      <c r="E29" s="49">
        <f t="shared" si="4"/>
        <v>2.3124313866825828E-149</v>
      </c>
      <c r="F29" s="49">
        <f t="shared" si="4"/>
        <v>2.1077851084582357E-146</v>
      </c>
      <c r="G29" s="49">
        <f t="shared" si="4"/>
        <v>1.5211132963430374E-143</v>
      </c>
      <c r="H29" s="49">
        <f t="shared" si="4"/>
        <v>9.0522444179583841E-141</v>
      </c>
      <c r="I29" s="49">
        <f t="shared" si="4"/>
        <v>4.5687445802835479E-138</v>
      </c>
      <c r="J29" s="49">
        <f t="shared" si="4"/>
        <v>1.9961315782611528E-135</v>
      </c>
      <c r="K29" s="49">
        <f t="shared" si="4"/>
        <v>7.668712091382662E-133</v>
      </c>
      <c r="L29" s="49">
        <f t="shared" si="5"/>
        <v>2.6226509916364593E-130</v>
      </c>
      <c r="M29" s="49">
        <f t="shared" si="5"/>
        <v>8.0640986003454341E-128</v>
      </c>
      <c r="N29" s="49">
        <f t="shared" si="5"/>
        <v>2.2476000412170933E-125</v>
      </c>
      <c r="O29" s="49">
        <f t="shared" si="5"/>
        <v>5.7174429992757513E-123</v>
      </c>
      <c r="P29" s="49">
        <f t="shared" si="5"/>
        <v>1.3351366645990165E-120</v>
      </c>
      <c r="Q29" s="49">
        <f t="shared" si="5"/>
        <v>2.8764370250734585E-118</v>
      </c>
      <c r="R29" s="49">
        <f t="shared" si="5"/>
        <v>5.7420265094885207E-116</v>
      </c>
      <c r="S29" s="49">
        <f t="shared" si="5"/>
        <v>1.0660964527760939E-113</v>
      </c>
      <c r="T29" s="49">
        <f t="shared" si="5"/>
        <v>1.8471098735871241E-111</v>
      </c>
      <c r="U29" s="49">
        <f t="shared" si="5"/>
        <v>2.9952527766060371E-109</v>
      </c>
      <c r="V29" s="49">
        <f t="shared" si="5"/>
        <v>4.5578393395536704E-107</v>
      </c>
      <c r="W29" s="47">
        <v>0.97399999999999998</v>
      </c>
    </row>
    <row r="30" spans="2:23" x14ac:dyDescent="0.25">
      <c r="B30" s="49">
        <f t="shared" si="4"/>
        <v>1.1796396435957968E-157</v>
      </c>
      <c r="C30" s="49">
        <f t="shared" si="4"/>
        <v>4.2652805896527371E-154</v>
      </c>
      <c r="D30" s="49">
        <f t="shared" si="4"/>
        <v>7.6337811079038702E-151</v>
      </c>
      <c r="E30" s="49">
        <f t="shared" si="4"/>
        <v>9.0161296612872323E-148</v>
      </c>
      <c r="F30" s="49">
        <f t="shared" si="4"/>
        <v>7.9048989779792268E-145</v>
      </c>
      <c r="G30" s="49">
        <f t="shared" si="4"/>
        <v>5.4872010952066668E-142</v>
      </c>
      <c r="H30" s="49">
        <f t="shared" si="4"/>
        <v>3.1409826199664748E-139</v>
      </c>
      <c r="I30" s="49">
        <f t="shared" si="4"/>
        <v>1.524848573551436E-136</v>
      </c>
      <c r="J30" s="49">
        <f t="shared" si="4"/>
        <v>6.4082613309798867E-134</v>
      </c>
      <c r="K30" s="49">
        <f t="shared" si="4"/>
        <v>2.3680743267493832E-131</v>
      </c>
      <c r="L30" s="49">
        <f t="shared" si="5"/>
        <v>7.7899717959413949E-129</v>
      </c>
      <c r="M30" s="49">
        <f t="shared" si="5"/>
        <v>2.3039568817906271E-126</v>
      </c>
      <c r="N30" s="49">
        <f t="shared" si="5"/>
        <v>6.1767686049439334E-124</v>
      </c>
      <c r="O30" s="49">
        <f t="shared" si="5"/>
        <v>1.5113622872917666E-121</v>
      </c>
      <c r="P30" s="49">
        <f t="shared" si="5"/>
        <v>3.3948262827109382E-119</v>
      </c>
      <c r="Q30" s="49">
        <f t="shared" si="5"/>
        <v>7.0351354507351256E-117</v>
      </c>
      <c r="R30" s="49">
        <f t="shared" si="5"/>
        <v>1.3508564954919149E-114</v>
      </c>
      <c r="S30" s="49">
        <f t="shared" si="5"/>
        <v>2.4125016788096489E-112</v>
      </c>
      <c r="T30" s="49">
        <f t="shared" si="5"/>
        <v>4.0206071436880835E-110</v>
      </c>
      <c r="U30" s="49">
        <f t="shared" si="5"/>
        <v>6.2713474200092986E-108</v>
      </c>
      <c r="V30" s="49">
        <f t="shared" si="5"/>
        <v>9.1794266858264109E-106</v>
      </c>
      <c r="W30" s="47">
        <v>0.97299999999999998</v>
      </c>
    </row>
    <row r="31" spans="2:23" x14ac:dyDescent="0.25">
      <c r="B31" s="49">
        <f t="shared" si="4"/>
        <v>4.5035036137592625E-156</v>
      </c>
      <c r="C31" s="49">
        <f t="shared" si="4"/>
        <v>1.5684294002669962E-152</v>
      </c>
      <c r="D31" s="49">
        <f t="shared" si="4"/>
        <v>2.7037956156467839E-149</v>
      </c>
      <c r="E31" s="49">
        <f t="shared" si="4"/>
        <v>3.0758961842295586E-146</v>
      </c>
      <c r="F31" s="49">
        <f t="shared" si="4"/>
        <v>2.5975612643692881E-143</v>
      </c>
      <c r="G31" s="49">
        <f t="shared" si="4"/>
        <v>1.7367563204281935E-140</v>
      </c>
      <c r="H31" s="49">
        <f t="shared" si="4"/>
        <v>9.5757471598945493E-138</v>
      </c>
      <c r="I31" s="49">
        <f t="shared" si="4"/>
        <v>4.4776853594897239E-135</v>
      </c>
      <c r="J31" s="49">
        <f t="shared" si="4"/>
        <v>1.8125391000964586E-132</v>
      </c>
      <c r="K31" s="49">
        <f t="shared" si="4"/>
        <v>6.4515402947424011E-130</v>
      </c>
      <c r="L31" s="49">
        <f t="shared" si="5"/>
        <v>2.0442099082806561E-127</v>
      </c>
      <c r="M31" s="49">
        <f t="shared" si="5"/>
        <v>5.8235267973272431E-125</v>
      </c>
      <c r="N31" s="49">
        <f t="shared" si="5"/>
        <v>1.5038198168599922E-122</v>
      </c>
      <c r="O31" s="49">
        <f t="shared" si="5"/>
        <v>3.5442668308249132E-120</v>
      </c>
      <c r="P31" s="49">
        <f t="shared" si="5"/>
        <v>7.6683047675753977E-118</v>
      </c>
      <c r="Q31" s="49">
        <f t="shared" si="5"/>
        <v>1.5306605179185555E-115</v>
      </c>
      <c r="R31" s="49">
        <f t="shared" si="5"/>
        <v>2.8310065351672873E-113</v>
      </c>
      <c r="S31" s="49">
        <f t="shared" si="5"/>
        <v>4.8699573621526394E-111</v>
      </c>
      <c r="T31" s="49">
        <f t="shared" si="5"/>
        <v>7.8176405276651031E-109</v>
      </c>
      <c r="U31" s="49">
        <f t="shared" si="5"/>
        <v>1.1745515696023375E-106</v>
      </c>
      <c r="V31" s="49">
        <f t="shared" si="5"/>
        <v>1.6559782012743938E-104</v>
      </c>
      <c r="W31" s="47">
        <v>0.97199999999999998</v>
      </c>
    </row>
    <row r="32" spans="2:23" x14ac:dyDescent="0.25">
      <c r="B32" s="49">
        <f t="shared" si="4"/>
        <v>1.5127170379448959E-154</v>
      </c>
      <c r="C32" s="49">
        <f t="shared" si="4"/>
        <v>5.0809568039908449E-151</v>
      </c>
      <c r="D32" s="49">
        <f t="shared" si="4"/>
        <v>8.4475014786280372E-148</v>
      </c>
      <c r="E32" s="49">
        <f t="shared" si="4"/>
        <v>9.2683094510165053E-145</v>
      </c>
      <c r="F32" s="49">
        <f t="shared" si="4"/>
        <v>7.5486560335568335E-142</v>
      </c>
      <c r="G32" s="49">
        <f t="shared" si="4"/>
        <v>4.8676378891901509E-139</v>
      </c>
      <c r="H32" s="49">
        <f t="shared" si="4"/>
        <v>2.588380618510156E-136</v>
      </c>
      <c r="I32" s="49">
        <f t="shared" si="4"/>
        <v>1.1673086282857846E-133</v>
      </c>
      <c r="J32" s="49">
        <f t="shared" si="4"/>
        <v>4.5571856769407782E-131</v>
      </c>
      <c r="K32" s="49">
        <f t="shared" si="4"/>
        <v>1.5644098380505665E-128</v>
      </c>
      <c r="L32" s="49">
        <f t="shared" si="5"/>
        <v>4.7806942493552557E-126</v>
      </c>
      <c r="M32" s="49">
        <f t="shared" si="5"/>
        <v>1.3135012483499992E-123</v>
      </c>
      <c r="N32" s="49">
        <f t="shared" si="5"/>
        <v>3.2712951261900705E-121</v>
      </c>
      <c r="O32" s="49">
        <f t="shared" si="5"/>
        <v>7.4358467330663649E-119</v>
      </c>
      <c r="P32" s="49">
        <f t="shared" si="5"/>
        <v>1.5516153585772954E-116</v>
      </c>
      <c r="Q32" s="49">
        <f t="shared" si="5"/>
        <v>2.9870663189732845E-114</v>
      </c>
      <c r="R32" s="49">
        <f t="shared" si="5"/>
        <v>5.3283008314454523E-112</v>
      </c>
      <c r="S32" s="49">
        <f t="shared" si="5"/>
        <v>8.8400660354835614E-110</v>
      </c>
      <c r="T32" s="49">
        <f t="shared" si="5"/>
        <v>1.3686397332902484E-107</v>
      </c>
      <c r="U32" s="49">
        <f t="shared" si="5"/>
        <v>1.9832125003324507E-105</v>
      </c>
      <c r="V32" s="49">
        <f t="shared" si="5"/>
        <v>2.6967216113477855E-103</v>
      </c>
      <c r="W32" s="47">
        <v>0.97099999999999997</v>
      </c>
    </row>
    <row r="33" spans="2:23" x14ac:dyDescent="0.25">
      <c r="B33" s="49">
        <f t="shared" ref="B33:K42" si="6">_xlfn.HYPGEOM.DIST(B$2,comau,tongtheN*$W33,tongtheN,TRUE)</f>
        <v>4.5096870303981695E-153</v>
      </c>
      <c r="C33" s="49">
        <f t="shared" si="6"/>
        <v>1.4626040294489225E-149</v>
      </c>
      <c r="D33" s="49">
        <f t="shared" si="6"/>
        <v>2.3480244300413763E-146</v>
      </c>
      <c r="E33" s="49">
        <f t="shared" si="6"/>
        <v>2.4875306989578364E-143</v>
      </c>
      <c r="F33" s="49">
        <f t="shared" si="6"/>
        <v>1.956282945049902E-140</v>
      </c>
      <c r="G33" s="49">
        <f t="shared" si="6"/>
        <v>1.2180775168890364E-137</v>
      </c>
      <c r="H33" s="49">
        <f t="shared" si="6"/>
        <v>6.2543180406184552E-135</v>
      </c>
      <c r="I33" s="49">
        <f t="shared" si="6"/>
        <v>2.723536545027782E-132</v>
      </c>
      <c r="J33" s="49">
        <f t="shared" si="6"/>
        <v>1.0266926614095812E-129</v>
      </c>
      <c r="K33" s="49">
        <f t="shared" si="6"/>
        <v>3.4032278990170485E-127</v>
      </c>
      <c r="L33" s="49">
        <f t="shared" ref="L33:V42" si="7">_xlfn.HYPGEOM.DIST(L$2,comau,tongtheN*$W33,tongtheN,TRUE)</f>
        <v>1.00421976704073E-124</v>
      </c>
      <c r="M33" s="49">
        <f t="shared" si="7"/>
        <v>2.664195771925916E-122</v>
      </c>
      <c r="N33" s="49">
        <f t="shared" si="7"/>
        <v>6.4069859296099871E-120</v>
      </c>
      <c r="O33" s="49">
        <f t="shared" si="7"/>
        <v>1.4062528872111033E-117</v>
      </c>
      <c r="P33" s="49">
        <f t="shared" si="7"/>
        <v>2.833456706734848E-115</v>
      </c>
      <c r="Q33" s="49">
        <f t="shared" si="7"/>
        <v>5.2671714547223823E-113</v>
      </c>
      <c r="R33" s="49">
        <f t="shared" si="7"/>
        <v>9.072395551895812E-111</v>
      </c>
      <c r="S33" s="49">
        <f t="shared" si="7"/>
        <v>1.4534161282620408E-108</v>
      </c>
      <c r="T33" s="49">
        <f t="shared" si="7"/>
        <v>2.1728283427141845E-106</v>
      </c>
      <c r="U33" s="49">
        <f t="shared" si="7"/>
        <v>3.040240365246797E-104</v>
      </c>
      <c r="V33" s="49">
        <f t="shared" si="7"/>
        <v>3.9918827437440333E-102</v>
      </c>
      <c r="W33" s="47">
        <v>0.97</v>
      </c>
    </row>
    <row r="34" spans="2:23" x14ac:dyDescent="0.25">
      <c r="B34" s="49">
        <f t="shared" si="6"/>
        <v>1.2025970109196883E-151</v>
      </c>
      <c r="C34" s="49">
        <f t="shared" si="6"/>
        <v>3.7703188049226304E-148</v>
      </c>
      <c r="D34" s="49">
        <f t="shared" si="6"/>
        <v>5.8510256040580256E-145</v>
      </c>
      <c r="E34" s="49">
        <f t="shared" si="6"/>
        <v>5.9920634757727154E-142</v>
      </c>
      <c r="F34" s="49">
        <f t="shared" si="6"/>
        <v>4.5553178653210136E-139</v>
      </c>
      <c r="G34" s="49">
        <f t="shared" si="6"/>
        <v>2.7418361863621928E-136</v>
      </c>
      <c r="H34" s="49">
        <f t="shared" si="6"/>
        <v>1.3609012003995473E-133</v>
      </c>
      <c r="I34" s="49">
        <f t="shared" si="6"/>
        <v>5.7287570440114236E-131</v>
      </c>
      <c r="J34" s="49">
        <f t="shared" si="6"/>
        <v>2.0876069021849154E-128</v>
      </c>
      <c r="K34" s="49">
        <f t="shared" si="6"/>
        <v>6.689303171081863E-126</v>
      </c>
      <c r="L34" s="49">
        <f t="shared" si="7"/>
        <v>1.9080981381946945E-123</v>
      </c>
      <c r="M34" s="49">
        <f t="shared" si="7"/>
        <v>4.8935123833658494E-121</v>
      </c>
      <c r="N34" s="49">
        <f t="shared" si="7"/>
        <v>1.1376049313715478E-118</v>
      </c>
      <c r="O34" s="49">
        <f t="shared" si="7"/>
        <v>2.4137083359621175E-116</v>
      </c>
      <c r="P34" s="49">
        <f t="shared" si="7"/>
        <v>4.7013452503924745E-114</v>
      </c>
      <c r="Q34" s="49">
        <f t="shared" si="7"/>
        <v>8.4482694965331594E-112</v>
      </c>
      <c r="R34" s="49">
        <f t="shared" si="7"/>
        <v>1.406687292556425E-109</v>
      </c>
      <c r="S34" s="49">
        <f t="shared" si="7"/>
        <v>2.1784690573049807E-107</v>
      </c>
      <c r="T34" s="49">
        <f t="shared" si="7"/>
        <v>3.1482791049065158E-105</v>
      </c>
      <c r="U34" s="49">
        <f t="shared" si="7"/>
        <v>4.2583630113246496E-103</v>
      </c>
      <c r="V34" s="49">
        <f t="shared" si="7"/>
        <v>5.4050542222790856E-101</v>
      </c>
      <c r="W34" s="47">
        <v>0.96899999999999997</v>
      </c>
    </row>
    <row r="35" spans="2:23" x14ac:dyDescent="0.25">
      <c r="B35" s="49">
        <f t="shared" si="6"/>
        <v>2.8890672874178982E-150</v>
      </c>
      <c r="C35" s="49">
        <f t="shared" si="6"/>
        <v>8.7649071896977093E-147</v>
      </c>
      <c r="D35" s="49">
        <f t="shared" si="6"/>
        <v>1.316234954256689E-143</v>
      </c>
      <c r="E35" s="49">
        <f t="shared" si="6"/>
        <v>1.304399026831305E-140</v>
      </c>
      <c r="F35" s="49">
        <f t="shared" si="6"/>
        <v>9.5959031560346859E-138</v>
      </c>
      <c r="G35" s="49">
        <f t="shared" si="6"/>
        <v>5.5891048134794141E-135</v>
      </c>
      <c r="H35" s="49">
        <f t="shared" si="6"/>
        <v>2.6844876107277223E-132</v>
      </c>
      <c r="I35" s="49">
        <f t="shared" si="6"/>
        <v>1.0935275954403875E-129</v>
      </c>
      <c r="J35" s="49">
        <f t="shared" si="6"/>
        <v>3.8561426017165985E-127</v>
      </c>
      <c r="K35" s="49">
        <f t="shared" si="6"/>
        <v>1.1956959198839344E-124</v>
      </c>
      <c r="L35" s="49">
        <f t="shared" si="7"/>
        <v>3.3004759527958199E-122</v>
      </c>
      <c r="M35" s="49">
        <f t="shared" si="7"/>
        <v>8.1909268848964555E-120</v>
      </c>
      <c r="N35" s="49">
        <f t="shared" si="7"/>
        <v>1.8426413639279607E-117</v>
      </c>
      <c r="O35" s="49">
        <f t="shared" si="7"/>
        <v>3.783307465365784E-115</v>
      </c>
      <c r="P35" s="49">
        <f t="shared" si="7"/>
        <v>7.1309435583666626E-113</v>
      </c>
      <c r="Q35" s="49">
        <f t="shared" si="7"/>
        <v>1.2400269786234293E-110</v>
      </c>
      <c r="R35" s="49">
        <f t="shared" si="7"/>
        <v>1.9980206857961669E-108</v>
      </c>
      <c r="S35" s="49">
        <f t="shared" si="7"/>
        <v>2.9942866818838468E-106</v>
      </c>
      <c r="T35" s="49">
        <f t="shared" si="7"/>
        <v>4.1875047113966371E-104</v>
      </c>
      <c r="U35" s="49">
        <f t="shared" si="7"/>
        <v>5.4810706393645752E-102</v>
      </c>
      <c r="V35" s="49">
        <f t="shared" si="7"/>
        <v>6.7323076619600988E-100</v>
      </c>
      <c r="W35" s="47">
        <v>0.96799999999999997</v>
      </c>
    </row>
    <row r="36" spans="2:23" x14ac:dyDescent="0.25">
      <c r="B36" s="49">
        <f t="shared" si="6"/>
        <v>6.2929338579869683E-149</v>
      </c>
      <c r="C36" s="49">
        <f t="shared" si="6"/>
        <v>1.849271213541767E-145</v>
      </c>
      <c r="D36" s="49">
        <f t="shared" si="6"/>
        <v>2.6899544470933617E-142</v>
      </c>
      <c r="E36" s="49">
        <f t="shared" si="6"/>
        <v>2.5821450443416258E-139</v>
      </c>
      <c r="F36" s="49">
        <f t="shared" si="6"/>
        <v>1.8399886035737219E-136</v>
      </c>
      <c r="G36" s="49">
        <f t="shared" si="6"/>
        <v>1.0380806369557574E-133</v>
      </c>
      <c r="H36" s="49">
        <f t="shared" si="6"/>
        <v>4.8295898876371063E-131</v>
      </c>
      <c r="I36" s="49">
        <f t="shared" si="6"/>
        <v>1.9056321328328625E-128</v>
      </c>
      <c r="J36" s="49">
        <f t="shared" si="6"/>
        <v>6.509135886387314E-126</v>
      </c>
      <c r="K36" s="49">
        <f t="shared" si="6"/>
        <v>1.9550253654165095E-123</v>
      </c>
      <c r="L36" s="49">
        <f t="shared" si="7"/>
        <v>5.2272116898764484E-121</v>
      </c>
      <c r="M36" s="49">
        <f t="shared" si="7"/>
        <v>1.2565764167628337E-118</v>
      </c>
      <c r="N36" s="49">
        <f t="shared" si="7"/>
        <v>2.7381642087870044E-116</v>
      </c>
      <c r="O36" s="49">
        <f t="shared" si="7"/>
        <v>5.4456987307198788E-114</v>
      </c>
      <c r="P36" s="49">
        <f t="shared" si="7"/>
        <v>9.942435025882808E-112</v>
      </c>
      <c r="Q36" s="49">
        <f t="shared" si="7"/>
        <v>1.6747160323049973E-109</v>
      </c>
      <c r="R36" s="49">
        <f t="shared" si="7"/>
        <v>2.613814746991868E-107</v>
      </c>
      <c r="S36" s="49">
        <f t="shared" si="7"/>
        <v>3.7943159035375435E-105</v>
      </c>
      <c r="T36" s="49">
        <f t="shared" si="7"/>
        <v>5.1399774072382615E-103</v>
      </c>
      <c r="U36" s="49">
        <f t="shared" si="7"/>
        <v>6.5168482899747788E-101</v>
      </c>
      <c r="V36" s="49">
        <f t="shared" si="7"/>
        <v>7.7535929864528459E-99</v>
      </c>
      <c r="W36" s="47">
        <v>0.96699999999999997</v>
      </c>
    </row>
    <row r="37" spans="2:23" x14ac:dyDescent="0.25">
      <c r="B37" s="49">
        <f t="shared" si="6"/>
        <v>1.2501156571697733E-147</v>
      </c>
      <c r="C37" s="49">
        <f t="shared" si="6"/>
        <v>3.5616886055992381E-144</v>
      </c>
      <c r="D37" s="49">
        <f t="shared" si="6"/>
        <v>5.0229516076898648E-141</v>
      </c>
      <c r="E37" s="49">
        <f t="shared" si="6"/>
        <v>4.6747012065389577E-138</v>
      </c>
      <c r="F37" s="49">
        <f t="shared" si="6"/>
        <v>3.2295940662315316E-135</v>
      </c>
      <c r="G37" s="49">
        <f t="shared" si="6"/>
        <v>1.7665417587285429E-132</v>
      </c>
      <c r="H37" s="49">
        <f t="shared" si="6"/>
        <v>7.9682603850776776E-130</v>
      </c>
      <c r="I37" s="49">
        <f t="shared" si="6"/>
        <v>3.0482684768381526E-127</v>
      </c>
      <c r="J37" s="49">
        <f t="shared" si="6"/>
        <v>1.0094825374761779E-124</v>
      </c>
      <c r="K37" s="49">
        <f t="shared" si="6"/>
        <v>2.9396094806050994E-122</v>
      </c>
      <c r="L37" s="49">
        <f t="shared" si="7"/>
        <v>7.6202558115018578E-120</v>
      </c>
      <c r="M37" s="49">
        <f t="shared" si="7"/>
        <v>1.7760330384852299E-117</v>
      </c>
      <c r="N37" s="49">
        <f t="shared" si="7"/>
        <v>3.7521894384484055E-115</v>
      </c>
      <c r="O37" s="49">
        <f t="shared" si="7"/>
        <v>7.2350656006056172E-113</v>
      </c>
      <c r="P37" s="49">
        <f t="shared" si="7"/>
        <v>1.2806949168416067E-110</v>
      </c>
      <c r="Q37" s="49">
        <f t="shared" si="7"/>
        <v>2.0915037026397353E-108</v>
      </c>
      <c r="R37" s="49">
        <f t="shared" si="7"/>
        <v>3.1648802192440518E-106</v>
      </c>
      <c r="S37" s="49">
        <f t="shared" si="7"/>
        <v>4.4543204627624846E-104</v>
      </c>
      <c r="T37" s="49">
        <f t="shared" si="7"/>
        <v>5.8502600551020606E-102</v>
      </c>
      <c r="U37" s="49">
        <f t="shared" si="7"/>
        <v>7.1914763778731373E-100</v>
      </c>
      <c r="V37" s="49">
        <f t="shared" si="7"/>
        <v>8.2956502963147884E-98</v>
      </c>
      <c r="W37" s="47">
        <v>0.96599999999999997</v>
      </c>
    </row>
    <row r="38" spans="2:23" x14ac:dyDescent="0.25">
      <c r="B38" s="49">
        <f t="shared" si="6"/>
        <v>2.2770406033918995E-146</v>
      </c>
      <c r="C38" s="49">
        <f t="shared" si="6"/>
        <v>6.2952366805353098E-143</v>
      </c>
      <c r="D38" s="49">
        <f t="shared" si="6"/>
        <v>8.6149160189588199E-140</v>
      </c>
      <c r="E38" s="49">
        <f t="shared" si="6"/>
        <v>7.7800476182632494E-137</v>
      </c>
      <c r="F38" s="49">
        <f t="shared" si="6"/>
        <v>5.215705831704383E-134</v>
      </c>
      <c r="G38" s="49">
        <f t="shared" si="6"/>
        <v>2.7683833169606631E-131</v>
      </c>
      <c r="H38" s="49">
        <f t="shared" si="6"/>
        <v>1.2117231725900632E-128</v>
      </c>
      <c r="I38" s="49">
        <f t="shared" si="6"/>
        <v>4.4981207589736431E-126</v>
      </c>
      <c r="J38" s="49">
        <f t="shared" si="6"/>
        <v>1.445490125492946E-123</v>
      </c>
      <c r="K38" s="49">
        <f t="shared" si="6"/>
        <v>4.0845555597245579E-121</v>
      </c>
      <c r="L38" s="49">
        <f t="shared" si="7"/>
        <v>1.027457816776026E-118</v>
      </c>
      <c r="M38" s="49">
        <f t="shared" si="7"/>
        <v>2.3237275498985397E-116</v>
      </c>
      <c r="N38" s="49">
        <f t="shared" si="7"/>
        <v>4.7638609891141944E-114</v>
      </c>
      <c r="O38" s="49">
        <f t="shared" si="7"/>
        <v>8.913687381496771E-112</v>
      </c>
      <c r="P38" s="49">
        <f t="shared" si="7"/>
        <v>1.5310933239895213E-109</v>
      </c>
      <c r="Q38" s="49">
        <f t="shared" si="7"/>
        <v>2.4263649385083447E-107</v>
      </c>
      <c r="R38" s="49">
        <f t="shared" si="7"/>
        <v>3.5628433630493967E-105</v>
      </c>
      <c r="S38" s="49">
        <f t="shared" si="7"/>
        <v>4.8659018458835848E-103</v>
      </c>
      <c r="T38" s="49">
        <f t="shared" si="7"/>
        <v>6.2015459144289499E-101</v>
      </c>
      <c r="U38" s="49">
        <f t="shared" si="7"/>
        <v>7.3975214843318961E-99</v>
      </c>
      <c r="V38" s="49">
        <f t="shared" si="7"/>
        <v>8.2806129153056377E-97</v>
      </c>
      <c r="W38" s="47">
        <v>0.96499999999999997</v>
      </c>
    </row>
    <row r="39" spans="2:23" x14ac:dyDescent="0.25">
      <c r="B39" s="49">
        <f t="shared" si="6"/>
        <v>3.8215577970613253E-145</v>
      </c>
      <c r="C39" s="49">
        <f t="shared" si="6"/>
        <v>1.0260609241703549E-141</v>
      </c>
      <c r="D39" s="49">
        <f t="shared" si="6"/>
        <v>1.3636532381544068E-138</v>
      </c>
      <c r="E39" s="49">
        <f t="shared" si="6"/>
        <v>1.1959894762653869E-135</v>
      </c>
      <c r="F39" s="49">
        <f t="shared" si="6"/>
        <v>7.7866523893945762E-133</v>
      </c>
      <c r="G39" s="49">
        <f t="shared" si="6"/>
        <v>4.0138109427775844E-130</v>
      </c>
      <c r="H39" s="49">
        <f t="shared" si="6"/>
        <v>1.7061903933015598E-127</v>
      </c>
      <c r="I39" s="49">
        <f t="shared" si="6"/>
        <v>6.1510461026160276E-125</v>
      </c>
      <c r="J39" s="49">
        <f t="shared" si="6"/>
        <v>1.9196727486655989E-122</v>
      </c>
      <c r="K39" s="49">
        <f t="shared" si="6"/>
        <v>5.2680694031156407E-120</v>
      </c>
      <c r="L39" s="49">
        <f t="shared" si="7"/>
        <v>1.2869619434219569E-117</v>
      </c>
      <c r="M39" s="49">
        <f t="shared" si="7"/>
        <v>2.8267171522799934E-115</v>
      </c>
      <c r="N39" s="49">
        <f t="shared" si="7"/>
        <v>5.6279741509581301E-113</v>
      </c>
      <c r="O39" s="49">
        <f t="shared" si="7"/>
        <v>1.0226963538201216E-110</v>
      </c>
      <c r="P39" s="49">
        <f t="shared" si="7"/>
        <v>1.7060340718518881E-108</v>
      </c>
      <c r="Q39" s="49">
        <f t="shared" si="7"/>
        <v>2.6256650684994024E-106</v>
      </c>
      <c r="R39" s="49">
        <f t="shared" si="7"/>
        <v>3.7443595548013197E-104</v>
      </c>
      <c r="S39" s="49">
        <f t="shared" si="7"/>
        <v>4.9664060190791625E-102</v>
      </c>
      <c r="T39" s="49">
        <f t="shared" si="7"/>
        <v>6.147200213587936E-100</v>
      </c>
      <c r="U39" s="49">
        <f t="shared" si="7"/>
        <v>7.1213545726614212E-98</v>
      </c>
      <c r="V39" s="49">
        <f t="shared" si="7"/>
        <v>7.7417351088645617E-96</v>
      </c>
      <c r="W39" s="47">
        <v>0.96399999999999997</v>
      </c>
    </row>
    <row r="40" spans="2:23" x14ac:dyDescent="0.25">
      <c r="B40" s="49">
        <f t="shared" si="6"/>
        <v>5.9362167006394205E-144</v>
      </c>
      <c r="C40" s="49">
        <f t="shared" si="6"/>
        <v>1.5490670239090305E-140</v>
      </c>
      <c r="D40" s="49">
        <f t="shared" si="6"/>
        <v>2.0009172355065991E-137</v>
      </c>
      <c r="E40" s="49">
        <f t="shared" si="6"/>
        <v>1.7056150740096583E-134</v>
      </c>
      <c r="F40" s="49">
        <f t="shared" si="6"/>
        <v>1.0792779936763612E-131</v>
      </c>
      <c r="G40" s="49">
        <f t="shared" si="6"/>
        <v>5.4071534489652005E-129</v>
      </c>
      <c r="H40" s="49">
        <f t="shared" si="6"/>
        <v>2.2339266304796084E-126</v>
      </c>
      <c r="I40" s="49">
        <f t="shared" si="6"/>
        <v>7.8274520100101993E-124</v>
      </c>
      <c r="J40" s="49">
        <f t="shared" si="6"/>
        <v>2.3742641833220873E-121</v>
      </c>
      <c r="K40" s="49">
        <f t="shared" si="6"/>
        <v>6.3326302939366621E-119</v>
      </c>
      <c r="L40" s="49">
        <f t="shared" si="7"/>
        <v>1.5035904388273181E-116</v>
      </c>
      <c r="M40" s="49">
        <f t="shared" si="7"/>
        <v>3.2097988215931705E-114</v>
      </c>
      <c r="N40" s="49">
        <f t="shared" si="7"/>
        <v>6.2112580114779335E-112</v>
      </c>
      <c r="O40" s="49">
        <f t="shared" si="7"/>
        <v>1.0969999642612664E-109</v>
      </c>
      <c r="P40" s="49">
        <f t="shared" si="7"/>
        <v>1.7786088728130276E-107</v>
      </c>
      <c r="Q40" s="49">
        <f t="shared" si="7"/>
        <v>2.6605127982798602E-105</v>
      </c>
      <c r="R40" s="49">
        <f t="shared" si="7"/>
        <v>3.6875445219919265E-103</v>
      </c>
      <c r="S40" s="49">
        <f t="shared" si="7"/>
        <v>4.7537472212836534E-101</v>
      </c>
      <c r="T40" s="49">
        <f t="shared" si="7"/>
        <v>5.7188117164470026E-99</v>
      </c>
      <c r="U40" s="49">
        <f t="shared" si="7"/>
        <v>6.4391134119283453E-97</v>
      </c>
      <c r="V40" s="49">
        <f t="shared" si="7"/>
        <v>6.8035761604952977E-95</v>
      </c>
      <c r="W40" s="47">
        <v>0.96299999999999997</v>
      </c>
    </row>
    <row r="41" spans="2:23" x14ac:dyDescent="0.25">
      <c r="B41" s="49">
        <f t="shared" si="6"/>
        <v>8.5698464404033625E-143</v>
      </c>
      <c r="C41" s="49">
        <f t="shared" si="6"/>
        <v>2.175101667354723E-139</v>
      </c>
      <c r="D41" s="49">
        <f t="shared" si="6"/>
        <v>2.7326555515397495E-136</v>
      </c>
      <c r="E41" s="49">
        <f t="shared" si="6"/>
        <v>2.2656017315570182E-133</v>
      </c>
      <c r="F41" s="49">
        <f t="shared" si="6"/>
        <v>1.3943859617831523E-130</v>
      </c>
      <c r="G41" s="49">
        <f t="shared" si="6"/>
        <v>6.7946310287445917E-128</v>
      </c>
      <c r="H41" s="49">
        <f t="shared" si="6"/>
        <v>2.7303225893836698E-125</v>
      </c>
      <c r="I41" s="49">
        <f t="shared" si="6"/>
        <v>9.3049430047654687E-123</v>
      </c>
      <c r="J41" s="49">
        <f t="shared" si="6"/>
        <v>2.7451809010900427E-120</v>
      </c>
      <c r="K41" s="49">
        <f t="shared" si="6"/>
        <v>7.1215588439697703E-118</v>
      </c>
      <c r="L41" s="49">
        <f t="shared" si="7"/>
        <v>1.6446363283265778E-115</v>
      </c>
      <c r="M41" s="49">
        <f t="shared" si="7"/>
        <v>3.4148207967744089E-113</v>
      </c>
      <c r="N41" s="49">
        <f t="shared" si="7"/>
        <v>6.427170921527348E-111</v>
      </c>
      <c r="O41" s="49">
        <f t="shared" si="7"/>
        <v>1.1040721818565242E-108</v>
      </c>
      <c r="P41" s="49">
        <f t="shared" si="7"/>
        <v>1.741094275477544E-106</v>
      </c>
      <c r="Q41" s="49">
        <f t="shared" si="7"/>
        <v>2.5331363920511255E-104</v>
      </c>
      <c r="R41" s="49">
        <f t="shared" si="7"/>
        <v>3.4149338723353692E-102</v>
      </c>
      <c r="S41" s="49">
        <f t="shared" si="7"/>
        <v>4.2818685977748124E-100</v>
      </c>
      <c r="T41" s="49">
        <f t="shared" si="7"/>
        <v>5.010207372480356E-98</v>
      </c>
      <c r="U41" s="49">
        <f t="shared" si="7"/>
        <v>5.4869255067339482E-96</v>
      </c>
      <c r="V41" s="49">
        <f t="shared" si="7"/>
        <v>5.6388918757291062E-94</v>
      </c>
      <c r="W41" s="47">
        <v>0.96199999999999997</v>
      </c>
    </row>
    <row r="42" spans="2:23" x14ac:dyDescent="0.25">
      <c r="B42" s="49">
        <f t="shared" si="6"/>
        <v>1.1542094754916271E-141</v>
      </c>
      <c r="C42" s="49">
        <f t="shared" si="6"/>
        <v>2.8512738367575604E-138</v>
      </c>
      <c r="D42" s="49">
        <f t="shared" si="6"/>
        <v>3.486521730157056E-135</v>
      </c>
      <c r="E42" s="49">
        <f t="shared" si="6"/>
        <v>2.8134520248955201E-132</v>
      </c>
      <c r="F42" s="49">
        <f t="shared" si="6"/>
        <v>1.6853408986584379E-129</v>
      </c>
      <c r="G42" s="49">
        <f t="shared" si="6"/>
        <v>7.9931838425342146E-127</v>
      </c>
      <c r="H42" s="49">
        <f t="shared" si="6"/>
        <v>3.1262046754422391E-124</v>
      </c>
      <c r="I42" s="49">
        <f t="shared" si="6"/>
        <v>1.0369720386963779E-121</v>
      </c>
      <c r="J42" s="49">
        <f t="shared" si="6"/>
        <v>2.9776561444231355E-119</v>
      </c>
      <c r="K42" s="49">
        <f t="shared" si="6"/>
        <v>7.518466318199763E-117</v>
      </c>
      <c r="L42" s="49">
        <f t="shared" si="7"/>
        <v>1.689954681828091E-114</v>
      </c>
      <c r="M42" s="49">
        <f t="shared" si="7"/>
        <v>3.4152654318785621E-112</v>
      </c>
      <c r="N42" s="49">
        <f t="shared" si="7"/>
        <v>6.2564523478266825E-110</v>
      </c>
      <c r="O42" s="49">
        <f t="shared" si="7"/>
        <v>1.046063124231706E-107</v>
      </c>
      <c r="P42" s="49">
        <f t="shared" si="7"/>
        <v>1.605592156176551E-105</v>
      </c>
      <c r="Q42" s="49">
        <f t="shared" si="7"/>
        <v>2.2736543727845026E-103</v>
      </c>
      <c r="R42" s="49">
        <f t="shared" si="7"/>
        <v>2.9833313740283944E-101</v>
      </c>
      <c r="S42" s="49">
        <f t="shared" si="7"/>
        <v>3.6408791662764433E-99</v>
      </c>
      <c r="T42" s="49">
        <f t="shared" si="7"/>
        <v>4.1465105989284653E-97</v>
      </c>
      <c r="U42" s="49">
        <f t="shared" si="7"/>
        <v>4.419882369213815E-95</v>
      </c>
      <c r="V42" s="49">
        <f t="shared" si="7"/>
        <v>4.4211007440670264E-93</v>
      </c>
      <c r="W42" s="47">
        <v>0.96099999999999997</v>
      </c>
    </row>
    <row r="43" spans="2:23" x14ac:dyDescent="0.25">
      <c r="B43" s="49">
        <f t="shared" ref="B43:K52" si="8">_xlfn.HYPGEOM.DIST(B$2,comau,tongtheN*$W43,tongtheN,TRUE)</f>
        <v>1.4553687659603666E-140</v>
      </c>
      <c r="C43" s="49">
        <f t="shared" si="8"/>
        <v>3.5015593715768034E-137</v>
      </c>
      <c r="D43" s="49">
        <f t="shared" si="8"/>
        <v>4.1701283682965457E-134</v>
      </c>
      <c r="E43" s="49">
        <f t="shared" si="8"/>
        <v>3.2774145567725508E-131</v>
      </c>
      <c r="F43" s="49">
        <f t="shared" si="8"/>
        <v>1.9121183928336039E-128</v>
      </c>
      <c r="G43" s="49">
        <f t="shared" si="8"/>
        <v>8.8324729624337559E-126</v>
      </c>
      <c r="H43" s="49">
        <f t="shared" si="8"/>
        <v>3.3644630561097315E-123</v>
      </c>
      <c r="I43" s="49">
        <f t="shared" si="8"/>
        <v>1.0869300380606912E-120</v>
      </c>
      <c r="J43" s="49">
        <f t="shared" si="8"/>
        <v>3.0398043436535418E-118</v>
      </c>
      <c r="K43" s="49">
        <f t="shared" si="8"/>
        <v>7.4754483200040845E-116</v>
      </c>
      <c r="L43" s="49">
        <f t="shared" ref="L43:V52" si="9">_xlfn.HYPGEOM.DIST(L$2,comau,tongtheN*$W43,tongtheN,TRUE)</f>
        <v>1.6365161769713737E-113</v>
      </c>
      <c r="M43" s="49">
        <f t="shared" si="9"/>
        <v>3.2211231621136196E-111</v>
      </c>
      <c r="N43" s="49">
        <f t="shared" si="9"/>
        <v>5.7471033046092073E-109</v>
      </c>
      <c r="O43" s="49">
        <f t="shared" si="9"/>
        <v>9.3587344426104369E-107</v>
      </c>
      <c r="P43" s="49">
        <f t="shared" si="9"/>
        <v>1.3990499434410179E-104</v>
      </c>
      <c r="Q43" s="49">
        <f t="shared" si="9"/>
        <v>1.929574544370376E-102</v>
      </c>
      <c r="R43" s="49">
        <f t="shared" si="9"/>
        <v>2.4659151850682844E-100</v>
      </c>
      <c r="S43" s="49">
        <f t="shared" si="9"/>
        <v>2.9310473019124248E-98</v>
      </c>
      <c r="T43" s="49">
        <f t="shared" si="9"/>
        <v>3.2511699046710804E-96</v>
      </c>
      <c r="U43" s="49">
        <f t="shared" si="9"/>
        <v>3.3752685429647976E-94</v>
      </c>
      <c r="V43" s="49">
        <f t="shared" si="9"/>
        <v>3.2882829662821559E-92</v>
      </c>
      <c r="W43" s="47">
        <v>0.96</v>
      </c>
    </row>
    <row r="44" spans="2:23" x14ac:dyDescent="0.25">
      <c r="B44" s="49">
        <f t="shared" si="8"/>
        <v>1.7236672870589386E-139</v>
      </c>
      <c r="C44" s="49">
        <f t="shared" si="8"/>
        <v>4.0415524160854593E-136</v>
      </c>
      <c r="D44" s="49">
        <f t="shared" si="8"/>
        <v>4.6907555105496141E-133</v>
      </c>
      <c r="E44" s="49">
        <f t="shared" si="8"/>
        <v>3.5927891260106917E-130</v>
      </c>
      <c r="F44" s="49">
        <f t="shared" si="8"/>
        <v>2.0427839218556864E-127</v>
      </c>
      <c r="G44" s="49">
        <f t="shared" si="8"/>
        <v>9.1959711803434889E-125</v>
      </c>
      <c r="H44" s="49">
        <f t="shared" si="8"/>
        <v>3.4138073999558638E-122</v>
      </c>
      <c r="I44" s="49">
        <f t="shared" si="8"/>
        <v>1.0748135846479111E-119</v>
      </c>
      <c r="J44" s="49">
        <f t="shared" si="8"/>
        <v>2.9294482671602364E-117</v>
      </c>
      <c r="K44" s="49">
        <f t="shared" si="8"/>
        <v>7.020797331422119E-115</v>
      </c>
      <c r="L44" s="49">
        <f t="shared" si="9"/>
        <v>1.4978862595352349E-112</v>
      </c>
      <c r="M44" s="49">
        <f t="shared" si="9"/>
        <v>2.8732641916080669E-110</v>
      </c>
      <c r="N44" s="49">
        <f t="shared" si="9"/>
        <v>4.9960558873983463E-108</v>
      </c>
      <c r="O44" s="49">
        <f t="shared" si="9"/>
        <v>7.9287701252886464E-106</v>
      </c>
      <c r="P44" s="49">
        <f t="shared" si="9"/>
        <v>1.1551349076420937E-103</v>
      </c>
      <c r="Q44" s="49">
        <f t="shared" si="9"/>
        <v>1.5526451567588399E-101</v>
      </c>
      <c r="R44" s="49">
        <f t="shared" si="9"/>
        <v>1.9337500088768434E-99</v>
      </c>
      <c r="S44" s="49">
        <f t="shared" si="9"/>
        <v>2.2400460623171062E-97</v>
      </c>
      <c r="T44" s="49">
        <f t="shared" si="9"/>
        <v>2.4215091138601111E-95</v>
      </c>
      <c r="U44" s="49">
        <f t="shared" si="9"/>
        <v>2.4500079448368829E-93</v>
      </c>
      <c r="V44" s="49">
        <f t="shared" si="9"/>
        <v>2.326170095772864E-91</v>
      </c>
      <c r="W44" s="47">
        <v>0.95899999999999996</v>
      </c>
    </row>
    <row r="45" spans="2:23" x14ac:dyDescent="0.25">
      <c r="B45" s="49">
        <f t="shared" si="8"/>
        <v>1.9232623715715752E-138</v>
      </c>
      <c r="C45" s="49">
        <f t="shared" si="8"/>
        <v>4.3974271735437864E-135</v>
      </c>
      <c r="D45" s="49">
        <f t="shared" si="8"/>
        <v>4.9768997449463623E-132</v>
      </c>
      <c r="E45" s="49">
        <f t="shared" si="8"/>
        <v>3.7171817020539689E-129</v>
      </c>
      <c r="F45" s="49">
        <f t="shared" si="8"/>
        <v>2.0609657697848231E-126</v>
      </c>
      <c r="G45" s="49">
        <f t="shared" si="8"/>
        <v>9.0471658964447221E-124</v>
      </c>
      <c r="H45" s="49">
        <f t="shared" si="8"/>
        <v>3.27507233298001E-121</v>
      </c>
      <c r="I45" s="49">
        <f t="shared" si="8"/>
        <v>1.005500482535043E-118</v>
      </c>
      <c r="J45" s="49">
        <f t="shared" si="8"/>
        <v>2.6724067278891066E-116</v>
      </c>
      <c r="K45" s="49">
        <f t="shared" si="8"/>
        <v>6.2455556495641475E-114</v>
      </c>
      <c r="L45" s="49">
        <f t="shared" si="9"/>
        <v>1.2993667371114915E-111</v>
      </c>
      <c r="M45" s="49">
        <f t="shared" si="9"/>
        <v>2.4305081113425671E-109</v>
      </c>
      <c r="N45" s="49">
        <f t="shared" si="9"/>
        <v>4.1211436928368261E-107</v>
      </c>
      <c r="O45" s="49">
        <f t="shared" si="9"/>
        <v>6.3777223023827724E-105</v>
      </c>
      <c r="P45" s="49">
        <f t="shared" si="9"/>
        <v>9.0607084224746966E-103</v>
      </c>
      <c r="Q45" s="49">
        <f t="shared" si="9"/>
        <v>1.1876041101744401E-100</v>
      </c>
      <c r="R45" s="49">
        <f t="shared" si="9"/>
        <v>1.4423485101319189E-98</v>
      </c>
      <c r="S45" s="49">
        <f t="shared" si="9"/>
        <v>1.6292870627058696E-96</v>
      </c>
      <c r="T45" s="49">
        <f t="shared" si="9"/>
        <v>1.7175046795121835E-94</v>
      </c>
      <c r="U45" s="49">
        <f t="shared" si="9"/>
        <v>1.6945362490814751E-92</v>
      </c>
      <c r="V45" s="49">
        <f t="shared" si="9"/>
        <v>1.5689054979353113E-90</v>
      </c>
      <c r="W45" s="47">
        <v>0.95799999999999996</v>
      </c>
    </row>
    <row r="46" spans="2:23" x14ac:dyDescent="0.25">
      <c r="B46" s="49">
        <f t="shared" si="8"/>
        <v>2.0274413365082995E-137</v>
      </c>
      <c r="C46" s="49">
        <f t="shared" si="8"/>
        <v>4.5229369981339079E-134</v>
      </c>
      <c r="D46" s="49">
        <f t="shared" si="8"/>
        <v>4.9945135528729476E-131</v>
      </c>
      <c r="E46" s="49">
        <f t="shared" si="8"/>
        <v>3.6396600271627826E-128</v>
      </c>
      <c r="F46" s="49">
        <f t="shared" si="8"/>
        <v>1.9689325511997558E-125</v>
      </c>
      <c r="G46" s="49">
        <f t="shared" si="8"/>
        <v>8.4330748812794936E-123</v>
      </c>
      <c r="H46" s="49">
        <f t="shared" si="8"/>
        <v>2.9785709908682698E-120</v>
      </c>
      <c r="I46" s="49">
        <f t="shared" si="8"/>
        <v>8.9224334448310734E-118</v>
      </c>
      <c r="J46" s="49">
        <f t="shared" si="8"/>
        <v>2.3137577506607748E-115</v>
      </c>
      <c r="K46" s="49">
        <f t="shared" si="8"/>
        <v>5.2759544195249288E-113</v>
      </c>
      <c r="L46" s="49">
        <f t="shared" si="9"/>
        <v>1.0709683837109143E-110</v>
      </c>
      <c r="M46" s="49">
        <f t="shared" si="9"/>
        <v>1.9545971782763068E-108</v>
      </c>
      <c r="N46" s="49">
        <f t="shared" si="9"/>
        <v>3.233654212108272E-106</v>
      </c>
      <c r="O46" s="49">
        <f t="shared" si="9"/>
        <v>4.8826702649366588E-104</v>
      </c>
      <c r="P46" s="49">
        <f t="shared" si="9"/>
        <v>6.768154552305132E-102</v>
      </c>
      <c r="Q46" s="49">
        <f t="shared" si="9"/>
        <v>8.6555861008063385E-100</v>
      </c>
      <c r="R46" s="49">
        <f t="shared" si="9"/>
        <v>1.0256803522912143E-97</v>
      </c>
      <c r="S46" s="49">
        <f t="shared" si="9"/>
        <v>1.1304642667833159E-95</v>
      </c>
      <c r="T46" s="49">
        <f t="shared" si="9"/>
        <v>1.1627194470333822E-93</v>
      </c>
      <c r="U46" s="49">
        <f t="shared" si="9"/>
        <v>1.119298773388025E-91</v>
      </c>
      <c r="V46" s="49">
        <f t="shared" si="9"/>
        <v>1.0111381413926003E-89</v>
      </c>
      <c r="W46" s="47">
        <v>0.95699999999999996</v>
      </c>
    </row>
    <row r="47" spans="2:23" x14ac:dyDescent="0.25">
      <c r="B47" s="49">
        <f t="shared" si="8"/>
        <v>2.0245031442540365E-136</v>
      </c>
      <c r="C47" s="49">
        <f t="shared" si="8"/>
        <v>4.4089807413336993E-133</v>
      </c>
      <c r="D47" s="49">
        <f t="shared" si="8"/>
        <v>4.7528997700847961E-130</v>
      </c>
      <c r="E47" s="49">
        <f t="shared" si="8"/>
        <v>3.3812273280583507E-127</v>
      </c>
      <c r="F47" s="49">
        <f t="shared" si="8"/>
        <v>1.7856353705942146E-124</v>
      </c>
      <c r="G47" s="49">
        <f t="shared" si="8"/>
        <v>7.4661479054476889E-122</v>
      </c>
      <c r="H47" s="49">
        <f t="shared" si="8"/>
        <v>2.5743499578971838E-119</v>
      </c>
      <c r="I47" s="49">
        <f t="shared" si="8"/>
        <v>7.5282191349338897E-117</v>
      </c>
      <c r="J47" s="49">
        <f t="shared" si="8"/>
        <v>1.9057961301590237E-114</v>
      </c>
      <c r="K47" s="49">
        <f t="shared" si="8"/>
        <v>4.2423795961749599E-112</v>
      </c>
      <c r="L47" s="49">
        <f t="shared" si="9"/>
        <v>8.4068906492446473E-110</v>
      </c>
      <c r="M47" s="49">
        <f t="shared" si="9"/>
        <v>1.4978440542696909E-107</v>
      </c>
      <c r="N47" s="49">
        <f t="shared" si="9"/>
        <v>2.4191000162180735E-105</v>
      </c>
      <c r="O47" s="49">
        <f t="shared" si="9"/>
        <v>3.5658978211289882E-103</v>
      </c>
      <c r="P47" s="49">
        <f t="shared" si="9"/>
        <v>4.825400412930768E-101</v>
      </c>
      <c r="Q47" s="49">
        <f t="shared" si="9"/>
        <v>6.0243682196604097E-99</v>
      </c>
      <c r="R47" s="49">
        <f t="shared" si="9"/>
        <v>6.9691426625734194E-97</v>
      </c>
      <c r="S47" s="49">
        <f t="shared" si="9"/>
        <v>7.4985416234478048E-95</v>
      </c>
      <c r="T47" s="49">
        <f t="shared" si="9"/>
        <v>7.5291841127927759E-93</v>
      </c>
      <c r="U47" s="49">
        <f t="shared" si="9"/>
        <v>7.0757485891437907E-91</v>
      </c>
      <c r="V47" s="49">
        <f t="shared" si="9"/>
        <v>6.2400866663192333E-89</v>
      </c>
      <c r="W47" s="47">
        <v>0.95599999999999996</v>
      </c>
    </row>
    <row r="48" spans="2:23" x14ac:dyDescent="0.25">
      <c r="B48" s="49">
        <f t="shared" si="8"/>
        <v>1.9195882827862253E-135</v>
      </c>
      <c r="C48" s="49">
        <f t="shared" si="8"/>
        <v>4.0831948374860219E-132</v>
      </c>
      <c r="D48" s="49">
        <f t="shared" si="8"/>
        <v>4.2992540426433894E-129</v>
      </c>
      <c r="E48" s="49">
        <f t="shared" si="8"/>
        <v>2.9873194058084881E-126</v>
      </c>
      <c r="F48" s="49">
        <f t="shared" si="8"/>
        <v>1.5408955361046171E-123</v>
      </c>
      <c r="G48" s="49">
        <f t="shared" si="8"/>
        <v>6.2928941538238194E-121</v>
      </c>
      <c r="H48" s="49">
        <f t="shared" si="8"/>
        <v>2.1193131879713675E-118</v>
      </c>
      <c r="I48" s="49">
        <f t="shared" si="8"/>
        <v>6.0533227092139984E-116</v>
      </c>
      <c r="J48" s="49">
        <f t="shared" si="8"/>
        <v>1.4967605905934849E-113</v>
      </c>
      <c r="K48" s="49">
        <f t="shared" si="8"/>
        <v>3.2543185183906234E-111</v>
      </c>
      <c r="L48" s="49">
        <f t="shared" si="9"/>
        <v>6.2988443580828973E-109</v>
      </c>
      <c r="M48" s="49">
        <f t="shared" si="9"/>
        <v>1.0961433242361078E-106</v>
      </c>
      <c r="N48" s="49">
        <f t="shared" si="9"/>
        <v>1.7291399915555561E-104</v>
      </c>
      <c r="O48" s="49">
        <f t="shared" si="9"/>
        <v>2.4895516490092615E-102</v>
      </c>
      <c r="P48" s="49">
        <f t="shared" si="9"/>
        <v>3.2904996695167289E-100</v>
      </c>
      <c r="Q48" s="49">
        <f t="shared" si="9"/>
        <v>4.0125142720148205E-98</v>
      </c>
      <c r="R48" s="49">
        <f t="shared" si="9"/>
        <v>4.5337896568146044E-96</v>
      </c>
      <c r="S48" s="49">
        <f t="shared" si="9"/>
        <v>4.7647059153824126E-94</v>
      </c>
      <c r="T48" s="49">
        <f t="shared" si="9"/>
        <v>4.6728823772426784E-92</v>
      </c>
      <c r="U48" s="49">
        <f t="shared" si="9"/>
        <v>4.2893089362815331E-90</v>
      </c>
      <c r="V48" s="49">
        <f t="shared" si="9"/>
        <v>3.6947403834371713E-88</v>
      </c>
      <c r="W48" s="47">
        <v>0.95499999999999996</v>
      </c>
    </row>
    <row r="49" spans="2:23" x14ac:dyDescent="0.25">
      <c r="B49" s="49">
        <f t="shared" si="8"/>
        <v>1.7322332710033709E-134</v>
      </c>
      <c r="C49" s="49">
        <f t="shared" si="8"/>
        <v>3.6006880573844673E-131</v>
      </c>
      <c r="D49" s="49">
        <f t="shared" si="8"/>
        <v>3.7048095536196265E-128</v>
      </c>
      <c r="E49" s="49">
        <f t="shared" si="8"/>
        <v>2.515602998242888E-125</v>
      </c>
      <c r="F49" s="49">
        <f t="shared" si="8"/>
        <v>1.2680068129809527E-122</v>
      </c>
      <c r="G49" s="49">
        <f t="shared" si="8"/>
        <v>5.0604256600520149E-120</v>
      </c>
      <c r="H49" s="49">
        <f t="shared" si="8"/>
        <v>1.6654066127538716E-117</v>
      </c>
      <c r="I49" s="49">
        <f t="shared" si="8"/>
        <v>4.6484459612026279E-115</v>
      </c>
      <c r="J49" s="49">
        <f t="shared" si="8"/>
        <v>1.1231956471872488E-112</v>
      </c>
      <c r="K49" s="49">
        <f t="shared" si="8"/>
        <v>2.3864511212767239E-110</v>
      </c>
      <c r="L49" s="49">
        <f t="shared" si="9"/>
        <v>4.5138080166300163E-108</v>
      </c>
      <c r="M49" s="49">
        <f t="shared" si="9"/>
        <v>7.6760815529429643E-106</v>
      </c>
      <c r="N49" s="49">
        <f t="shared" si="9"/>
        <v>1.1832942063197944E-103</v>
      </c>
      <c r="O49" s="49">
        <f t="shared" si="9"/>
        <v>1.6648472374446797E-101</v>
      </c>
      <c r="P49" s="49">
        <f t="shared" si="9"/>
        <v>2.150334844861114E-99</v>
      </c>
      <c r="Q49" s="49">
        <f t="shared" si="9"/>
        <v>2.5624308483400036E-97</v>
      </c>
      <c r="R49" s="49">
        <f t="shared" si="9"/>
        <v>2.8293624865630507E-95</v>
      </c>
      <c r="S49" s="49">
        <f t="shared" si="9"/>
        <v>2.9057304671572909E-93</v>
      </c>
      <c r="T49" s="49">
        <f t="shared" si="9"/>
        <v>2.7848155041728616E-91</v>
      </c>
      <c r="U49" s="49">
        <f t="shared" si="9"/>
        <v>2.4979952856769109E-89</v>
      </c>
      <c r="V49" s="49">
        <f t="shared" si="9"/>
        <v>2.1027192279911407E-87</v>
      </c>
      <c r="W49" s="47">
        <v>0.95399999999999996</v>
      </c>
    </row>
    <row r="50" spans="2:23" x14ac:dyDescent="0.25">
      <c r="B50" s="49">
        <f t="shared" si="8"/>
        <v>1.4908659717368411E-133</v>
      </c>
      <c r="C50" s="49">
        <f t="shared" si="8"/>
        <v>3.029775133174984E-130</v>
      </c>
      <c r="D50" s="49">
        <f t="shared" si="8"/>
        <v>3.0477807885009676E-127</v>
      </c>
      <c r="E50" s="49">
        <f t="shared" si="8"/>
        <v>2.0232668016800516E-124</v>
      </c>
      <c r="F50" s="49">
        <f t="shared" si="8"/>
        <v>9.9707109612353743E-122</v>
      </c>
      <c r="G50" s="49">
        <f t="shared" si="8"/>
        <v>3.890320266859893E-119</v>
      </c>
      <c r="H50" s="49">
        <f t="shared" si="8"/>
        <v>1.2517357046719842E-116</v>
      </c>
      <c r="I50" s="49">
        <f t="shared" si="8"/>
        <v>3.4158160711407078E-114</v>
      </c>
      <c r="J50" s="49">
        <f t="shared" si="8"/>
        <v>8.0693160985321637E-112</v>
      </c>
      <c r="K50" s="49">
        <f t="shared" si="8"/>
        <v>1.6762113635538138E-109</v>
      </c>
      <c r="L50" s="49">
        <f t="shared" si="9"/>
        <v>3.0996634300874387E-107</v>
      </c>
      <c r="M50" s="49">
        <f t="shared" si="9"/>
        <v>5.1535507692644159E-105</v>
      </c>
      <c r="N50" s="49">
        <f t="shared" si="9"/>
        <v>7.7670401055544081E-103</v>
      </c>
      <c r="O50" s="49">
        <f t="shared" si="9"/>
        <v>1.0683986821246088E-100</v>
      </c>
      <c r="P50" s="49">
        <f t="shared" si="9"/>
        <v>1.3491539500293386E-98</v>
      </c>
      <c r="Q50" s="49">
        <f t="shared" si="9"/>
        <v>1.5718256005934437E-96</v>
      </c>
      <c r="R50" s="49">
        <f t="shared" si="9"/>
        <v>1.6968283520122048E-94</v>
      </c>
      <c r="S50" s="49">
        <f t="shared" si="9"/>
        <v>1.7037352202054928E-92</v>
      </c>
      <c r="T50" s="49">
        <f t="shared" si="9"/>
        <v>1.5963973504036964E-90</v>
      </c>
      <c r="U50" s="49">
        <f t="shared" si="9"/>
        <v>1.4000202896205967E-88</v>
      </c>
      <c r="V50" s="49">
        <f t="shared" si="9"/>
        <v>1.1521857585541946E-86</v>
      </c>
      <c r="W50" s="47">
        <v>0.95299999999999996</v>
      </c>
    </row>
    <row r="51" spans="2:23" x14ac:dyDescent="0.25">
      <c r="B51" s="49">
        <f t="shared" si="8"/>
        <v>1.2262289374196034E-132</v>
      </c>
      <c r="C51" s="49">
        <f t="shared" si="8"/>
        <v>2.4374341872479123E-129</v>
      </c>
      <c r="D51" s="49">
        <f t="shared" si="8"/>
        <v>2.3982587273704123E-126</v>
      </c>
      <c r="E51" s="49">
        <f t="shared" si="8"/>
        <v>1.5572399334318112E-123</v>
      </c>
      <c r="F51" s="49">
        <f t="shared" si="8"/>
        <v>7.5061777081723432E-121</v>
      </c>
      <c r="G51" s="49">
        <f t="shared" si="8"/>
        <v>2.8646309636224458E-118</v>
      </c>
      <c r="H51" s="49">
        <f t="shared" si="8"/>
        <v>9.0154384597716228E-116</v>
      </c>
      <c r="I51" s="49">
        <f t="shared" si="8"/>
        <v>2.4063558828947023E-113</v>
      </c>
      <c r="J51" s="49">
        <f t="shared" si="8"/>
        <v>5.5602402568003113E-111</v>
      </c>
      <c r="K51" s="49">
        <f t="shared" si="8"/>
        <v>1.1297369879969903E-108</v>
      </c>
      <c r="L51" s="49">
        <f t="shared" si="9"/>
        <v>2.0434082255836916E-106</v>
      </c>
      <c r="M51" s="49">
        <f t="shared" si="9"/>
        <v>3.3230699549229269E-104</v>
      </c>
      <c r="N51" s="49">
        <f t="shared" si="9"/>
        <v>4.8987029108949145E-102</v>
      </c>
      <c r="O51" s="49">
        <f t="shared" si="9"/>
        <v>6.5910079238438406E-100</v>
      </c>
      <c r="P51" s="49">
        <f t="shared" si="9"/>
        <v>8.1409155099289468E-98</v>
      </c>
      <c r="Q51" s="49">
        <f t="shared" si="9"/>
        <v>9.277044974616398E-96</v>
      </c>
      <c r="R51" s="49">
        <f t="shared" si="9"/>
        <v>9.7957367567593835E-94</v>
      </c>
      <c r="S51" s="49">
        <f t="shared" si="9"/>
        <v>9.6204528219075064E-92</v>
      </c>
      <c r="T51" s="49">
        <f t="shared" si="9"/>
        <v>8.8171649690380703E-90</v>
      </c>
      <c r="U51" s="49">
        <f t="shared" si="9"/>
        <v>7.5634022131830292E-88</v>
      </c>
      <c r="V51" s="49">
        <f t="shared" si="9"/>
        <v>6.0883641218763823E-86</v>
      </c>
      <c r="W51" s="47">
        <v>0.95199999999999996</v>
      </c>
    </row>
    <row r="52" spans="2:23" x14ac:dyDescent="0.25">
      <c r="B52" s="49">
        <f t="shared" si="8"/>
        <v>9.6564694865426404E-132</v>
      </c>
      <c r="C52" s="49">
        <f t="shared" si="8"/>
        <v>1.8782697777205411E-128</v>
      </c>
      <c r="D52" s="49">
        <f t="shared" si="8"/>
        <v>1.8084213354017979E-125</v>
      </c>
      <c r="E52" s="49">
        <f t="shared" si="8"/>
        <v>1.1490472715565975E-122</v>
      </c>
      <c r="F52" s="49">
        <f t="shared" si="8"/>
        <v>5.4197623457190778E-120</v>
      </c>
      <c r="G52" s="49">
        <f t="shared" si="8"/>
        <v>2.0239947727360653E-117</v>
      </c>
      <c r="H52" s="49">
        <f t="shared" si="8"/>
        <v>6.2331435791946802E-115</v>
      </c>
      <c r="I52" s="49">
        <f t="shared" si="8"/>
        <v>1.628020919191311E-112</v>
      </c>
      <c r="J52" s="49">
        <f t="shared" si="8"/>
        <v>3.6810677105188569E-110</v>
      </c>
      <c r="K52" s="49">
        <f t="shared" si="8"/>
        <v>7.318768362859876E-108</v>
      </c>
      <c r="L52" s="49">
        <f t="shared" si="9"/>
        <v>1.2953778999862912E-105</v>
      </c>
      <c r="M52" s="49">
        <f t="shared" si="9"/>
        <v>2.0613978221259219E-103</v>
      </c>
      <c r="N52" s="49">
        <f t="shared" si="9"/>
        <v>2.9736147987896021E-101</v>
      </c>
      <c r="O52" s="49">
        <f t="shared" si="9"/>
        <v>3.9150473664078177E-99</v>
      </c>
      <c r="P52" s="49">
        <f t="shared" si="9"/>
        <v>4.7319518844625367E-97</v>
      </c>
      <c r="Q52" s="49">
        <f t="shared" si="9"/>
        <v>5.2766578172623358E-95</v>
      </c>
      <c r="R52" s="49">
        <f t="shared" si="9"/>
        <v>5.4521637422416693E-93</v>
      </c>
      <c r="S52" s="49">
        <f t="shared" si="9"/>
        <v>5.2397448253721871E-91</v>
      </c>
      <c r="T52" s="49">
        <f t="shared" si="9"/>
        <v>4.6992306162334195E-89</v>
      </c>
      <c r="U52" s="49">
        <f t="shared" si="9"/>
        <v>3.9445593466945769E-87</v>
      </c>
      <c r="V52" s="49">
        <f t="shared" si="9"/>
        <v>3.1071753761937043E-85</v>
      </c>
      <c r="W52" s="47">
        <v>0.95099999999999996</v>
      </c>
    </row>
    <row r="53" spans="2:23" x14ac:dyDescent="0.25">
      <c r="B53" s="49">
        <f t="shared" ref="B53:K62" si="10">_xlfn.HYPGEOM.DIST(B$2,comau,tongtheN*$W53,tongtheN,TRUE)</f>
        <v>7.2936149338849445E-131</v>
      </c>
      <c r="C53" s="49">
        <f t="shared" si="10"/>
        <v>1.3888065262533651E-127</v>
      </c>
      <c r="D53" s="49">
        <f t="shared" si="10"/>
        <v>1.3090100161283326E-124</v>
      </c>
      <c r="E53" s="49">
        <f t="shared" si="10"/>
        <v>8.1421868756699726E-122</v>
      </c>
      <c r="F53" s="49">
        <f t="shared" si="10"/>
        <v>3.7596160278069868E-119</v>
      </c>
      <c r="G53" s="49">
        <f t="shared" si="10"/>
        <v>1.3744627512771578E-116</v>
      </c>
      <c r="H53" s="49">
        <f t="shared" si="10"/>
        <v>4.1437287822308026E-114</v>
      </c>
      <c r="I53" s="49">
        <f t="shared" si="10"/>
        <v>1.0595099576477074E-111</v>
      </c>
      <c r="J53" s="49">
        <f t="shared" si="10"/>
        <v>2.3452006727240997E-109</v>
      </c>
      <c r="K53" s="49">
        <f t="shared" si="10"/>
        <v>4.5646304652044148E-107</v>
      </c>
      <c r="L53" s="49">
        <f t="shared" ref="L53:V62" si="11">_xlfn.HYPGEOM.DIST(L$2,comau,tongtheN*$W53,tongtheN,TRUE)</f>
        <v>7.9090770183439224E-105</v>
      </c>
      <c r="M53" s="49">
        <f t="shared" si="11"/>
        <v>1.2321203148046121E-102</v>
      </c>
      <c r="N53" s="49">
        <f t="shared" si="11"/>
        <v>1.7399560910251082E-100</v>
      </c>
      <c r="O53" s="49">
        <f t="shared" si="11"/>
        <v>2.2426069779390991E-98</v>
      </c>
      <c r="P53" s="49">
        <f t="shared" si="11"/>
        <v>2.6535015030354004E-96</v>
      </c>
      <c r="Q53" s="49">
        <f t="shared" si="11"/>
        <v>2.896684033490871E-94</v>
      </c>
      <c r="R53" s="49">
        <f t="shared" si="11"/>
        <v>2.9300468987586002E-92</v>
      </c>
      <c r="S53" s="49">
        <f t="shared" si="11"/>
        <v>2.7566372784665867E-90</v>
      </c>
      <c r="T53" s="49">
        <f t="shared" si="11"/>
        <v>2.4202508252464068E-88</v>
      </c>
      <c r="U53" s="49">
        <f t="shared" si="11"/>
        <v>1.9888250206957386E-86</v>
      </c>
      <c r="V53" s="49">
        <f t="shared" si="11"/>
        <v>1.5336584374980738E-84</v>
      </c>
      <c r="W53" s="47">
        <v>0.95</v>
      </c>
    </row>
    <row r="54" spans="2:23" x14ac:dyDescent="0.25">
      <c r="B54" s="49">
        <f t="shared" si="10"/>
        <v>5.2925298049256935E-130</v>
      </c>
      <c r="C54" s="49">
        <f t="shared" si="10"/>
        <v>9.8695057862982484E-127</v>
      </c>
      <c r="D54" s="49">
        <f t="shared" si="10"/>
        <v>9.1102448047603615E-124</v>
      </c>
      <c r="E54" s="49">
        <f t="shared" si="10"/>
        <v>5.5496016587155088E-121</v>
      </c>
      <c r="F54" s="49">
        <f t="shared" si="10"/>
        <v>2.5095633121633306E-118</v>
      </c>
      <c r="G54" s="49">
        <f t="shared" si="10"/>
        <v>8.9850771913217705E-116</v>
      </c>
      <c r="H54" s="49">
        <f t="shared" si="10"/>
        <v>2.6528615892202247E-113</v>
      </c>
      <c r="I54" s="49">
        <f t="shared" si="10"/>
        <v>6.6429809421889895E-111</v>
      </c>
      <c r="J54" s="49">
        <f t="shared" si="10"/>
        <v>1.4400346241064887E-108</v>
      </c>
      <c r="K54" s="49">
        <f t="shared" si="10"/>
        <v>2.7449458400201246E-106</v>
      </c>
      <c r="L54" s="49">
        <f t="shared" si="11"/>
        <v>4.6578925551107789E-104</v>
      </c>
      <c r="M54" s="49">
        <f t="shared" si="11"/>
        <v>7.1064477256818289E-102</v>
      </c>
      <c r="N54" s="49">
        <f t="shared" si="11"/>
        <v>9.8281959580062927E-100</v>
      </c>
      <c r="O54" s="49">
        <f t="shared" si="11"/>
        <v>1.2405807785428129E-97</v>
      </c>
      <c r="P54" s="49">
        <f t="shared" si="11"/>
        <v>1.4375662642388182E-95</v>
      </c>
      <c r="Q54" s="49">
        <f t="shared" si="11"/>
        <v>1.5369035603040567E-93</v>
      </c>
      <c r="R54" s="49">
        <f t="shared" si="11"/>
        <v>1.5225000877700529E-91</v>
      </c>
      <c r="S54" s="49">
        <f t="shared" si="11"/>
        <v>1.4028135620782295E-89</v>
      </c>
      <c r="T54" s="49">
        <f t="shared" si="11"/>
        <v>1.2061979996783557E-87</v>
      </c>
      <c r="U54" s="49">
        <f t="shared" si="11"/>
        <v>9.7071786988510977E-86</v>
      </c>
      <c r="V54" s="49">
        <f t="shared" si="11"/>
        <v>7.3310073357757361E-84</v>
      </c>
      <c r="W54" s="47">
        <v>0.94899999999999995</v>
      </c>
    </row>
    <row r="55" spans="2:23" x14ac:dyDescent="0.25">
      <c r="B55" s="49">
        <f t="shared" si="10"/>
        <v>3.6953561983035841E-129</v>
      </c>
      <c r="C55" s="49">
        <f t="shared" si="10"/>
        <v>6.7513193288313262E-126</v>
      </c>
      <c r="D55" s="49">
        <f t="shared" si="10"/>
        <v>6.1055357731240746E-123</v>
      </c>
      <c r="E55" s="49">
        <f t="shared" si="10"/>
        <v>3.6438146333164602E-120</v>
      </c>
      <c r="F55" s="49">
        <f t="shared" si="10"/>
        <v>1.6143347604597666E-117</v>
      </c>
      <c r="G55" s="49">
        <f t="shared" si="10"/>
        <v>5.6626338511597641E-115</v>
      </c>
      <c r="H55" s="49">
        <f t="shared" si="10"/>
        <v>1.637995634464339E-112</v>
      </c>
      <c r="I55" s="49">
        <f t="shared" si="10"/>
        <v>4.0184900009613969E-110</v>
      </c>
      <c r="J55" s="49">
        <f t="shared" si="10"/>
        <v>8.534435850824159E-108</v>
      </c>
      <c r="K55" s="49">
        <f t="shared" si="10"/>
        <v>1.5938150665120071E-105</v>
      </c>
      <c r="L55" s="49">
        <f t="shared" si="11"/>
        <v>2.6496966001951852E-103</v>
      </c>
      <c r="M55" s="49">
        <f t="shared" si="11"/>
        <v>3.9606097917554763E-101</v>
      </c>
      <c r="N55" s="49">
        <f t="shared" si="11"/>
        <v>5.3664413423986262E-99</v>
      </c>
      <c r="O55" s="49">
        <f t="shared" si="11"/>
        <v>6.6365290704428477E-97</v>
      </c>
      <c r="P55" s="49">
        <f t="shared" si="11"/>
        <v>7.5343794645754346E-95</v>
      </c>
      <c r="Q55" s="49">
        <f t="shared" si="11"/>
        <v>7.891693202137303E-93</v>
      </c>
      <c r="R55" s="49">
        <f t="shared" si="11"/>
        <v>7.659230941077242E-91</v>
      </c>
      <c r="S55" s="49">
        <f t="shared" si="11"/>
        <v>6.9140475809012065E-89</v>
      </c>
      <c r="T55" s="49">
        <f t="shared" si="11"/>
        <v>5.8244630778835921E-87</v>
      </c>
      <c r="U55" s="49">
        <f t="shared" si="11"/>
        <v>4.5923557491900604E-85</v>
      </c>
      <c r="V55" s="49">
        <f t="shared" si="11"/>
        <v>3.3979085661219617E-83</v>
      </c>
      <c r="W55" s="47">
        <v>0.94799999999999995</v>
      </c>
    </row>
    <row r="56" spans="2:23" x14ac:dyDescent="0.25">
      <c r="B56" s="49">
        <f t="shared" si="10"/>
        <v>2.4863348200202771E-128</v>
      </c>
      <c r="C56" s="49">
        <f t="shared" si="10"/>
        <v>4.451976719965212E-125</v>
      </c>
      <c r="D56" s="49">
        <f t="shared" si="10"/>
        <v>3.9459281978993929E-122</v>
      </c>
      <c r="E56" s="49">
        <f t="shared" si="10"/>
        <v>2.3080386382009912E-119</v>
      </c>
      <c r="F56" s="49">
        <f t="shared" si="10"/>
        <v>1.0021714811254609E-116</v>
      </c>
      <c r="G56" s="49">
        <f t="shared" si="10"/>
        <v>3.4453140033720096E-114</v>
      </c>
      <c r="H56" s="49">
        <f t="shared" si="10"/>
        <v>9.7675401219617515E-112</v>
      </c>
      <c r="I56" s="49">
        <f t="shared" si="10"/>
        <v>2.3485388226749748E-109</v>
      </c>
      <c r="J56" s="49">
        <f t="shared" si="10"/>
        <v>4.8884627967965083E-107</v>
      </c>
      <c r="K56" s="49">
        <f t="shared" si="10"/>
        <v>8.9474304066012063E-105</v>
      </c>
      <c r="L56" s="49">
        <f t="shared" si="11"/>
        <v>1.4578730918291448E-102</v>
      </c>
      <c r="M56" s="49">
        <f t="shared" si="11"/>
        <v>2.1357433812014713E-100</v>
      </c>
      <c r="N56" s="49">
        <f t="shared" si="11"/>
        <v>2.8362017105312195E-98</v>
      </c>
      <c r="O56" s="49">
        <f t="shared" si="11"/>
        <v>3.4376030410270139E-96</v>
      </c>
      <c r="P56" s="49">
        <f t="shared" si="11"/>
        <v>3.824956449263504E-94</v>
      </c>
      <c r="Q56" s="49">
        <f t="shared" si="11"/>
        <v>3.926573862772512E-92</v>
      </c>
      <c r="R56" s="49">
        <f t="shared" si="11"/>
        <v>3.735025858662172E-90</v>
      </c>
      <c r="S56" s="49">
        <f t="shared" si="11"/>
        <v>3.304501749596426E-88</v>
      </c>
      <c r="T56" s="49">
        <f t="shared" si="11"/>
        <v>2.7283180919969256E-86</v>
      </c>
      <c r="U56" s="49">
        <f t="shared" si="11"/>
        <v>2.1083389459973129E-84</v>
      </c>
      <c r="V56" s="49">
        <f t="shared" si="11"/>
        <v>1.5289128190988511E-82</v>
      </c>
      <c r="W56" s="47">
        <v>0.94699999999999995</v>
      </c>
    </row>
    <row r="57" spans="2:23" x14ac:dyDescent="0.25">
      <c r="B57" s="49">
        <f t="shared" si="10"/>
        <v>1.6142664860844002E-127</v>
      </c>
      <c r="C57" s="49">
        <f t="shared" si="10"/>
        <v>2.833897098286134E-124</v>
      </c>
      <c r="D57" s="49">
        <f t="shared" si="10"/>
        <v>2.4626130322045145E-121</v>
      </c>
      <c r="E57" s="49">
        <f t="shared" si="10"/>
        <v>1.4122321896732765E-118</v>
      </c>
      <c r="F57" s="49">
        <f t="shared" si="10"/>
        <v>6.0120328385235529E-116</v>
      </c>
      <c r="G57" s="49">
        <f t="shared" si="10"/>
        <v>2.0263974329651417E-113</v>
      </c>
      <c r="H57" s="49">
        <f t="shared" si="10"/>
        <v>5.6324556157071049E-111</v>
      </c>
      <c r="I57" s="49">
        <f t="shared" si="10"/>
        <v>1.3277836694285732E-108</v>
      </c>
      <c r="J57" s="49">
        <f t="shared" si="10"/>
        <v>2.7096871420767828E-106</v>
      </c>
      <c r="K57" s="49">
        <f t="shared" si="10"/>
        <v>4.8625343091467615E-104</v>
      </c>
      <c r="L57" s="49">
        <f t="shared" si="11"/>
        <v>7.7678681261793108E-102</v>
      </c>
      <c r="M57" s="49">
        <f t="shared" si="11"/>
        <v>1.1157046237768429E-99</v>
      </c>
      <c r="N57" s="49">
        <f t="shared" si="11"/>
        <v>1.4526319398202774E-97</v>
      </c>
      <c r="O57" s="49">
        <f t="shared" si="11"/>
        <v>1.7262066515115009E-95</v>
      </c>
      <c r="P57" s="49">
        <f t="shared" si="11"/>
        <v>1.8831391975604487E-93</v>
      </c>
      <c r="Q57" s="49">
        <f t="shared" si="11"/>
        <v>1.8953475353934982E-91</v>
      </c>
      <c r="R57" s="49">
        <f t="shared" si="11"/>
        <v>1.7676168966155917E-89</v>
      </c>
      <c r="S57" s="49">
        <f t="shared" si="11"/>
        <v>1.5332757425387741E-87</v>
      </c>
      <c r="T57" s="49">
        <f t="shared" si="11"/>
        <v>1.2411644706558199E-85</v>
      </c>
      <c r="U57" s="49">
        <f t="shared" si="11"/>
        <v>9.4036212750504191E-84</v>
      </c>
      <c r="V57" s="49">
        <f t="shared" si="11"/>
        <v>6.6858727639021835E-82</v>
      </c>
      <c r="W57" s="47">
        <v>0.94599999999999995</v>
      </c>
    </row>
    <row r="58" spans="2:23" x14ac:dyDescent="0.25">
      <c r="B58" s="49">
        <f t="shared" si="10"/>
        <v>1.0126794496022886E-126</v>
      </c>
      <c r="C58" s="49">
        <f t="shared" si="10"/>
        <v>1.7435939693375214E-123</v>
      </c>
      <c r="D58" s="49">
        <f t="shared" si="10"/>
        <v>1.4860115871637829E-120</v>
      </c>
      <c r="E58" s="49">
        <f t="shared" si="10"/>
        <v>8.3578986069449362E-118</v>
      </c>
      <c r="F58" s="49">
        <f t="shared" si="10"/>
        <v>3.4896151823714613E-115</v>
      </c>
      <c r="G58" s="49">
        <f t="shared" si="10"/>
        <v>1.1535761219328126E-112</v>
      </c>
      <c r="H58" s="49">
        <f t="shared" si="10"/>
        <v>3.1447424768733143E-110</v>
      </c>
      <c r="I58" s="49">
        <f t="shared" si="10"/>
        <v>7.2707724462441844E-108</v>
      </c>
      <c r="J58" s="49">
        <f t="shared" si="10"/>
        <v>1.4552531543540863E-105</v>
      </c>
      <c r="K58" s="49">
        <f t="shared" si="10"/>
        <v>2.5612295192529409E-103</v>
      </c>
      <c r="L58" s="49">
        <f t="shared" si="11"/>
        <v>4.0128630817384569E-101</v>
      </c>
      <c r="M58" s="49">
        <f t="shared" si="11"/>
        <v>5.6528657342831074E-99</v>
      </c>
      <c r="N58" s="49">
        <f t="shared" si="11"/>
        <v>7.2184214087224095E-97</v>
      </c>
      <c r="O58" s="49">
        <f t="shared" si="11"/>
        <v>8.4129228624329628E-95</v>
      </c>
      <c r="P58" s="49">
        <f t="shared" si="11"/>
        <v>9.0012805837780828E-93</v>
      </c>
      <c r="Q58" s="49">
        <f t="shared" si="11"/>
        <v>8.8854365334651085E-91</v>
      </c>
      <c r="R58" s="49">
        <f t="shared" si="11"/>
        <v>8.1273017732167327E-89</v>
      </c>
      <c r="S58" s="49">
        <f t="shared" si="11"/>
        <v>6.914282645810899E-87</v>
      </c>
      <c r="T58" s="49">
        <f t="shared" si="11"/>
        <v>5.4894031063800973E-85</v>
      </c>
      <c r="U58" s="49">
        <f t="shared" si="11"/>
        <v>4.0790605528575621E-83</v>
      </c>
      <c r="V58" s="49">
        <f t="shared" si="11"/>
        <v>2.8444131669709256E-81</v>
      </c>
      <c r="W58" s="47">
        <v>0.94499999999999995</v>
      </c>
    </row>
    <row r="59" spans="2:23" x14ac:dyDescent="0.25">
      <c r="B59" s="49">
        <f t="shared" si="10"/>
        <v>6.1459351371267245E-126</v>
      </c>
      <c r="C59" s="49">
        <f t="shared" si="10"/>
        <v>1.0381722041808628E-122</v>
      </c>
      <c r="D59" s="49">
        <f t="shared" si="10"/>
        <v>8.6806954352553107E-120</v>
      </c>
      <c r="E59" s="49">
        <f t="shared" si="10"/>
        <v>4.7900266625931234E-117</v>
      </c>
      <c r="F59" s="49">
        <f t="shared" si="10"/>
        <v>1.96212697249731E-114</v>
      </c>
      <c r="G59" s="49">
        <f t="shared" si="10"/>
        <v>6.3636281973107398E-112</v>
      </c>
      <c r="H59" s="49">
        <f t="shared" si="10"/>
        <v>1.7019736484531822E-109</v>
      </c>
      <c r="I59" s="49">
        <f t="shared" si="10"/>
        <v>3.8606261004122072E-107</v>
      </c>
      <c r="J59" s="49">
        <f t="shared" si="10"/>
        <v>7.5809813447234806E-105</v>
      </c>
      <c r="K59" s="49">
        <f t="shared" si="10"/>
        <v>1.3090170833693503E-102</v>
      </c>
      <c r="L59" s="49">
        <f t="shared" si="11"/>
        <v>2.012154608530381E-100</v>
      </c>
      <c r="M59" s="49">
        <f t="shared" si="11"/>
        <v>2.7809048128043236E-98</v>
      </c>
      <c r="N59" s="49">
        <f t="shared" si="11"/>
        <v>3.4839378268508803E-96</v>
      </c>
      <c r="O59" s="49">
        <f t="shared" si="11"/>
        <v>3.9836947096932181E-94</v>
      </c>
      <c r="P59" s="49">
        <f t="shared" si="11"/>
        <v>4.1817175280671907E-92</v>
      </c>
      <c r="Q59" s="49">
        <f t="shared" si="11"/>
        <v>4.0498663732085126E-90</v>
      </c>
      <c r="R59" s="49">
        <f t="shared" si="11"/>
        <v>3.6342945815024508E-88</v>
      </c>
      <c r="S59" s="49">
        <f t="shared" si="11"/>
        <v>3.0334230162882459E-86</v>
      </c>
      <c r="T59" s="49">
        <f t="shared" si="11"/>
        <v>2.3627805050326058E-84</v>
      </c>
      <c r="U59" s="49">
        <f t="shared" si="11"/>
        <v>1.7225471541360635E-82</v>
      </c>
      <c r="V59" s="49">
        <f t="shared" si="11"/>
        <v>1.1784649552519786E-80</v>
      </c>
      <c r="W59" s="47">
        <v>0.94399999999999995</v>
      </c>
    </row>
    <row r="60" spans="2:23" x14ac:dyDescent="0.25">
      <c r="B60" s="49">
        <f t="shared" si="10"/>
        <v>3.6127060359655694E-125</v>
      </c>
      <c r="C60" s="49">
        <f t="shared" si="10"/>
        <v>5.9890860523974427E-122</v>
      </c>
      <c r="D60" s="49">
        <f t="shared" si="10"/>
        <v>4.9146477613012411E-119</v>
      </c>
      <c r="E60" s="49">
        <f t="shared" si="10"/>
        <v>2.6614772061664381E-116</v>
      </c>
      <c r="F60" s="49">
        <f t="shared" si="10"/>
        <v>1.0699391896247957E-113</v>
      </c>
      <c r="G60" s="49">
        <f t="shared" si="10"/>
        <v>3.4055258398911286E-111</v>
      </c>
      <c r="H60" s="49">
        <f t="shared" si="10"/>
        <v>8.938812777742702E-109</v>
      </c>
      <c r="I60" s="49">
        <f t="shared" si="10"/>
        <v>1.9899062454240479E-106</v>
      </c>
      <c r="J60" s="49">
        <f t="shared" si="10"/>
        <v>3.8348501999668759E-104</v>
      </c>
      <c r="K60" s="49">
        <f t="shared" si="10"/>
        <v>6.4985525951520596E-102</v>
      </c>
      <c r="L60" s="49">
        <f t="shared" si="11"/>
        <v>9.8035026055548271E-100</v>
      </c>
      <c r="M60" s="49">
        <f t="shared" si="11"/>
        <v>1.3297037566438397E-97</v>
      </c>
      <c r="N60" s="49">
        <f t="shared" si="11"/>
        <v>1.6348890243630859E-95</v>
      </c>
      <c r="O60" s="49">
        <f t="shared" si="11"/>
        <v>1.8346503388659825E-93</v>
      </c>
      <c r="P60" s="49">
        <f t="shared" si="11"/>
        <v>1.8900426049697272E-91</v>
      </c>
      <c r="Q60" s="49">
        <f t="shared" si="11"/>
        <v>1.7964184822415651E-89</v>
      </c>
      <c r="R60" s="49">
        <f t="shared" si="11"/>
        <v>1.5821117254547714E-87</v>
      </c>
      <c r="S60" s="49">
        <f t="shared" si="11"/>
        <v>1.295986537901679E-85</v>
      </c>
      <c r="T60" s="49">
        <f t="shared" si="11"/>
        <v>9.906988902084916E-84</v>
      </c>
      <c r="U60" s="49">
        <f t="shared" si="11"/>
        <v>7.0882741142429556E-82</v>
      </c>
      <c r="V60" s="49">
        <f t="shared" si="11"/>
        <v>4.7592383267458759E-80</v>
      </c>
      <c r="W60" s="47">
        <v>0.94299999999999995</v>
      </c>
    </row>
    <row r="61" spans="2:23" x14ac:dyDescent="0.25">
      <c r="B61" s="49">
        <f t="shared" si="10"/>
        <v>2.0591539539603574E-124</v>
      </c>
      <c r="C61" s="49">
        <f t="shared" si="10"/>
        <v>3.3511730221816058E-121</v>
      </c>
      <c r="D61" s="49">
        <f t="shared" si="10"/>
        <v>2.6996596374226662E-118</v>
      </c>
      <c r="E61" s="49">
        <f t="shared" si="10"/>
        <v>1.4352247120957743E-115</v>
      </c>
      <c r="F61" s="49">
        <f t="shared" si="10"/>
        <v>5.664179455167307E-113</v>
      </c>
      <c r="G61" s="49">
        <f t="shared" si="10"/>
        <v>1.7698769392854162E-110</v>
      </c>
      <c r="H61" s="49">
        <f t="shared" si="10"/>
        <v>4.5605785651797469E-108</v>
      </c>
      <c r="I61" s="49">
        <f t="shared" si="10"/>
        <v>9.966763613632382E-106</v>
      </c>
      <c r="J61" s="49">
        <f t="shared" si="10"/>
        <v>1.8856089280765847E-103</v>
      </c>
      <c r="K61" s="49">
        <f t="shared" si="10"/>
        <v>3.1369079894597857E-101</v>
      </c>
      <c r="L61" s="49">
        <f t="shared" si="11"/>
        <v>4.6456723499286906E-99</v>
      </c>
      <c r="M61" s="49">
        <f t="shared" si="11"/>
        <v>6.1859245723714083E-97</v>
      </c>
      <c r="N61" s="49">
        <f t="shared" si="11"/>
        <v>7.4665619838297209E-95</v>
      </c>
      <c r="O61" s="49">
        <f t="shared" si="11"/>
        <v>8.2256198569267151E-93</v>
      </c>
      <c r="P61" s="49">
        <f t="shared" si="11"/>
        <v>8.3189808206019209E-91</v>
      </c>
      <c r="Q61" s="49">
        <f t="shared" si="11"/>
        <v>7.7622837695065826E-89</v>
      </c>
      <c r="R61" s="49">
        <f t="shared" si="11"/>
        <v>6.7112420164881329E-87</v>
      </c>
      <c r="S61" s="49">
        <f t="shared" si="11"/>
        <v>5.3969733891813061E-85</v>
      </c>
      <c r="T61" s="49">
        <f t="shared" si="11"/>
        <v>4.050193663380782E-83</v>
      </c>
      <c r="U61" s="49">
        <f t="shared" si="11"/>
        <v>2.8448491542806634E-81</v>
      </c>
      <c r="V61" s="49">
        <f t="shared" si="11"/>
        <v>1.8751720659868356E-79</v>
      </c>
      <c r="W61" s="47">
        <v>0.94199999999999995</v>
      </c>
    </row>
    <row r="62" spans="2:23" x14ac:dyDescent="0.25">
      <c r="B62" s="49">
        <f t="shared" si="10"/>
        <v>1.1392384526274717E-123</v>
      </c>
      <c r="C62" s="49">
        <f t="shared" si="10"/>
        <v>1.8206722870757199E-120</v>
      </c>
      <c r="D62" s="49">
        <f t="shared" si="10"/>
        <v>1.4403010193652904E-117</v>
      </c>
      <c r="E62" s="49">
        <f t="shared" si="10"/>
        <v>7.5192356591652807E-115</v>
      </c>
      <c r="F62" s="49">
        <f t="shared" si="10"/>
        <v>2.9140738426614706E-112</v>
      </c>
      <c r="G62" s="49">
        <f t="shared" si="10"/>
        <v>8.9416279531017943E-110</v>
      </c>
      <c r="H62" s="49">
        <f t="shared" si="10"/>
        <v>2.2625785659679585E-107</v>
      </c>
      <c r="I62" s="49">
        <f t="shared" si="10"/>
        <v>4.8556605227128555E-105</v>
      </c>
      <c r="J62" s="49">
        <f t="shared" si="10"/>
        <v>9.0210366716064254E-103</v>
      </c>
      <c r="K62" s="49">
        <f t="shared" si="10"/>
        <v>1.4737285773156632E-100</v>
      </c>
      <c r="L62" s="49">
        <f t="shared" si="11"/>
        <v>2.1432628988405834E-98</v>
      </c>
      <c r="M62" s="49">
        <f t="shared" si="11"/>
        <v>2.8024823220637028E-96</v>
      </c>
      <c r="N62" s="49">
        <f t="shared" si="11"/>
        <v>3.3217778194918292E-94</v>
      </c>
      <c r="O62" s="49">
        <f t="shared" si="11"/>
        <v>3.5936058641100963E-92</v>
      </c>
      <c r="P62" s="49">
        <f t="shared" si="11"/>
        <v>3.568979857975632E-90</v>
      </c>
      <c r="Q62" s="49">
        <f t="shared" si="11"/>
        <v>3.2702121226619175E-88</v>
      </c>
      <c r="R62" s="49">
        <f t="shared" si="11"/>
        <v>2.7765277555782132E-86</v>
      </c>
      <c r="S62" s="49">
        <f t="shared" si="11"/>
        <v>2.1926150343608926E-84</v>
      </c>
      <c r="T62" s="49">
        <f t="shared" si="11"/>
        <v>1.6158505171077985E-82</v>
      </c>
      <c r="U62" s="49">
        <f t="shared" si="11"/>
        <v>1.1145465491311294E-80</v>
      </c>
      <c r="V62" s="49">
        <f t="shared" si="11"/>
        <v>7.2142962626067493E-79</v>
      </c>
      <c r="W62" s="47">
        <v>0.94099999999999995</v>
      </c>
    </row>
    <row r="63" spans="2:23" x14ac:dyDescent="0.25">
      <c r="B63" s="49">
        <f t="shared" ref="B63:K72" si="12">_xlfn.HYPGEOM.DIST(B$2,comau,tongtheN*$W63,tongtheN,TRUE)</f>
        <v>6.124139059388208E-123</v>
      </c>
      <c r="C63" s="49">
        <f t="shared" si="12"/>
        <v>9.6138192462069781E-120</v>
      </c>
      <c r="D63" s="49">
        <f t="shared" si="12"/>
        <v>7.4705299053326343E-117</v>
      </c>
      <c r="E63" s="49">
        <f t="shared" si="12"/>
        <v>3.8309458855037368E-114</v>
      </c>
      <c r="F63" s="49">
        <f t="shared" si="12"/>
        <v>1.4583684781396475E-111</v>
      </c>
      <c r="G63" s="49">
        <f t="shared" si="12"/>
        <v>4.3955975711684316E-109</v>
      </c>
      <c r="H63" s="49">
        <f t="shared" si="12"/>
        <v>1.092546255104744E-106</v>
      </c>
      <c r="I63" s="49">
        <f t="shared" si="12"/>
        <v>2.3031357739378525E-104</v>
      </c>
      <c r="J63" s="49">
        <f t="shared" si="12"/>
        <v>4.2030345958493972E-102</v>
      </c>
      <c r="K63" s="49">
        <f t="shared" si="12"/>
        <v>6.7446520168005573E-100</v>
      </c>
      <c r="L63" s="49">
        <f t="shared" ref="L63:V72" si="13">_xlfn.HYPGEOM.DIST(L$2,comau,tongtheN*$W63,tongtheN,TRUE)</f>
        <v>9.6350340576655338E-98</v>
      </c>
      <c r="M63" s="49">
        <f t="shared" si="13"/>
        <v>1.237532745974224E-95</v>
      </c>
      <c r="N63" s="49">
        <f t="shared" si="13"/>
        <v>1.4408562599752873E-93</v>
      </c>
      <c r="O63" s="49">
        <f t="shared" si="13"/>
        <v>1.5311475154300775E-91</v>
      </c>
      <c r="P63" s="49">
        <f t="shared" si="13"/>
        <v>1.4937140357843306E-89</v>
      </c>
      <c r="Q63" s="49">
        <f t="shared" si="13"/>
        <v>1.3444242256197386E-87</v>
      </c>
      <c r="R63" s="49">
        <f t="shared" si="13"/>
        <v>1.121242981748065E-85</v>
      </c>
      <c r="S63" s="49">
        <f t="shared" si="13"/>
        <v>8.6975652994294396E-84</v>
      </c>
      <c r="T63" s="49">
        <f t="shared" si="13"/>
        <v>6.296139903669911E-82</v>
      </c>
      <c r="U63" s="49">
        <f t="shared" si="13"/>
        <v>4.2658891942984029E-80</v>
      </c>
      <c r="V63" s="49">
        <f t="shared" si="13"/>
        <v>2.7123379693316302E-78</v>
      </c>
      <c r="W63" s="47">
        <v>0.94</v>
      </c>
    </row>
    <row r="64" spans="2:23" x14ac:dyDescent="0.25">
      <c r="B64" s="49">
        <f t="shared" si="12"/>
        <v>3.2017942859417222E-122</v>
      </c>
      <c r="C64" s="49">
        <f t="shared" si="12"/>
        <v>4.938540300460989E-119</v>
      </c>
      <c r="D64" s="49">
        <f t="shared" si="12"/>
        <v>3.7705832206683876E-116</v>
      </c>
      <c r="E64" s="49">
        <f t="shared" si="12"/>
        <v>1.8998434651627348E-113</v>
      </c>
      <c r="F64" s="49">
        <f t="shared" si="12"/>
        <v>7.1061433176235651E-111</v>
      </c>
      <c r="G64" s="49">
        <f t="shared" si="12"/>
        <v>2.1044553931174838E-108</v>
      </c>
      <c r="H64" s="49">
        <f t="shared" si="12"/>
        <v>5.1394537030474796E-106</v>
      </c>
      <c r="I64" s="49">
        <f t="shared" si="12"/>
        <v>1.0645160534899226E-103</v>
      </c>
      <c r="J64" s="49">
        <f t="shared" si="12"/>
        <v>1.9087603931588584E-101</v>
      </c>
      <c r="K64" s="49">
        <f t="shared" si="12"/>
        <v>3.0095669254665129E-99</v>
      </c>
      <c r="L64" s="49">
        <f t="shared" si="13"/>
        <v>4.224292247731907E-97</v>
      </c>
      <c r="M64" s="49">
        <f t="shared" si="13"/>
        <v>5.3310638888482533E-95</v>
      </c>
      <c r="N64" s="49">
        <f t="shared" si="13"/>
        <v>6.0986621842454686E-93</v>
      </c>
      <c r="O64" s="49">
        <f t="shared" si="13"/>
        <v>6.3677783508091868E-91</v>
      </c>
      <c r="P64" s="49">
        <f t="shared" si="13"/>
        <v>6.103734124837333E-89</v>
      </c>
      <c r="Q64" s="49">
        <f t="shared" si="13"/>
        <v>5.3978645268908688E-87</v>
      </c>
      <c r="R64" s="49">
        <f t="shared" si="13"/>
        <v>4.4232670853147968E-85</v>
      </c>
      <c r="S64" s="49">
        <f t="shared" si="13"/>
        <v>3.3713137767420264E-83</v>
      </c>
      <c r="T64" s="49">
        <f t="shared" si="13"/>
        <v>2.3979171920068157E-81</v>
      </c>
      <c r="U64" s="49">
        <f t="shared" si="13"/>
        <v>1.596349597324689E-79</v>
      </c>
      <c r="V64" s="49">
        <f t="shared" si="13"/>
        <v>9.9728930795997776E-78</v>
      </c>
      <c r="W64" s="47">
        <v>0.93899999999999995</v>
      </c>
    </row>
    <row r="65" spans="2:23" x14ac:dyDescent="0.25">
      <c r="B65" s="49">
        <f t="shared" si="12"/>
        <v>1.6294948117852389E-121</v>
      </c>
      <c r="C65" s="49">
        <f t="shared" si="12"/>
        <v>2.4701822197354075E-118</v>
      </c>
      <c r="D65" s="49">
        <f t="shared" si="12"/>
        <v>1.8535741052871916E-115</v>
      </c>
      <c r="E65" s="49">
        <f t="shared" si="12"/>
        <v>9.1788966781387574E-113</v>
      </c>
      <c r="F65" s="49">
        <f t="shared" si="12"/>
        <v>3.3742563306016926E-110</v>
      </c>
      <c r="G65" s="49">
        <f t="shared" si="12"/>
        <v>9.820995080208651E-108</v>
      </c>
      <c r="H65" s="49">
        <f t="shared" si="12"/>
        <v>2.357244346250584E-105</v>
      </c>
      <c r="I65" s="49">
        <f t="shared" si="12"/>
        <v>4.7985713402499312E-103</v>
      </c>
      <c r="J65" s="49">
        <f t="shared" si="12"/>
        <v>8.456360248959583E-101</v>
      </c>
      <c r="K65" s="49">
        <f t="shared" si="12"/>
        <v>1.3104142779244034E-98</v>
      </c>
      <c r="L65" s="49">
        <f t="shared" si="13"/>
        <v>1.8077207814657701E-96</v>
      </c>
      <c r="M65" s="49">
        <f t="shared" si="13"/>
        <v>2.2421481432386157E-94</v>
      </c>
      <c r="N65" s="49">
        <f t="shared" si="13"/>
        <v>2.5209153365279356E-92</v>
      </c>
      <c r="O65" s="49">
        <f t="shared" si="13"/>
        <v>2.5869327333631421E-90</v>
      </c>
      <c r="P65" s="49">
        <f t="shared" si="13"/>
        <v>2.4370619891065786E-88</v>
      </c>
      <c r="Q65" s="49">
        <f t="shared" si="13"/>
        <v>2.1182000799993616E-86</v>
      </c>
      <c r="R65" s="49">
        <f t="shared" si="13"/>
        <v>1.7059349291125056E-84</v>
      </c>
      <c r="S65" s="49">
        <f t="shared" si="13"/>
        <v>1.2778887451872905E-82</v>
      </c>
      <c r="T65" s="49">
        <f t="shared" si="13"/>
        <v>8.9331145706592759E-81</v>
      </c>
      <c r="U65" s="49">
        <f t="shared" si="13"/>
        <v>5.8448298163198631E-79</v>
      </c>
      <c r="V65" s="49">
        <f t="shared" si="13"/>
        <v>3.5887273339718561E-77</v>
      </c>
      <c r="W65" s="47">
        <v>0.93799999999999994</v>
      </c>
    </row>
    <row r="66" spans="2:23" x14ac:dyDescent="0.25">
      <c r="B66" s="49">
        <f t="shared" si="12"/>
        <v>8.07975194847589E-121</v>
      </c>
      <c r="C66" s="49">
        <f t="shared" si="12"/>
        <v>1.2040864868524869E-117</v>
      </c>
      <c r="D66" s="49">
        <f t="shared" si="12"/>
        <v>8.8822396919000383E-115</v>
      </c>
      <c r="E66" s="49">
        <f t="shared" si="12"/>
        <v>4.3240137109810836E-112</v>
      </c>
      <c r="F66" s="49">
        <f t="shared" si="12"/>
        <v>1.5626398825706648E-109</v>
      </c>
      <c r="G66" s="49">
        <f t="shared" si="12"/>
        <v>4.4711659379159493E-107</v>
      </c>
      <c r="H66" s="49">
        <f t="shared" si="12"/>
        <v>1.0550051325659481E-104</v>
      </c>
      <c r="I66" s="49">
        <f t="shared" si="12"/>
        <v>2.1112847864976067E-102</v>
      </c>
      <c r="J66" s="49">
        <f t="shared" si="12"/>
        <v>3.6576610131394216E-100</v>
      </c>
      <c r="K66" s="49">
        <f t="shared" si="12"/>
        <v>5.5720362705356608E-98</v>
      </c>
      <c r="L66" s="49">
        <f t="shared" si="13"/>
        <v>7.5565270518187015E-96</v>
      </c>
      <c r="M66" s="49">
        <f t="shared" si="13"/>
        <v>9.213847146192889E-94</v>
      </c>
      <c r="N66" s="49">
        <f t="shared" si="13"/>
        <v>1.0184061412759101E-91</v>
      </c>
      <c r="O66" s="49">
        <f t="shared" si="13"/>
        <v>1.0273872740908002E-89</v>
      </c>
      <c r="P66" s="49">
        <f t="shared" si="13"/>
        <v>9.5148549268962069E-88</v>
      </c>
      <c r="Q66" s="49">
        <f t="shared" si="13"/>
        <v>8.129978229170223E-86</v>
      </c>
      <c r="R66" s="49">
        <f t="shared" si="13"/>
        <v>6.436828473388464E-84</v>
      </c>
      <c r="S66" s="49">
        <f t="shared" si="13"/>
        <v>4.7401257560324771E-82</v>
      </c>
      <c r="T66" s="49">
        <f t="shared" si="13"/>
        <v>3.2575219033122354E-80</v>
      </c>
      <c r="U66" s="49">
        <f t="shared" si="13"/>
        <v>2.0952903774825008E-78</v>
      </c>
      <c r="V66" s="49">
        <f t="shared" si="13"/>
        <v>1.2647392937269443E-76</v>
      </c>
      <c r="W66" s="47">
        <v>0.93700000000000006</v>
      </c>
    </row>
    <row r="67" spans="2:23" x14ac:dyDescent="0.25">
      <c r="B67" s="49">
        <f t="shared" si="12"/>
        <v>3.9064761742534692E-120</v>
      </c>
      <c r="C67" s="49">
        <f t="shared" si="12"/>
        <v>5.724502086298257E-117</v>
      </c>
      <c r="D67" s="49">
        <f t="shared" si="12"/>
        <v>4.1523657865438545E-114</v>
      </c>
      <c r="E67" s="49">
        <f t="shared" si="12"/>
        <v>1.9877119890397509E-111</v>
      </c>
      <c r="F67" s="49">
        <f t="shared" si="12"/>
        <v>7.0634810115199461E-109</v>
      </c>
      <c r="G67" s="49">
        <f t="shared" si="12"/>
        <v>1.9873499833247208E-106</v>
      </c>
      <c r="H67" s="49">
        <f t="shared" si="12"/>
        <v>4.6110734560889986E-104</v>
      </c>
      <c r="I67" s="49">
        <f t="shared" si="12"/>
        <v>9.0737832864169481E-102</v>
      </c>
      <c r="J67" s="49">
        <f t="shared" si="12"/>
        <v>1.5457504195857453E-99</v>
      </c>
      <c r="K67" s="49">
        <f t="shared" si="12"/>
        <v>2.3154980211279666E-97</v>
      </c>
      <c r="L67" s="49">
        <f t="shared" si="13"/>
        <v>3.0877882425115576E-95</v>
      </c>
      <c r="M67" s="49">
        <f t="shared" si="13"/>
        <v>3.7022120759267571E-93</v>
      </c>
      <c r="N67" s="49">
        <f t="shared" si="13"/>
        <v>4.0238016136501149E-91</v>
      </c>
      <c r="O67" s="49">
        <f t="shared" si="13"/>
        <v>3.9915836799983517E-89</v>
      </c>
      <c r="P67" s="49">
        <f t="shared" si="13"/>
        <v>3.6350382315534874E-87</v>
      </c>
      <c r="Q67" s="49">
        <f t="shared" si="13"/>
        <v>3.0541629632392833E-85</v>
      </c>
      <c r="R67" s="49">
        <f t="shared" si="13"/>
        <v>2.3777765204545407E-83</v>
      </c>
      <c r="S67" s="49">
        <f t="shared" si="13"/>
        <v>1.7218111068713539E-81</v>
      </c>
      <c r="T67" s="49">
        <f t="shared" si="13"/>
        <v>1.1635359473279615E-79</v>
      </c>
      <c r="U67" s="49">
        <f t="shared" si="13"/>
        <v>7.3592538244264269E-78</v>
      </c>
      <c r="V67" s="49">
        <f t="shared" si="13"/>
        <v>4.3680537071304696E-76</v>
      </c>
      <c r="W67" s="47">
        <v>0.93600000000000005</v>
      </c>
    </row>
    <row r="68" spans="2:23" x14ac:dyDescent="0.25">
      <c r="B68" s="49">
        <f t="shared" si="12"/>
        <v>1.8431235820282731E-119</v>
      </c>
      <c r="C68" s="49">
        <f t="shared" si="12"/>
        <v>2.6564748472257345E-116</v>
      </c>
      <c r="D68" s="49">
        <f t="shared" si="12"/>
        <v>1.8952325305990205E-113</v>
      </c>
      <c r="E68" s="49">
        <f t="shared" si="12"/>
        <v>8.923176032622925E-111</v>
      </c>
      <c r="F68" s="49">
        <f t="shared" si="12"/>
        <v>3.1187753396990316E-108</v>
      </c>
      <c r="G68" s="49">
        <f t="shared" si="12"/>
        <v>8.6305639698040766E-106</v>
      </c>
      <c r="H68" s="49">
        <f t="shared" si="12"/>
        <v>1.9695480504345558E-103</v>
      </c>
      <c r="I68" s="49">
        <f t="shared" si="12"/>
        <v>3.8119998489913242E-101</v>
      </c>
      <c r="J68" s="49">
        <f t="shared" si="12"/>
        <v>6.3871041022401327E-99</v>
      </c>
      <c r="K68" s="49">
        <f t="shared" si="12"/>
        <v>9.4104286669883725E-97</v>
      </c>
      <c r="L68" s="49">
        <f t="shared" si="13"/>
        <v>1.2342783171225214E-94</v>
      </c>
      <c r="M68" s="49">
        <f t="shared" si="13"/>
        <v>1.4555519576855423E-92</v>
      </c>
      <c r="N68" s="49">
        <f t="shared" si="13"/>
        <v>1.5559801273272772E-90</v>
      </c>
      <c r="O68" s="49">
        <f t="shared" si="13"/>
        <v>1.5181477206040244E-88</v>
      </c>
      <c r="P68" s="49">
        <f t="shared" si="13"/>
        <v>1.3598134499178633E-86</v>
      </c>
      <c r="Q68" s="49">
        <f t="shared" si="13"/>
        <v>1.1237361855720459E-84</v>
      </c>
      <c r="R68" s="49">
        <f t="shared" si="13"/>
        <v>8.6048888356505517E-83</v>
      </c>
      <c r="S68" s="49">
        <f t="shared" si="13"/>
        <v>6.128611224599316E-81</v>
      </c>
      <c r="T68" s="49">
        <f t="shared" si="13"/>
        <v>4.0734180548685366E-79</v>
      </c>
      <c r="U68" s="49">
        <f t="shared" si="13"/>
        <v>2.5340539325873588E-77</v>
      </c>
      <c r="V68" s="49">
        <f t="shared" si="13"/>
        <v>1.4793577909024133E-75</v>
      </c>
      <c r="W68" s="47">
        <v>0.93500000000000005</v>
      </c>
    </row>
    <row r="69" spans="2:23" x14ac:dyDescent="0.25">
      <c r="B69" s="49">
        <f t="shared" si="12"/>
        <v>8.4923970209064185E-119</v>
      </c>
      <c r="C69" s="49">
        <f t="shared" si="12"/>
        <v>1.2041562245736367E-115</v>
      </c>
      <c r="D69" s="49">
        <f t="shared" si="12"/>
        <v>8.4516424110460757E-113</v>
      </c>
      <c r="E69" s="49">
        <f t="shared" si="12"/>
        <v>3.9147114122012522E-110</v>
      </c>
      <c r="F69" s="49">
        <f t="shared" si="12"/>
        <v>1.3460657101813831E-107</v>
      </c>
      <c r="G69" s="49">
        <f t="shared" si="12"/>
        <v>3.6645734109956701E-105</v>
      </c>
      <c r="H69" s="49">
        <f t="shared" si="12"/>
        <v>8.2272201386021004E-103</v>
      </c>
      <c r="I69" s="49">
        <f t="shared" si="12"/>
        <v>1.5665415196066387E-100</v>
      </c>
      <c r="J69" s="49">
        <f t="shared" si="12"/>
        <v>2.5822348764684972E-98</v>
      </c>
      <c r="K69" s="49">
        <f t="shared" si="12"/>
        <v>3.7428643457664594E-96</v>
      </c>
      <c r="L69" s="49">
        <f t="shared" si="13"/>
        <v>4.8295974809550119E-94</v>
      </c>
      <c r="M69" s="49">
        <f t="shared" si="13"/>
        <v>5.6031072471652869E-92</v>
      </c>
      <c r="N69" s="49">
        <f t="shared" si="13"/>
        <v>5.8926261531884041E-90</v>
      </c>
      <c r="O69" s="49">
        <f t="shared" si="13"/>
        <v>5.6561736652423475E-88</v>
      </c>
      <c r="P69" s="49">
        <f t="shared" si="13"/>
        <v>4.9841619171340073E-86</v>
      </c>
      <c r="Q69" s="49">
        <f t="shared" si="13"/>
        <v>4.0521128736386059E-84</v>
      </c>
      <c r="R69" s="49">
        <f t="shared" si="13"/>
        <v>3.052579964613116E-82</v>
      </c>
      <c r="S69" s="49">
        <f t="shared" si="13"/>
        <v>2.1388914251342784E-80</v>
      </c>
      <c r="T69" s="49">
        <f t="shared" si="13"/>
        <v>1.3985912443785502E-78</v>
      </c>
      <c r="U69" s="49">
        <f t="shared" si="13"/>
        <v>8.5595928713456947E-77</v>
      </c>
      <c r="V69" s="49">
        <f t="shared" si="13"/>
        <v>4.9160489513122355E-75</v>
      </c>
      <c r="W69" s="47">
        <v>0.93400000000000005</v>
      </c>
    </row>
    <row r="70" spans="2:23" x14ac:dyDescent="0.25">
      <c r="B70" s="49">
        <f t="shared" si="12"/>
        <v>3.8240403639430757E-118</v>
      </c>
      <c r="C70" s="49">
        <f t="shared" si="12"/>
        <v>5.3355080685463408E-115</v>
      </c>
      <c r="D70" s="49">
        <f t="shared" si="12"/>
        <v>3.6849789946605158E-112</v>
      </c>
      <c r="E70" s="49">
        <f t="shared" si="12"/>
        <v>1.6795572206026866E-109</v>
      </c>
      <c r="F70" s="49">
        <f t="shared" si="12"/>
        <v>5.6828037662718075E-107</v>
      </c>
      <c r="G70" s="49">
        <f t="shared" si="12"/>
        <v>1.5223740448200162E-104</v>
      </c>
      <c r="H70" s="49">
        <f t="shared" si="12"/>
        <v>3.3632009225729887E-102</v>
      </c>
      <c r="I70" s="49">
        <f t="shared" si="12"/>
        <v>6.3014945426986743E-100</v>
      </c>
      <c r="J70" s="49">
        <f t="shared" si="12"/>
        <v>1.0221145465140673E-97</v>
      </c>
      <c r="K70" s="49">
        <f t="shared" si="12"/>
        <v>1.4578414802057356E-95</v>
      </c>
      <c r="L70" s="49">
        <f t="shared" si="13"/>
        <v>1.8510568799436553E-93</v>
      </c>
      <c r="M70" s="49">
        <f t="shared" si="13"/>
        <v>2.113200000349246E-91</v>
      </c>
      <c r="N70" s="49">
        <f t="shared" si="13"/>
        <v>2.1868733264571131E-89</v>
      </c>
      <c r="O70" s="49">
        <f t="shared" si="13"/>
        <v>2.0655741207220248E-87</v>
      </c>
      <c r="P70" s="49">
        <f t="shared" si="13"/>
        <v>1.7910748869136719E-85</v>
      </c>
      <c r="Q70" s="49">
        <f t="shared" si="13"/>
        <v>1.4328704957921869E-83</v>
      </c>
      <c r="R70" s="49">
        <f t="shared" si="13"/>
        <v>1.0621760766055485E-81</v>
      </c>
      <c r="S70" s="49">
        <f t="shared" si="13"/>
        <v>7.3235648065942847E-80</v>
      </c>
      <c r="T70" s="49">
        <f t="shared" si="13"/>
        <v>4.7122593898659444E-78</v>
      </c>
      <c r="U70" s="49">
        <f t="shared" si="13"/>
        <v>2.8378952646446123E-76</v>
      </c>
      <c r="V70" s="49">
        <f t="shared" si="13"/>
        <v>1.6038531848202941E-74</v>
      </c>
      <c r="W70" s="47">
        <v>0.93300000000000005</v>
      </c>
    </row>
    <row r="71" spans="2:23" x14ac:dyDescent="0.25">
      <c r="B71" s="49">
        <f t="shared" si="12"/>
        <v>1.6839415020798087E-117</v>
      </c>
      <c r="C71" s="49">
        <f t="shared" si="12"/>
        <v>2.3124778899519383E-114</v>
      </c>
      <c r="D71" s="49">
        <f t="shared" si="12"/>
        <v>1.5719339256709686E-111</v>
      </c>
      <c r="E71" s="49">
        <f t="shared" si="12"/>
        <v>7.0516659023534879E-109</v>
      </c>
      <c r="F71" s="49">
        <f t="shared" si="12"/>
        <v>2.3483208313658998E-106</v>
      </c>
      <c r="G71" s="49">
        <f t="shared" si="12"/>
        <v>6.1917610484330838E-104</v>
      </c>
      <c r="H71" s="49">
        <f t="shared" si="12"/>
        <v>1.3463063007245805E-101</v>
      </c>
      <c r="I71" s="49">
        <f t="shared" si="12"/>
        <v>2.4827505332461503E-99</v>
      </c>
      <c r="J71" s="49">
        <f t="shared" si="12"/>
        <v>3.9635811463610416E-97</v>
      </c>
      <c r="K71" s="49">
        <f t="shared" si="12"/>
        <v>5.5641312893040981E-95</v>
      </c>
      <c r="L71" s="49">
        <f t="shared" si="13"/>
        <v>6.9535395830208464E-93</v>
      </c>
      <c r="M71" s="49">
        <f t="shared" si="13"/>
        <v>7.8131488085155826E-91</v>
      </c>
      <c r="N71" s="49">
        <f t="shared" si="13"/>
        <v>7.9580869284804657E-89</v>
      </c>
      <c r="O71" s="49">
        <f t="shared" si="13"/>
        <v>7.3981925229840822E-87</v>
      </c>
      <c r="P71" s="49">
        <f t="shared" si="13"/>
        <v>6.3139134658631655E-85</v>
      </c>
      <c r="Q71" s="49">
        <f t="shared" si="13"/>
        <v>4.9715533613755889E-83</v>
      </c>
      <c r="R71" s="49">
        <f t="shared" si="13"/>
        <v>3.6272895054452185E-81</v>
      </c>
      <c r="S71" s="49">
        <f t="shared" si="13"/>
        <v>2.461552104722477E-79</v>
      </c>
      <c r="T71" s="49">
        <f t="shared" si="13"/>
        <v>1.5588946317462303E-77</v>
      </c>
      <c r="U71" s="49">
        <f t="shared" si="13"/>
        <v>9.2402831893579178E-76</v>
      </c>
      <c r="V71" s="49">
        <f t="shared" si="13"/>
        <v>5.1399057792103231E-74</v>
      </c>
      <c r="W71" s="47">
        <v>0.93200000000000005</v>
      </c>
    </row>
    <row r="72" spans="2:23" x14ac:dyDescent="0.25">
      <c r="B72" s="49">
        <f t="shared" si="12"/>
        <v>7.2564954071525398E-117</v>
      </c>
      <c r="C72" s="49">
        <f t="shared" si="12"/>
        <v>9.8099876218401598E-114</v>
      </c>
      <c r="D72" s="49">
        <f t="shared" si="12"/>
        <v>6.5647212337843802E-111</v>
      </c>
      <c r="E72" s="49">
        <f t="shared" si="12"/>
        <v>2.8991123755720344E-108</v>
      </c>
      <c r="F72" s="49">
        <f t="shared" si="12"/>
        <v>9.5043465930511744E-106</v>
      </c>
      <c r="G72" s="49">
        <f t="shared" si="12"/>
        <v>2.4670089859061584E-103</v>
      </c>
      <c r="H72" s="49">
        <f t="shared" si="12"/>
        <v>5.2807101609977815E-101</v>
      </c>
      <c r="I72" s="49">
        <f t="shared" si="12"/>
        <v>9.5867996387101446E-99</v>
      </c>
      <c r="J72" s="49">
        <f t="shared" si="12"/>
        <v>1.5066786837045061E-96</v>
      </c>
      <c r="K72" s="49">
        <f t="shared" si="12"/>
        <v>2.0822016949712794E-94</v>
      </c>
      <c r="L72" s="49">
        <f t="shared" si="13"/>
        <v>2.5616754914865958E-92</v>
      </c>
      <c r="M72" s="49">
        <f t="shared" si="13"/>
        <v>2.8335916026005281E-90</v>
      </c>
      <c r="N72" s="49">
        <f t="shared" si="13"/>
        <v>2.8412735437572152E-88</v>
      </c>
      <c r="O72" s="49">
        <f t="shared" si="13"/>
        <v>2.6002999031656802E-86</v>
      </c>
      <c r="P72" s="49">
        <f t="shared" si="13"/>
        <v>2.1846915014528309E-84</v>
      </c>
      <c r="Q72" s="49">
        <f t="shared" si="13"/>
        <v>1.6934700813153578E-82</v>
      </c>
      <c r="R72" s="49">
        <f t="shared" si="13"/>
        <v>1.2163591455905017E-80</v>
      </c>
      <c r="S72" s="49">
        <f t="shared" si="13"/>
        <v>8.1261171833489847E-79</v>
      </c>
      <c r="T72" s="49">
        <f t="shared" si="13"/>
        <v>5.0662371879151047E-77</v>
      </c>
      <c r="U72" s="49">
        <f t="shared" si="13"/>
        <v>2.9563035311305708E-75</v>
      </c>
      <c r="V72" s="49">
        <f t="shared" si="13"/>
        <v>1.6188781632769905E-73</v>
      </c>
      <c r="W72" s="47">
        <v>0.93100000000000005</v>
      </c>
    </row>
    <row r="73" spans="2:23" x14ac:dyDescent="0.25">
      <c r="B73" s="49">
        <f t="shared" ref="B73:K82" si="14">_xlfn.HYPGEOM.DIST(B$2,comau,tongtheN*$W73,tongtheN,TRUE)</f>
        <v>3.061914443283655E-116</v>
      </c>
      <c r="C73" s="49">
        <f t="shared" si="14"/>
        <v>4.0758340133507729E-113</v>
      </c>
      <c r="D73" s="49">
        <f t="shared" si="14"/>
        <v>2.6856313950922049E-110</v>
      </c>
      <c r="E73" s="49">
        <f t="shared" si="14"/>
        <v>1.1678241167856546E-107</v>
      </c>
      <c r="F73" s="49">
        <f t="shared" si="14"/>
        <v>3.7697896621133011E-105</v>
      </c>
      <c r="G73" s="49">
        <f t="shared" si="14"/>
        <v>9.6349229029881921E-103</v>
      </c>
      <c r="H73" s="49">
        <f t="shared" si="14"/>
        <v>2.0307324139309591E-100</v>
      </c>
      <c r="I73" s="49">
        <f t="shared" si="14"/>
        <v>3.6300873918641149E-98</v>
      </c>
      <c r="J73" s="49">
        <f t="shared" si="14"/>
        <v>5.6175551003065437E-96</v>
      </c>
      <c r="K73" s="49">
        <f t="shared" si="14"/>
        <v>7.6442163800040847E-94</v>
      </c>
      <c r="L73" s="49">
        <f t="shared" ref="L73:V82" si="15">_xlfn.HYPGEOM.DIST(L$2,comau,tongtheN*$W73,tongtheN,TRUE)</f>
        <v>9.2601492288055865E-92</v>
      </c>
      <c r="M73" s="49">
        <f t="shared" si="15"/>
        <v>1.0085909036458552E-89</v>
      </c>
      <c r="N73" s="49">
        <f t="shared" si="15"/>
        <v>9.9580655990589291E-88</v>
      </c>
      <c r="O73" s="49">
        <f t="shared" si="15"/>
        <v>8.9736629481430334E-86</v>
      </c>
      <c r="P73" s="49">
        <f t="shared" si="15"/>
        <v>7.4237108796711738E-84</v>
      </c>
      <c r="Q73" s="49">
        <f t="shared" si="15"/>
        <v>5.6662185386658619E-82</v>
      </c>
      <c r="R73" s="49">
        <f t="shared" si="15"/>
        <v>4.0074003391735526E-80</v>
      </c>
      <c r="S73" s="49">
        <f t="shared" si="15"/>
        <v>2.636145385524334E-78</v>
      </c>
      <c r="T73" s="49">
        <f t="shared" si="15"/>
        <v>1.6182940343866164E-76</v>
      </c>
      <c r="U73" s="49">
        <f t="shared" si="15"/>
        <v>9.2983705052339853E-75</v>
      </c>
      <c r="V73" s="49">
        <f t="shared" si="15"/>
        <v>5.0136981253401907E-73</v>
      </c>
      <c r="W73" s="47">
        <v>0.93</v>
      </c>
    </row>
    <row r="74" spans="2:23" x14ac:dyDescent="0.25">
      <c r="B74" s="49">
        <f t="shared" si="14"/>
        <v>1.265857037597102E-115</v>
      </c>
      <c r="C74" s="49">
        <f t="shared" si="14"/>
        <v>1.6595042155918842E-112</v>
      </c>
      <c r="D74" s="49">
        <f t="shared" si="14"/>
        <v>1.0769082875809684E-109</v>
      </c>
      <c r="E74" s="49">
        <f t="shared" si="14"/>
        <v>4.6119053112665727E-107</v>
      </c>
      <c r="F74" s="49">
        <f t="shared" si="14"/>
        <v>1.4661921124934247E-104</v>
      </c>
      <c r="G74" s="49">
        <f t="shared" si="14"/>
        <v>3.6905663166363272E-102</v>
      </c>
      <c r="H74" s="49">
        <f t="shared" si="14"/>
        <v>7.6607039236973834E-100</v>
      </c>
      <c r="I74" s="49">
        <f t="shared" si="14"/>
        <v>1.3486661751148955E-97</v>
      </c>
      <c r="J74" s="49">
        <f t="shared" si="14"/>
        <v>2.0554472682577734E-95</v>
      </c>
      <c r="K74" s="49">
        <f t="shared" si="14"/>
        <v>2.7546333082841903E-93</v>
      </c>
      <c r="L74" s="49">
        <f t="shared" si="15"/>
        <v>3.2864032195701864E-91</v>
      </c>
      <c r="M74" s="49">
        <f t="shared" si="15"/>
        <v>3.5252520064436921E-89</v>
      </c>
      <c r="N74" s="49">
        <f t="shared" si="15"/>
        <v>3.4278561587086796E-87</v>
      </c>
      <c r="O74" s="49">
        <f t="shared" si="15"/>
        <v>3.0422162137966166E-85</v>
      </c>
      <c r="P74" s="49">
        <f t="shared" si="15"/>
        <v>2.4786449814488444E-83</v>
      </c>
      <c r="Q74" s="49">
        <f t="shared" si="15"/>
        <v>1.8632013712029121E-81</v>
      </c>
      <c r="R74" s="49">
        <f t="shared" si="15"/>
        <v>1.2977847078433528E-79</v>
      </c>
      <c r="S74" s="49">
        <f t="shared" si="15"/>
        <v>8.4078118480841373E-78</v>
      </c>
      <c r="T74" s="49">
        <f t="shared" si="15"/>
        <v>5.0832916497817598E-76</v>
      </c>
      <c r="U74" s="49">
        <f t="shared" si="15"/>
        <v>2.8765285044440399E-74</v>
      </c>
      <c r="V74" s="49">
        <f t="shared" si="15"/>
        <v>1.5275468405620936E-72</v>
      </c>
      <c r="W74" s="47">
        <v>0.92900000000000005</v>
      </c>
    </row>
    <row r="75" spans="2:23" x14ac:dyDescent="0.25">
      <c r="B75" s="49">
        <f t="shared" si="14"/>
        <v>5.1303872293257682E-115</v>
      </c>
      <c r="C75" s="49">
        <f t="shared" si="14"/>
        <v>6.6252149964196747E-112</v>
      </c>
      <c r="D75" s="49">
        <f t="shared" si="14"/>
        <v>4.2350315118972623E-109</v>
      </c>
      <c r="E75" s="49">
        <f t="shared" si="14"/>
        <v>1.7865484696340292E-106</v>
      </c>
      <c r="F75" s="49">
        <f t="shared" si="14"/>
        <v>5.5947667025425246E-104</v>
      </c>
      <c r="G75" s="49">
        <f t="shared" si="14"/>
        <v>1.3872060969951316E-101</v>
      </c>
      <c r="H75" s="49">
        <f t="shared" si="14"/>
        <v>2.8364407813549079E-99</v>
      </c>
      <c r="I75" s="49">
        <f t="shared" si="14"/>
        <v>4.9188862097396687E-97</v>
      </c>
      <c r="J75" s="49">
        <f t="shared" si="14"/>
        <v>7.3845854733969089E-95</v>
      </c>
      <c r="K75" s="49">
        <f t="shared" si="14"/>
        <v>9.7485776832886016E-93</v>
      </c>
      <c r="L75" s="49">
        <f t="shared" si="15"/>
        <v>1.1456611956232853E-90</v>
      </c>
      <c r="M75" s="49">
        <f t="shared" si="15"/>
        <v>1.2105525230332119E-88</v>
      </c>
      <c r="N75" s="49">
        <f t="shared" si="15"/>
        <v>1.1595097242437968E-86</v>
      </c>
      <c r="O75" s="49">
        <f t="shared" si="15"/>
        <v>1.0136789989547966E-84</v>
      </c>
      <c r="P75" s="49">
        <f t="shared" si="15"/>
        <v>8.1354859960730413E-83</v>
      </c>
      <c r="Q75" s="49">
        <f t="shared" si="15"/>
        <v>6.0240423290796485E-81</v>
      </c>
      <c r="R75" s="49">
        <f t="shared" si="15"/>
        <v>4.1332356396354578E-79</v>
      </c>
      <c r="S75" s="49">
        <f t="shared" si="15"/>
        <v>2.6377282242938608E-77</v>
      </c>
      <c r="T75" s="49">
        <f t="shared" si="15"/>
        <v>1.5709121602531482E-75</v>
      </c>
      <c r="U75" s="49">
        <f t="shared" si="15"/>
        <v>8.756602548774637E-74</v>
      </c>
      <c r="V75" s="49">
        <f t="shared" si="15"/>
        <v>4.5805945633944742E-72</v>
      </c>
      <c r="W75" s="47">
        <v>0.92800000000000005</v>
      </c>
    </row>
    <row r="76" spans="2:23" x14ac:dyDescent="0.25">
      <c r="B76" s="49">
        <f t="shared" si="14"/>
        <v>2.0395183481931028E-114</v>
      </c>
      <c r="C76" s="49">
        <f t="shared" si="14"/>
        <v>2.5948786979348114E-111</v>
      </c>
      <c r="D76" s="49">
        <f t="shared" si="14"/>
        <v>1.6342312946814588E-108</v>
      </c>
      <c r="E76" s="49">
        <f t="shared" si="14"/>
        <v>6.7922185844261052E-106</v>
      </c>
      <c r="F76" s="49">
        <f t="shared" si="14"/>
        <v>2.0956511575078497E-103</v>
      </c>
      <c r="G76" s="49">
        <f t="shared" si="14"/>
        <v>5.1193915612148899E-101</v>
      </c>
      <c r="H76" s="49">
        <f t="shared" si="14"/>
        <v>1.0313156855662387E-98</v>
      </c>
      <c r="I76" s="49">
        <f t="shared" si="14"/>
        <v>1.7620791776261799E-96</v>
      </c>
      <c r="J76" s="49">
        <f t="shared" si="14"/>
        <v>2.6063078275374032E-94</v>
      </c>
      <c r="K76" s="49">
        <f t="shared" si="14"/>
        <v>3.3898618102884279E-92</v>
      </c>
      <c r="L76" s="49">
        <f t="shared" si="15"/>
        <v>3.924987734918686E-90</v>
      </c>
      <c r="M76" s="49">
        <f t="shared" si="15"/>
        <v>4.086084260132539E-88</v>
      </c>
      <c r="N76" s="49">
        <f t="shared" si="15"/>
        <v>3.8560253405030363E-86</v>
      </c>
      <c r="O76" s="49">
        <f t="shared" si="15"/>
        <v>3.3212989241721409E-84</v>
      </c>
      <c r="P76" s="49">
        <f t="shared" si="15"/>
        <v>2.6262331794234971E-82</v>
      </c>
      <c r="Q76" s="49">
        <f t="shared" si="15"/>
        <v>1.9159329385527146E-80</v>
      </c>
      <c r="R76" s="49">
        <f t="shared" si="15"/>
        <v>1.2951653255848966E-78</v>
      </c>
      <c r="S76" s="49">
        <f t="shared" si="15"/>
        <v>8.1434437051886336E-77</v>
      </c>
      <c r="T76" s="49">
        <f t="shared" si="15"/>
        <v>4.7782979207285487E-75</v>
      </c>
      <c r="U76" s="49">
        <f t="shared" si="15"/>
        <v>2.6242215657599221E-73</v>
      </c>
      <c r="V76" s="49">
        <f t="shared" si="15"/>
        <v>1.352479006329409E-71</v>
      </c>
      <c r="W76" s="47">
        <v>0.92700000000000005</v>
      </c>
    </row>
    <row r="77" spans="2:23" x14ac:dyDescent="0.25">
      <c r="B77" s="49">
        <f t="shared" si="14"/>
        <v>7.9569285322290051E-114</v>
      </c>
      <c r="C77" s="49">
        <f t="shared" si="14"/>
        <v>9.9759832022078398E-111</v>
      </c>
      <c r="D77" s="49">
        <f t="shared" si="14"/>
        <v>6.1911760795973523E-108</v>
      </c>
      <c r="E77" s="49">
        <f t="shared" si="14"/>
        <v>2.5356683606242725E-105</v>
      </c>
      <c r="F77" s="49">
        <f t="shared" si="14"/>
        <v>7.7094099260295335E-103</v>
      </c>
      <c r="G77" s="49">
        <f t="shared" si="14"/>
        <v>1.8558464163397754E-100</v>
      </c>
      <c r="H77" s="49">
        <f t="shared" si="14"/>
        <v>3.6841477343362595E-98</v>
      </c>
      <c r="I77" s="49">
        <f t="shared" si="14"/>
        <v>6.2028711436630987E-96</v>
      </c>
      <c r="J77" s="49">
        <f t="shared" si="14"/>
        <v>9.0409730749613335E-94</v>
      </c>
      <c r="K77" s="49">
        <f t="shared" si="14"/>
        <v>1.15876080027259E-91</v>
      </c>
      <c r="L77" s="49">
        <f t="shared" si="15"/>
        <v>1.3221254000196683E-89</v>
      </c>
      <c r="M77" s="49">
        <f t="shared" si="15"/>
        <v>1.35632704922311E-87</v>
      </c>
      <c r="N77" s="49">
        <f t="shared" si="15"/>
        <v>1.2613045597993886E-85</v>
      </c>
      <c r="O77" s="49">
        <f t="shared" si="15"/>
        <v>1.0705606103454497E-83</v>
      </c>
      <c r="P77" s="49">
        <f t="shared" si="15"/>
        <v>8.3418047651147016E-82</v>
      </c>
      <c r="Q77" s="49">
        <f t="shared" si="15"/>
        <v>5.9969540729029957E-80</v>
      </c>
      <c r="R77" s="49">
        <f t="shared" si="15"/>
        <v>3.9948415261845046E-78</v>
      </c>
      <c r="S77" s="49">
        <f t="shared" si="15"/>
        <v>2.4751790829835E-76</v>
      </c>
      <c r="T77" s="49">
        <f t="shared" si="15"/>
        <v>1.4311863755767234E-74</v>
      </c>
      <c r="U77" s="49">
        <f t="shared" si="15"/>
        <v>7.7454771882596908E-73</v>
      </c>
      <c r="V77" s="49">
        <f t="shared" si="15"/>
        <v>3.9337177707269873E-71</v>
      </c>
      <c r="W77" s="47">
        <v>0.92600000000000005</v>
      </c>
    </row>
    <row r="78" spans="2:23" x14ac:dyDescent="0.25">
      <c r="B78" s="49">
        <f t="shared" si="14"/>
        <v>3.0480553528092755E-113</v>
      </c>
      <c r="C78" s="49">
        <f t="shared" si="14"/>
        <v>3.7664560726365364E-110</v>
      </c>
      <c r="D78" s="49">
        <f t="shared" si="14"/>
        <v>2.3038294938354184E-107</v>
      </c>
      <c r="E78" s="49">
        <f t="shared" si="14"/>
        <v>9.2997182142396936E-105</v>
      </c>
      <c r="F78" s="49">
        <f t="shared" si="14"/>
        <v>2.7867551912669079E-102</v>
      </c>
      <c r="G78" s="49">
        <f t="shared" si="14"/>
        <v>6.6118081261987033E-100</v>
      </c>
      <c r="H78" s="49">
        <f t="shared" si="14"/>
        <v>1.2936475383827906E-97</v>
      </c>
      <c r="I78" s="49">
        <f t="shared" si="14"/>
        <v>2.1467061676661999E-95</v>
      </c>
      <c r="J78" s="49">
        <f t="shared" si="14"/>
        <v>3.0838705220226735E-93</v>
      </c>
      <c r="K78" s="49">
        <f t="shared" si="14"/>
        <v>3.8956154046434206E-91</v>
      </c>
      <c r="L78" s="49">
        <f t="shared" si="15"/>
        <v>4.3808305746517692E-89</v>
      </c>
      <c r="M78" s="49">
        <f t="shared" si="15"/>
        <v>4.4294517544853988E-87</v>
      </c>
      <c r="N78" s="49">
        <f t="shared" si="15"/>
        <v>4.0598265818221326E-85</v>
      </c>
      <c r="O78" s="49">
        <f t="shared" si="15"/>
        <v>3.3962602915606303E-83</v>
      </c>
      <c r="P78" s="49">
        <f t="shared" si="15"/>
        <v>2.6082676259072561E-81</v>
      </c>
      <c r="Q78" s="49">
        <f t="shared" si="15"/>
        <v>1.8481001967434819E-79</v>
      </c>
      <c r="R78" s="49">
        <f t="shared" si="15"/>
        <v>1.2133811725806576E-77</v>
      </c>
      <c r="S78" s="49">
        <f t="shared" si="15"/>
        <v>7.4098169668473822E-76</v>
      </c>
      <c r="T78" s="49">
        <f t="shared" si="15"/>
        <v>4.2227995319528128E-74</v>
      </c>
      <c r="U78" s="49">
        <f t="shared" si="15"/>
        <v>2.2524550623225412E-72</v>
      </c>
      <c r="V78" s="49">
        <f t="shared" si="15"/>
        <v>1.1274962702339206E-70</v>
      </c>
      <c r="W78" s="47">
        <v>0.92500000000000004</v>
      </c>
    </row>
    <row r="79" spans="2:23" x14ac:dyDescent="0.25">
      <c r="B79" s="49">
        <f t="shared" si="14"/>
        <v>1.147018072745874E-112</v>
      </c>
      <c r="C79" s="49">
        <f t="shared" si="14"/>
        <v>1.3971949638260773E-109</v>
      </c>
      <c r="D79" s="49">
        <f t="shared" si="14"/>
        <v>8.4246391168862639E-107</v>
      </c>
      <c r="E79" s="49">
        <f t="shared" si="14"/>
        <v>3.3523380539829341E-104</v>
      </c>
      <c r="F79" s="49">
        <f t="shared" si="14"/>
        <v>9.9027100457339654E-102</v>
      </c>
      <c r="G79" s="49">
        <f t="shared" si="14"/>
        <v>2.316076489687794E-99</v>
      </c>
      <c r="H79" s="49">
        <f t="shared" si="14"/>
        <v>4.4671056536320671E-97</v>
      </c>
      <c r="I79" s="49">
        <f t="shared" si="14"/>
        <v>7.3073625907016347E-95</v>
      </c>
      <c r="J79" s="49">
        <f t="shared" si="14"/>
        <v>1.0348137323448526E-92</v>
      </c>
      <c r="K79" s="49">
        <f t="shared" si="14"/>
        <v>1.28860650588793E-90</v>
      </c>
      <c r="L79" s="49">
        <f t="shared" si="15"/>
        <v>1.4284962626358564E-88</v>
      </c>
      <c r="M79" s="49">
        <f t="shared" si="15"/>
        <v>1.4238074011646648E-86</v>
      </c>
      <c r="N79" s="49">
        <f t="shared" si="15"/>
        <v>1.2864342426858512E-84</v>
      </c>
      <c r="O79" s="49">
        <f t="shared" si="15"/>
        <v>1.0608650448642897E-82</v>
      </c>
      <c r="P79" s="49">
        <f t="shared" si="15"/>
        <v>8.03138818873852E-81</v>
      </c>
      <c r="Q79" s="49">
        <f t="shared" si="15"/>
        <v>5.6097500565504793E-79</v>
      </c>
      <c r="R79" s="49">
        <f t="shared" si="15"/>
        <v>3.6307389641841023E-77</v>
      </c>
      <c r="S79" s="49">
        <f t="shared" si="15"/>
        <v>2.1856734722295539E-75</v>
      </c>
      <c r="T79" s="49">
        <f t="shared" si="15"/>
        <v>1.2278874224717497E-73</v>
      </c>
      <c r="U79" s="49">
        <f t="shared" si="15"/>
        <v>6.4564645818797828E-72</v>
      </c>
      <c r="V79" s="49">
        <f t="shared" si="15"/>
        <v>3.185917882883422E-70</v>
      </c>
      <c r="W79" s="47">
        <v>0.92400000000000004</v>
      </c>
    </row>
    <row r="80" spans="2:23" x14ac:dyDescent="0.25">
      <c r="B80" s="49">
        <f t="shared" si="14"/>
        <v>4.2421878914467869E-112</v>
      </c>
      <c r="C80" s="49">
        <f t="shared" si="14"/>
        <v>5.0948125051861508E-109</v>
      </c>
      <c r="D80" s="49">
        <f t="shared" si="14"/>
        <v>3.0288253313113334E-106</v>
      </c>
      <c r="E80" s="49">
        <f t="shared" si="14"/>
        <v>1.1882905241801002E-103</v>
      </c>
      <c r="F80" s="49">
        <f t="shared" si="14"/>
        <v>3.4608356396954044E-101</v>
      </c>
      <c r="G80" s="49">
        <f t="shared" si="14"/>
        <v>7.9805363185986396E-99</v>
      </c>
      <c r="H80" s="49">
        <f t="shared" si="14"/>
        <v>1.5176019002656605E-96</v>
      </c>
      <c r="I80" s="49">
        <f t="shared" si="14"/>
        <v>2.4476253628550064E-94</v>
      </c>
      <c r="J80" s="49">
        <f t="shared" si="14"/>
        <v>3.4174275626673343E-92</v>
      </c>
      <c r="K80" s="49">
        <f t="shared" si="14"/>
        <v>4.1957586982101347E-90</v>
      </c>
      <c r="L80" s="49">
        <f t="shared" si="15"/>
        <v>4.5858785505791826E-88</v>
      </c>
      <c r="M80" s="49">
        <f t="shared" si="15"/>
        <v>4.5065911103871048E-86</v>
      </c>
      <c r="N80" s="49">
        <f t="shared" si="15"/>
        <v>4.014562174622337E-84</v>
      </c>
      <c r="O80" s="49">
        <f t="shared" si="15"/>
        <v>3.2641089573676581E-82</v>
      </c>
      <c r="P80" s="49">
        <f t="shared" si="15"/>
        <v>2.4364037867185957E-80</v>
      </c>
      <c r="Q80" s="49">
        <f t="shared" si="15"/>
        <v>1.6778631537094908E-78</v>
      </c>
      <c r="R80" s="49">
        <f t="shared" si="15"/>
        <v>1.0706873496135883E-76</v>
      </c>
      <c r="S80" s="49">
        <f t="shared" si="15"/>
        <v>6.3548864794830452E-75</v>
      </c>
      <c r="T80" s="49">
        <f t="shared" si="15"/>
        <v>3.5199475678119205E-73</v>
      </c>
      <c r="U80" s="49">
        <f t="shared" si="15"/>
        <v>1.8248526806657289E-71</v>
      </c>
      <c r="V80" s="49">
        <f t="shared" si="15"/>
        <v>8.8781664206392948E-70</v>
      </c>
      <c r="W80" s="47">
        <v>0.92300000000000004</v>
      </c>
    </row>
    <row r="81" spans="2:23" x14ac:dyDescent="0.25">
      <c r="B81" s="49">
        <f t="shared" si="14"/>
        <v>1.5426810470105077E-111</v>
      </c>
      <c r="C81" s="49">
        <f t="shared" si="14"/>
        <v>1.8270015642807657E-108</v>
      </c>
      <c r="D81" s="49">
        <f t="shared" si="14"/>
        <v>1.0710495979372927E-105</v>
      </c>
      <c r="E81" s="49">
        <f t="shared" si="14"/>
        <v>4.143647504554232E-103</v>
      </c>
      <c r="F81" s="49">
        <f t="shared" si="14"/>
        <v>1.190052548260655E-100</v>
      </c>
      <c r="G81" s="49">
        <f t="shared" si="14"/>
        <v>2.7060911454376129E-98</v>
      </c>
      <c r="H81" s="49">
        <f t="shared" si="14"/>
        <v>5.0745036413628076E-96</v>
      </c>
      <c r="I81" s="49">
        <f t="shared" si="14"/>
        <v>8.0706071561501619E-94</v>
      </c>
      <c r="J81" s="49">
        <f t="shared" si="14"/>
        <v>1.1111849073396939E-91</v>
      </c>
      <c r="K81" s="49">
        <f t="shared" si="14"/>
        <v>1.3453134171506042E-89</v>
      </c>
      <c r="L81" s="49">
        <f t="shared" si="15"/>
        <v>1.4499788880661719E-87</v>
      </c>
      <c r="M81" s="49">
        <f t="shared" si="15"/>
        <v>1.4051207814195573E-85</v>
      </c>
      <c r="N81" s="49">
        <f t="shared" si="15"/>
        <v>1.2343271391470184E-83</v>
      </c>
      <c r="O81" s="49">
        <f t="shared" si="15"/>
        <v>9.8965437290153697E-82</v>
      </c>
      <c r="P81" s="49">
        <f t="shared" si="15"/>
        <v>7.2844238328993482E-80</v>
      </c>
      <c r="Q81" s="49">
        <f t="shared" si="15"/>
        <v>4.9468615206448599E-78</v>
      </c>
      <c r="R81" s="49">
        <f t="shared" si="15"/>
        <v>3.1128873545536034E-76</v>
      </c>
      <c r="S81" s="49">
        <f t="shared" si="15"/>
        <v>1.8219493421433221E-74</v>
      </c>
      <c r="T81" s="49">
        <f t="shared" si="15"/>
        <v>9.9515955824682545E-73</v>
      </c>
      <c r="U81" s="49">
        <f t="shared" si="15"/>
        <v>5.0875960605565799E-71</v>
      </c>
      <c r="V81" s="49">
        <f t="shared" si="15"/>
        <v>2.4408250699010286E-69</v>
      </c>
      <c r="W81" s="47">
        <v>0.92200000000000004</v>
      </c>
    </row>
    <row r="82" spans="2:23" x14ac:dyDescent="0.25">
      <c r="B82" s="49">
        <f t="shared" si="14"/>
        <v>5.5184350651485384E-111</v>
      </c>
      <c r="C82" s="49">
        <f t="shared" si="14"/>
        <v>6.4457613406333919E-108</v>
      </c>
      <c r="D82" s="49">
        <f t="shared" si="14"/>
        <v>3.7268384240095024E-105</v>
      </c>
      <c r="E82" s="49">
        <f t="shared" si="14"/>
        <v>1.4220328827225692E-102</v>
      </c>
      <c r="F82" s="49">
        <f t="shared" si="14"/>
        <v>4.0279957704228858E-100</v>
      </c>
      <c r="G82" s="49">
        <f t="shared" si="14"/>
        <v>9.0336134045797067E-98</v>
      </c>
      <c r="H82" s="49">
        <f t="shared" si="14"/>
        <v>1.6707406859727556E-95</v>
      </c>
      <c r="I82" s="49">
        <f t="shared" si="14"/>
        <v>2.6207058519563588E-93</v>
      </c>
      <c r="J82" s="49">
        <f t="shared" si="14"/>
        <v>3.5587312298994768E-91</v>
      </c>
      <c r="K82" s="49">
        <f t="shared" si="14"/>
        <v>4.2494166417824559E-89</v>
      </c>
      <c r="L82" s="49">
        <f t="shared" si="15"/>
        <v>4.5171520567543671E-87</v>
      </c>
      <c r="M82" s="49">
        <f t="shared" si="15"/>
        <v>4.3173185001724067E-85</v>
      </c>
      <c r="N82" s="49">
        <f t="shared" si="15"/>
        <v>3.7404885242546996E-83</v>
      </c>
      <c r="O82" s="49">
        <f t="shared" si="15"/>
        <v>2.957872402689488E-81</v>
      </c>
      <c r="P82" s="49">
        <f t="shared" si="15"/>
        <v>2.1472823813215387E-79</v>
      </c>
      <c r="Q82" s="49">
        <f t="shared" si="15"/>
        <v>1.4382090207578237E-77</v>
      </c>
      <c r="R82" s="49">
        <f t="shared" si="15"/>
        <v>8.9259449277632361E-76</v>
      </c>
      <c r="S82" s="49">
        <f t="shared" si="15"/>
        <v>5.1525935583369335E-74</v>
      </c>
      <c r="T82" s="49">
        <f t="shared" si="15"/>
        <v>2.7757564279347272E-72</v>
      </c>
      <c r="U82" s="49">
        <f t="shared" si="15"/>
        <v>1.3995891554947302E-70</v>
      </c>
      <c r="V82" s="49">
        <f t="shared" si="15"/>
        <v>6.6225338202523179E-69</v>
      </c>
      <c r="W82" s="47">
        <v>0.92100000000000004</v>
      </c>
    </row>
    <row r="83" spans="2:23" x14ac:dyDescent="0.25">
      <c r="B83" s="49">
        <f t="shared" ref="B83:K92" si="16">_xlfn.HYPGEOM.DIST(B$2,comau,tongtheN*$W83,tongtheN,TRUE)</f>
        <v>1.9426258507068079E-110</v>
      </c>
      <c r="C83" s="49">
        <f t="shared" si="16"/>
        <v>2.238268565288668E-107</v>
      </c>
      <c r="D83" s="49">
        <f t="shared" si="16"/>
        <v>1.2765665332550059E-104</v>
      </c>
      <c r="E83" s="49">
        <f t="shared" si="16"/>
        <v>4.8048254842804733E-102</v>
      </c>
      <c r="F83" s="49">
        <f t="shared" si="16"/>
        <v>1.3425245957808509E-99</v>
      </c>
      <c r="G83" s="49">
        <f t="shared" si="16"/>
        <v>2.9700255994476101E-97</v>
      </c>
      <c r="H83" s="49">
        <f t="shared" si="16"/>
        <v>5.4184288146671109E-95</v>
      </c>
      <c r="I83" s="49">
        <f t="shared" si="16"/>
        <v>8.3839450483757031E-93</v>
      </c>
      <c r="J83" s="49">
        <f t="shared" si="16"/>
        <v>1.123029978356336E-90</v>
      </c>
      <c r="K83" s="49">
        <f t="shared" si="16"/>
        <v>1.322792393151496E-88</v>
      </c>
      <c r="L83" s="49">
        <f t="shared" ref="L83:V92" si="17">_xlfn.HYPGEOM.DIST(L$2,comau,tongtheN*$W83,tongtheN,TRUE)</f>
        <v>1.387054427724203E-86</v>
      </c>
      <c r="M83" s="49">
        <f t="shared" si="17"/>
        <v>1.3077041738731643E-84</v>
      </c>
      <c r="N83" s="49">
        <f t="shared" si="17"/>
        <v>1.1176108022558133E-82</v>
      </c>
      <c r="O83" s="49">
        <f t="shared" si="17"/>
        <v>8.7178373812727546E-81</v>
      </c>
      <c r="P83" s="49">
        <f t="shared" si="17"/>
        <v>6.2428914016342683E-79</v>
      </c>
      <c r="Q83" s="49">
        <f t="shared" si="17"/>
        <v>4.1246409853644424E-77</v>
      </c>
      <c r="R83" s="49">
        <f t="shared" si="17"/>
        <v>2.5251437878647395E-75</v>
      </c>
      <c r="S83" s="49">
        <f t="shared" si="17"/>
        <v>1.4378904835802186E-73</v>
      </c>
      <c r="T83" s="49">
        <f t="shared" si="17"/>
        <v>7.6409884966159272E-72</v>
      </c>
      <c r="U83" s="49">
        <f t="shared" si="17"/>
        <v>3.8004698554428304E-70</v>
      </c>
      <c r="V83" s="49">
        <f t="shared" si="17"/>
        <v>1.7739023605206625E-68</v>
      </c>
      <c r="W83" s="47">
        <v>0.92</v>
      </c>
    </row>
    <row r="84" spans="2:23" x14ac:dyDescent="0.25">
      <c r="B84" s="49">
        <f t="shared" si="16"/>
        <v>6.7323859179039806E-110</v>
      </c>
      <c r="C84" s="49">
        <f t="shared" si="16"/>
        <v>7.6528690789122517E-107</v>
      </c>
      <c r="D84" s="49">
        <f t="shared" si="16"/>
        <v>4.3061381628466112E-104</v>
      </c>
      <c r="E84" s="49">
        <f t="shared" si="16"/>
        <v>1.5990230076369959E-101</v>
      </c>
      <c r="F84" s="49">
        <f t="shared" si="16"/>
        <v>4.4079038230291879E-99</v>
      </c>
      <c r="G84" s="49">
        <f t="shared" si="16"/>
        <v>9.6206185633787768E-97</v>
      </c>
      <c r="H84" s="49">
        <f t="shared" si="16"/>
        <v>1.7316068862080797E-94</v>
      </c>
      <c r="I84" s="49">
        <f t="shared" si="16"/>
        <v>2.643368268421752E-92</v>
      </c>
      <c r="J84" s="49">
        <f t="shared" si="16"/>
        <v>3.493285724325215E-90</v>
      </c>
      <c r="K84" s="49">
        <f t="shared" si="16"/>
        <v>4.0594589750524331E-88</v>
      </c>
      <c r="L84" s="49">
        <f t="shared" si="17"/>
        <v>4.1995608914765711E-86</v>
      </c>
      <c r="M84" s="49">
        <f t="shared" si="17"/>
        <v>3.9061958100832871E-84</v>
      </c>
      <c r="N84" s="49">
        <f t="shared" si="17"/>
        <v>3.2935891649386576E-82</v>
      </c>
      <c r="O84" s="49">
        <f t="shared" si="17"/>
        <v>2.5346742499374237E-80</v>
      </c>
      <c r="P84" s="49">
        <f t="shared" si="17"/>
        <v>1.7907458381582826E-78</v>
      </c>
      <c r="Q84" s="49">
        <f t="shared" si="17"/>
        <v>1.1672646604002055E-76</v>
      </c>
      <c r="R84" s="49">
        <f t="shared" si="17"/>
        <v>7.0502505488629707E-75</v>
      </c>
      <c r="S84" s="49">
        <f t="shared" si="17"/>
        <v>3.9607711351448733E-73</v>
      </c>
      <c r="T84" s="49">
        <f t="shared" si="17"/>
        <v>2.0765349267440899E-71</v>
      </c>
      <c r="U84" s="49">
        <f t="shared" si="17"/>
        <v>1.0189737697158849E-69</v>
      </c>
      <c r="V84" s="49">
        <f t="shared" si="17"/>
        <v>4.6923642060980015E-68</v>
      </c>
      <c r="W84" s="47">
        <v>0.91900000000000004</v>
      </c>
    </row>
    <row r="85" spans="2:23" x14ac:dyDescent="0.25">
      <c r="B85" s="49">
        <f t="shared" si="16"/>
        <v>2.2978530631821473E-109</v>
      </c>
      <c r="C85" s="49">
        <f t="shared" si="16"/>
        <v>2.5773631468052397E-106</v>
      </c>
      <c r="D85" s="49">
        <f t="shared" si="16"/>
        <v>1.4309930917158042E-103</v>
      </c>
      <c r="E85" s="49">
        <f t="shared" si="16"/>
        <v>5.2432758545240252E-101</v>
      </c>
      <c r="F85" s="49">
        <f t="shared" si="16"/>
        <v>1.4261943000526603E-98</v>
      </c>
      <c r="G85" s="49">
        <f t="shared" si="16"/>
        <v>3.0714846801440639E-96</v>
      </c>
      <c r="H85" s="49">
        <f t="shared" si="16"/>
        <v>5.4549856899976897E-94</v>
      </c>
      <c r="I85" s="49">
        <f t="shared" si="16"/>
        <v>8.2167699027411532E-92</v>
      </c>
      <c r="J85" s="49">
        <f t="shared" si="16"/>
        <v>1.0714623036170157E-89</v>
      </c>
      <c r="K85" s="49">
        <f t="shared" si="16"/>
        <v>1.2285998986663978E-87</v>
      </c>
      <c r="L85" s="49">
        <f t="shared" si="17"/>
        <v>1.2541397548475355E-85</v>
      </c>
      <c r="M85" s="49">
        <f t="shared" si="17"/>
        <v>1.1510548081691832E-83</v>
      </c>
      <c r="N85" s="49">
        <f t="shared" si="17"/>
        <v>9.5766049760299811E-82</v>
      </c>
      <c r="O85" s="49">
        <f t="shared" si="17"/>
        <v>7.2721809297246754E-80</v>
      </c>
      <c r="P85" s="49">
        <f t="shared" si="17"/>
        <v>5.0696394437470485E-78</v>
      </c>
      <c r="Q85" s="49">
        <f t="shared" si="17"/>
        <v>3.2607183835990994E-76</v>
      </c>
      <c r="R85" s="49">
        <f t="shared" si="17"/>
        <v>1.943343522523966E-74</v>
      </c>
      <c r="S85" s="49">
        <f t="shared" si="17"/>
        <v>1.0772737861492221E-72</v>
      </c>
      <c r="T85" s="49">
        <f t="shared" si="17"/>
        <v>5.572975780355665E-71</v>
      </c>
      <c r="U85" s="49">
        <f t="shared" si="17"/>
        <v>2.6984399247664623E-69</v>
      </c>
      <c r="V85" s="49">
        <f t="shared" si="17"/>
        <v>1.2261498995684868E-67</v>
      </c>
      <c r="W85" s="47">
        <v>0.91800000000000004</v>
      </c>
    </row>
    <row r="86" spans="2:23" x14ac:dyDescent="0.25">
      <c r="B86" s="49">
        <f t="shared" si="16"/>
        <v>7.7269775127356803E-109</v>
      </c>
      <c r="C86" s="49">
        <f t="shared" si="16"/>
        <v>8.5531346166469183E-106</v>
      </c>
      <c r="D86" s="49">
        <f t="shared" si="16"/>
        <v>4.6865115879585358E-103</v>
      </c>
      <c r="E86" s="49">
        <f t="shared" si="16"/>
        <v>1.6946401825385376E-100</v>
      </c>
      <c r="F86" s="49">
        <f t="shared" si="16"/>
        <v>4.5490037843509261E-98</v>
      </c>
      <c r="G86" s="49">
        <f t="shared" si="16"/>
        <v>9.6682738233445771E-96</v>
      </c>
      <c r="H86" s="49">
        <f t="shared" si="16"/>
        <v>1.6945616480025751E-93</v>
      </c>
      <c r="I86" s="49">
        <f t="shared" si="16"/>
        <v>2.519000412354271E-91</v>
      </c>
      <c r="J86" s="49">
        <f t="shared" si="16"/>
        <v>3.2416607052061611E-89</v>
      </c>
      <c r="K86" s="49">
        <f t="shared" si="16"/>
        <v>3.6683002819951577E-87</v>
      </c>
      <c r="L86" s="49">
        <f t="shared" si="17"/>
        <v>3.6954240764693096E-85</v>
      </c>
      <c r="M86" s="49">
        <f t="shared" si="17"/>
        <v>3.3471756608084025E-83</v>
      </c>
      <c r="N86" s="49">
        <f t="shared" si="17"/>
        <v>2.7482639441337489E-81</v>
      </c>
      <c r="O86" s="49">
        <f t="shared" si="17"/>
        <v>2.0595679535126797E-79</v>
      </c>
      <c r="P86" s="49">
        <f t="shared" si="17"/>
        <v>1.4169461057283321E-77</v>
      </c>
      <c r="Q86" s="49">
        <f t="shared" si="17"/>
        <v>8.9940353676863181E-76</v>
      </c>
      <c r="R86" s="49">
        <f t="shared" si="17"/>
        <v>5.2900058810884861E-74</v>
      </c>
      <c r="S86" s="49">
        <f t="shared" si="17"/>
        <v>2.8939977846293524E-72</v>
      </c>
      <c r="T86" s="49">
        <f t="shared" si="17"/>
        <v>1.4774916526010877E-70</v>
      </c>
      <c r="U86" s="49">
        <f t="shared" si="17"/>
        <v>7.0601946329880897E-69</v>
      </c>
      <c r="V86" s="49">
        <f t="shared" si="17"/>
        <v>3.1660210387441925E-67</v>
      </c>
      <c r="W86" s="47">
        <v>0.91700000000000004</v>
      </c>
    </row>
    <row r="87" spans="2:23" x14ac:dyDescent="0.25">
      <c r="B87" s="49">
        <f t="shared" si="16"/>
        <v>2.5608617801498678E-108</v>
      </c>
      <c r="C87" s="49">
        <f t="shared" si="16"/>
        <v>2.7978650481744503E-105</v>
      </c>
      <c r="D87" s="49">
        <f t="shared" si="16"/>
        <v>1.5131301378513674E-102</v>
      </c>
      <c r="E87" s="49">
        <f t="shared" si="16"/>
        <v>5.4004429912942121E-100</v>
      </c>
      <c r="F87" s="49">
        <f t="shared" si="16"/>
        <v>1.4308485135772883E-97</v>
      </c>
      <c r="G87" s="49">
        <f t="shared" si="16"/>
        <v>3.0015940115742191E-95</v>
      </c>
      <c r="H87" s="49">
        <f t="shared" si="16"/>
        <v>5.1926160641102947E-93</v>
      </c>
      <c r="I87" s="49">
        <f t="shared" si="16"/>
        <v>7.6187389880262729E-91</v>
      </c>
      <c r="J87" s="49">
        <f t="shared" si="16"/>
        <v>9.6771755856044699E-89</v>
      </c>
      <c r="K87" s="49">
        <f t="shared" si="16"/>
        <v>1.0808672229815065E-86</v>
      </c>
      <c r="L87" s="49">
        <f t="shared" si="17"/>
        <v>1.0747274866895113E-84</v>
      </c>
      <c r="M87" s="49">
        <f t="shared" si="17"/>
        <v>9.6081414442377734E-83</v>
      </c>
      <c r="N87" s="49">
        <f t="shared" si="17"/>
        <v>7.7865727538588317E-81</v>
      </c>
      <c r="O87" s="49">
        <f t="shared" si="17"/>
        <v>5.7595860608417783E-79</v>
      </c>
      <c r="P87" s="49">
        <f t="shared" si="17"/>
        <v>3.9110731905884046E-77</v>
      </c>
      <c r="Q87" s="49">
        <f t="shared" si="17"/>
        <v>2.4503318117787391E-75</v>
      </c>
      <c r="R87" s="49">
        <f t="shared" si="17"/>
        <v>1.4225069473066171E-73</v>
      </c>
      <c r="S87" s="49">
        <f t="shared" si="17"/>
        <v>7.6811211451470491E-72</v>
      </c>
      <c r="T87" s="49">
        <f t="shared" si="17"/>
        <v>3.8706142267953085E-70</v>
      </c>
      <c r="U87" s="49">
        <f t="shared" si="17"/>
        <v>1.8255772696670023E-68</v>
      </c>
      <c r="V87" s="49">
        <f t="shared" si="17"/>
        <v>8.0802780510101161E-67</v>
      </c>
      <c r="W87" s="47">
        <v>0.91600000000000004</v>
      </c>
    </row>
    <row r="88" spans="2:23" x14ac:dyDescent="0.25">
      <c r="B88" s="49">
        <f t="shared" si="16"/>
        <v>8.3676050515476744E-108</v>
      </c>
      <c r="C88" s="49">
        <f t="shared" si="16"/>
        <v>9.0245993855042733E-105</v>
      </c>
      <c r="D88" s="49">
        <f t="shared" si="16"/>
        <v>4.8179662020616453E-102</v>
      </c>
      <c r="E88" s="49">
        <f t="shared" si="16"/>
        <v>1.6974747400027072E-99</v>
      </c>
      <c r="F88" s="49">
        <f t="shared" si="16"/>
        <v>4.4397061855008985E-97</v>
      </c>
      <c r="G88" s="49">
        <f t="shared" si="16"/>
        <v>9.1938907490823624E-95</v>
      </c>
      <c r="H88" s="49">
        <f t="shared" si="16"/>
        <v>1.5700757173102024E-92</v>
      </c>
      <c r="I88" s="49">
        <f t="shared" si="16"/>
        <v>2.2740743547483554E-90</v>
      </c>
      <c r="J88" s="49">
        <f t="shared" si="16"/>
        <v>2.851396140346357E-88</v>
      </c>
      <c r="K88" s="49">
        <f t="shared" si="16"/>
        <v>3.1439009098101685E-86</v>
      </c>
      <c r="L88" s="49">
        <f t="shared" si="17"/>
        <v>3.0859055149267365E-84</v>
      </c>
      <c r="M88" s="49">
        <f t="shared" si="17"/>
        <v>2.7234012206049233E-82</v>
      </c>
      <c r="N88" s="49">
        <f t="shared" si="17"/>
        <v>2.1787468328574909E-80</v>
      </c>
      <c r="O88" s="49">
        <f t="shared" si="17"/>
        <v>1.590889793049703E-78</v>
      </c>
      <c r="P88" s="49">
        <f t="shared" si="17"/>
        <v>1.0664325468374248E-76</v>
      </c>
      <c r="Q88" s="49">
        <f t="shared" si="17"/>
        <v>6.5955527896562409E-75</v>
      </c>
      <c r="R88" s="49">
        <f t="shared" si="17"/>
        <v>3.7798084407079042E-73</v>
      </c>
      <c r="S88" s="49">
        <f t="shared" si="17"/>
        <v>2.0147879558428881E-71</v>
      </c>
      <c r="T88" s="49">
        <f t="shared" si="17"/>
        <v>1.0022457175301069E-69</v>
      </c>
      <c r="U88" s="49">
        <f t="shared" si="17"/>
        <v>4.6664260786880786E-68</v>
      </c>
      <c r="V88" s="49">
        <f t="shared" si="17"/>
        <v>2.0389219248355424E-66</v>
      </c>
      <c r="W88" s="47">
        <v>0.91500000000000004</v>
      </c>
    </row>
    <row r="89" spans="2:23" x14ac:dyDescent="0.25">
      <c r="B89" s="49">
        <f t="shared" si="16"/>
        <v>2.6964908773783231E-107</v>
      </c>
      <c r="C89" s="49">
        <f t="shared" si="16"/>
        <v>2.8712537253450014E-104</v>
      </c>
      <c r="D89" s="49">
        <f t="shared" si="16"/>
        <v>1.513398886140212E-101</v>
      </c>
      <c r="E89" s="49">
        <f t="shared" si="16"/>
        <v>5.2642822918650805E-99</v>
      </c>
      <c r="F89" s="49">
        <f t="shared" si="16"/>
        <v>1.3593661134407871E-96</v>
      </c>
      <c r="G89" s="49">
        <f t="shared" si="16"/>
        <v>2.7792530047490408E-94</v>
      </c>
      <c r="H89" s="49">
        <f t="shared" si="16"/>
        <v>4.685932814141604E-92</v>
      </c>
      <c r="I89" s="49">
        <f t="shared" si="16"/>
        <v>6.7008056389330112E-90</v>
      </c>
      <c r="J89" s="49">
        <f t="shared" si="16"/>
        <v>8.2952027824630821E-88</v>
      </c>
      <c r="K89" s="49">
        <f t="shared" si="16"/>
        <v>9.0299549276685827E-86</v>
      </c>
      <c r="L89" s="49">
        <f t="shared" si="17"/>
        <v>8.7507815145042026E-84</v>
      </c>
      <c r="M89" s="49">
        <f t="shared" si="17"/>
        <v>7.6247135388776491E-82</v>
      </c>
      <c r="N89" s="49">
        <f t="shared" si="17"/>
        <v>6.0223580409968394E-80</v>
      </c>
      <c r="O89" s="49">
        <f t="shared" si="17"/>
        <v>4.3415820582168012E-78</v>
      </c>
      <c r="P89" s="49">
        <f t="shared" si="17"/>
        <v>2.8733573964070692E-76</v>
      </c>
      <c r="Q89" s="49">
        <f t="shared" si="17"/>
        <v>1.7545107218198085E-74</v>
      </c>
      <c r="R89" s="49">
        <f t="shared" si="17"/>
        <v>9.9271234347662735E-73</v>
      </c>
      <c r="S89" s="49">
        <f t="shared" si="17"/>
        <v>5.2243471505345275E-71</v>
      </c>
      <c r="T89" s="49">
        <f t="shared" si="17"/>
        <v>2.5658200402172435E-69</v>
      </c>
      <c r="U89" s="49">
        <f t="shared" si="17"/>
        <v>1.1794673864533057E-67</v>
      </c>
      <c r="V89" s="49">
        <f t="shared" si="17"/>
        <v>5.088057067572644E-66</v>
      </c>
      <c r="W89" s="47">
        <v>0.91400000000000003</v>
      </c>
    </row>
    <row r="90" spans="2:23" x14ac:dyDescent="0.25">
      <c r="B90" s="49">
        <f t="shared" si="16"/>
        <v>8.5727208576317389E-107</v>
      </c>
      <c r="C90" s="49">
        <f t="shared" si="16"/>
        <v>9.0135419652767628E-104</v>
      </c>
      <c r="D90" s="49">
        <f t="shared" si="16"/>
        <v>4.6911754114519442E-101</v>
      </c>
      <c r="E90" s="49">
        <f t="shared" si="16"/>
        <v>1.6112834550482065E-98</v>
      </c>
      <c r="F90" s="49">
        <f t="shared" si="16"/>
        <v>4.1084111916109284E-96</v>
      </c>
      <c r="G90" s="49">
        <f t="shared" si="16"/>
        <v>8.2941218040112815E-94</v>
      </c>
      <c r="H90" s="49">
        <f t="shared" si="16"/>
        <v>1.3808402023677945E-91</v>
      </c>
      <c r="I90" s="49">
        <f t="shared" si="16"/>
        <v>1.9497530592838607E-89</v>
      </c>
      <c r="J90" s="49">
        <f t="shared" si="16"/>
        <v>2.3833345515306945E-87</v>
      </c>
      <c r="K90" s="49">
        <f t="shared" si="16"/>
        <v>2.5618234146453675E-85</v>
      </c>
      <c r="L90" s="49">
        <f t="shared" si="17"/>
        <v>2.451411696732534E-83</v>
      </c>
      <c r="M90" s="49">
        <f t="shared" si="17"/>
        <v>2.1091086587330801E-81</v>
      </c>
      <c r="N90" s="49">
        <f t="shared" si="17"/>
        <v>1.6449330031313373E-79</v>
      </c>
      <c r="O90" s="49">
        <f t="shared" si="17"/>
        <v>1.1709439107223498E-77</v>
      </c>
      <c r="P90" s="49">
        <f t="shared" si="17"/>
        <v>7.6521660506275624E-76</v>
      </c>
      <c r="Q90" s="49">
        <f t="shared" si="17"/>
        <v>4.6137881811515875E-74</v>
      </c>
      <c r="R90" s="49">
        <f t="shared" si="17"/>
        <v>2.5776988179742168E-72</v>
      </c>
      <c r="S90" s="49">
        <f t="shared" si="17"/>
        <v>1.3395167438764397E-70</v>
      </c>
      <c r="T90" s="49">
        <f t="shared" si="17"/>
        <v>6.4960585787853851E-69</v>
      </c>
      <c r="U90" s="49">
        <f t="shared" si="17"/>
        <v>2.9486115134624878E-67</v>
      </c>
      <c r="V90" s="49">
        <f t="shared" si="17"/>
        <v>1.2560060850657093E-65</v>
      </c>
      <c r="W90" s="47">
        <v>0.91300000000000003</v>
      </c>
    </row>
    <row r="91" spans="2:23" x14ac:dyDescent="0.25">
      <c r="B91" s="49">
        <f t="shared" si="16"/>
        <v>2.689643862245416E-106</v>
      </c>
      <c r="C91" s="49">
        <f t="shared" si="16"/>
        <v>2.7927544231926807E-103</v>
      </c>
      <c r="D91" s="49">
        <f t="shared" si="16"/>
        <v>1.4354242037749193E-100</v>
      </c>
      <c r="E91" s="49">
        <f t="shared" si="16"/>
        <v>4.8689132373569967E-98</v>
      </c>
      <c r="F91" s="49">
        <f t="shared" si="16"/>
        <v>1.2260146415453761E-95</v>
      </c>
      <c r="G91" s="49">
        <f t="shared" si="16"/>
        <v>2.4442971502698279E-93</v>
      </c>
      <c r="H91" s="49">
        <f t="shared" si="16"/>
        <v>4.0187318902870677E-91</v>
      </c>
      <c r="I91" s="49">
        <f t="shared" si="16"/>
        <v>5.6038618717963335E-89</v>
      </c>
      <c r="J91" s="49">
        <f t="shared" si="16"/>
        <v>6.7648038675822244E-87</v>
      </c>
      <c r="K91" s="49">
        <f t="shared" si="16"/>
        <v>7.1809511658196722E-85</v>
      </c>
      <c r="L91" s="49">
        <f t="shared" si="17"/>
        <v>6.7859681502536539E-83</v>
      </c>
      <c r="M91" s="49">
        <f t="shared" si="17"/>
        <v>5.765772493043693E-81</v>
      </c>
      <c r="N91" s="49">
        <f t="shared" si="17"/>
        <v>4.4408893814242111E-79</v>
      </c>
      <c r="O91" s="49">
        <f t="shared" si="17"/>
        <v>3.121916215884204E-77</v>
      </c>
      <c r="P91" s="49">
        <f t="shared" si="17"/>
        <v>2.0148056902430785E-75</v>
      </c>
      <c r="Q91" s="49">
        <f t="shared" si="17"/>
        <v>1.1996934741206545E-73</v>
      </c>
      <c r="R91" s="49">
        <f t="shared" si="17"/>
        <v>6.6192519781799225E-72</v>
      </c>
      <c r="S91" s="49">
        <f t="shared" si="17"/>
        <v>3.3969505827288436E-70</v>
      </c>
      <c r="T91" s="49">
        <f t="shared" si="17"/>
        <v>1.6268803262023376E-68</v>
      </c>
      <c r="U91" s="49">
        <f t="shared" si="17"/>
        <v>7.2926955599618726E-67</v>
      </c>
      <c r="V91" s="49">
        <f t="shared" si="17"/>
        <v>3.0678024587750681E-65</v>
      </c>
      <c r="W91" s="47">
        <v>0.91200000000000003</v>
      </c>
    </row>
    <row r="92" spans="2:23" x14ac:dyDescent="0.25">
      <c r="B92" s="49">
        <f t="shared" si="16"/>
        <v>8.3302322057608202E-106</v>
      </c>
      <c r="C92" s="49">
        <f t="shared" si="16"/>
        <v>8.5430298576431053E-103</v>
      </c>
      <c r="D92" s="49">
        <f t="shared" si="16"/>
        <v>4.3368704486830342E-100</v>
      </c>
      <c r="E92" s="49">
        <f t="shared" si="16"/>
        <v>1.452932348880357E-97</v>
      </c>
      <c r="F92" s="49">
        <f t="shared" si="16"/>
        <v>3.6134858394068239E-95</v>
      </c>
      <c r="G92" s="49">
        <f t="shared" si="16"/>
        <v>7.1154474916920745E-93</v>
      </c>
      <c r="H92" s="49">
        <f t="shared" si="16"/>
        <v>1.155460075949118E-90</v>
      </c>
      <c r="I92" s="49">
        <f t="shared" si="16"/>
        <v>1.5913701575059168E-88</v>
      </c>
      <c r="J92" s="49">
        <f t="shared" si="16"/>
        <v>1.8973919838634007E-86</v>
      </c>
      <c r="K92" s="49">
        <f t="shared" si="16"/>
        <v>1.9893082411773537E-84</v>
      </c>
      <c r="L92" s="49">
        <f t="shared" si="17"/>
        <v>1.8567369488175664E-82</v>
      </c>
      <c r="M92" s="49">
        <f t="shared" si="17"/>
        <v>1.5581695845486258E-80</v>
      </c>
      <c r="N92" s="49">
        <f t="shared" si="17"/>
        <v>1.1853484693675121E-78</v>
      </c>
      <c r="O92" s="49">
        <f t="shared" si="17"/>
        <v>8.230314174950433E-77</v>
      </c>
      <c r="P92" s="49">
        <f t="shared" si="17"/>
        <v>5.2462338257543036E-75</v>
      </c>
      <c r="Q92" s="49">
        <f t="shared" si="17"/>
        <v>3.0853490531541797E-73</v>
      </c>
      <c r="R92" s="49">
        <f t="shared" si="17"/>
        <v>1.6813676612690296E-71</v>
      </c>
      <c r="S92" s="49">
        <f t="shared" si="17"/>
        <v>8.5224216499383798E-70</v>
      </c>
      <c r="T92" s="49">
        <f t="shared" si="17"/>
        <v>4.0313421452022234E-68</v>
      </c>
      <c r="U92" s="49">
        <f t="shared" si="17"/>
        <v>1.7848538418768624E-66</v>
      </c>
      <c r="V92" s="49">
        <f t="shared" si="17"/>
        <v>7.4158810808036787E-65</v>
      </c>
      <c r="W92" s="47">
        <v>0.91100000000000003</v>
      </c>
    </row>
    <row r="93" spans="2:23" x14ac:dyDescent="0.25">
      <c r="B93" s="49">
        <f t="shared" ref="B93:K102" si="18">_xlfn.HYPGEOM.DIST(B$2,comau,tongtheN*$W93,tongtheN,TRUE)</f>
        <v>2.5475996395325955E-105</v>
      </c>
      <c r="C93" s="49">
        <f t="shared" si="18"/>
        <v>2.5808173157400062E-102</v>
      </c>
      <c r="D93" s="49">
        <f t="shared" si="18"/>
        <v>1.2941756312186029E-99</v>
      </c>
      <c r="E93" s="49">
        <f t="shared" si="18"/>
        <v>4.2828587945176752E-97</v>
      </c>
      <c r="F93" s="49">
        <f t="shared" si="18"/>
        <v>1.0521713749964789E-94</v>
      </c>
      <c r="G93" s="49">
        <f t="shared" si="18"/>
        <v>2.0466061684330675E-92</v>
      </c>
      <c r="H93" s="49">
        <f t="shared" si="18"/>
        <v>3.2829110630236266E-90</v>
      </c>
      <c r="I93" s="49">
        <f t="shared" si="18"/>
        <v>4.4662978049487998E-88</v>
      </c>
      <c r="J93" s="49">
        <f t="shared" si="18"/>
        <v>5.2602454711469033E-86</v>
      </c>
      <c r="K93" s="49">
        <f t="shared" si="18"/>
        <v>5.447831983684873E-84</v>
      </c>
      <c r="L93" s="49">
        <f t="shared" ref="L93:V102" si="19">_xlfn.HYPGEOM.DIST(L$2,comau,tongtheN*$W93,tongtheN,TRUE)</f>
        <v>5.0227883009337957E-82</v>
      </c>
      <c r="M93" s="49">
        <f t="shared" si="19"/>
        <v>4.1637274206186769E-80</v>
      </c>
      <c r="N93" s="49">
        <f t="shared" si="19"/>
        <v>3.1288654936897731E-78</v>
      </c>
      <c r="O93" s="49">
        <f t="shared" si="19"/>
        <v>2.1460051599456226E-76</v>
      </c>
      <c r="P93" s="49">
        <f t="shared" si="19"/>
        <v>1.3512500106506983E-74</v>
      </c>
      <c r="Q93" s="49">
        <f t="shared" si="19"/>
        <v>7.8499396587314396E-73</v>
      </c>
      <c r="R93" s="49">
        <f t="shared" si="19"/>
        <v>4.2257021986271248E-71</v>
      </c>
      <c r="S93" s="49">
        <f t="shared" si="19"/>
        <v>2.1157952628944351E-69</v>
      </c>
      <c r="T93" s="49">
        <f t="shared" si="19"/>
        <v>9.8863267232608007E-68</v>
      </c>
      <c r="U93" s="49">
        <f t="shared" si="19"/>
        <v>4.3237730952115467E-66</v>
      </c>
      <c r="V93" s="49">
        <f t="shared" si="19"/>
        <v>1.7745906866978802E-64</v>
      </c>
      <c r="W93" s="47">
        <v>0.91</v>
      </c>
    </row>
    <row r="94" spans="2:23" x14ac:dyDescent="0.25">
      <c r="B94" s="49">
        <f t="shared" si="18"/>
        <v>7.6955265118653078E-105</v>
      </c>
      <c r="C94" s="49">
        <f t="shared" si="18"/>
        <v>7.7017407865396515E-102</v>
      </c>
      <c r="D94" s="49">
        <f t="shared" si="18"/>
        <v>3.8154826736917745E-99</v>
      </c>
      <c r="E94" s="49">
        <f t="shared" si="18"/>
        <v>1.2474260859660994E-96</v>
      </c>
      <c r="F94" s="49">
        <f t="shared" si="18"/>
        <v>3.0275582948600258E-94</v>
      </c>
      <c r="G94" s="49">
        <f t="shared" si="18"/>
        <v>5.8178892391391587E-92</v>
      </c>
      <c r="H94" s="49">
        <f t="shared" si="18"/>
        <v>9.2196748018728752E-90</v>
      </c>
      <c r="I94" s="49">
        <f t="shared" si="18"/>
        <v>1.2391664875560116E-87</v>
      </c>
      <c r="J94" s="49">
        <f t="shared" si="18"/>
        <v>1.441828733609995E-85</v>
      </c>
      <c r="K94" s="49">
        <f t="shared" si="18"/>
        <v>1.475221538674616E-83</v>
      </c>
      <c r="L94" s="49">
        <f t="shared" si="19"/>
        <v>1.3437067069925331E-81</v>
      </c>
      <c r="M94" s="49">
        <f t="shared" si="19"/>
        <v>1.1004445789437985E-79</v>
      </c>
      <c r="N94" s="49">
        <f t="shared" si="19"/>
        <v>8.1695711736677102E-78</v>
      </c>
      <c r="O94" s="49">
        <f t="shared" si="19"/>
        <v>5.5356653254370025E-76</v>
      </c>
      <c r="P94" s="49">
        <f t="shared" si="19"/>
        <v>3.4435127253615837E-74</v>
      </c>
      <c r="Q94" s="49">
        <f t="shared" si="19"/>
        <v>1.9763299232467006E-72</v>
      </c>
      <c r="R94" s="49">
        <f t="shared" si="19"/>
        <v>1.0510403677823602E-70</v>
      </c>
      <c r="S94" s="49">
        <f t="shared" si="19"/>
        <v>5.1990234173812484E-69</v>
      </c>
      <c r="T94" s="49">
        <f t="shared" si="19"/>
        <v>2.3999984815644408E-67</v>
      </c>
      <c r="U94" s="49">
        <f t="shared" si="19"/>
        <v>1.0369720169554795E-65</v>
      </c>
      <c r="V94" s="49">
        <f t="shared" si="19"/>
        <v>4.2046586359583631E-64</v>
      </c>
      <c r="W94" s="47">
        <v>0.90900000000000003</v>
      </c>
    </row>
    <row r="95" spans="2:23" x14ac:dyDescent="0.25">
      <c r="B95" s="49">
        <f t="shared" si="18"/>
        <v>2.2966560172639314E-104</v>
      </c>
      <c r="C95" s="49">
        <f t="shared" si="18"/>
        <v>2.2710307530887688E-101</v>
      </c>
      <c r="D95" s="49">
        <f t="shared" si="18"/>
        <v>1.1116300176258135E-98</v>
      </c>
      <c r="E95" s="49">
        <f t="shared" si="18"/>
        <v>3.5908926940215606E-96</v>
      </c>
      <c r="F95" s="49">
        <f t="shared" si="18"/>
        <v>8.611069870383995E-94</v>
      </c>
      <c r="G95" s="49">
        <f t="shared" si="18"/>
        <v>1.6349603053175096E-91</v>
      </c>
      <c r="H95" s="49">
        <f t="shared" si="18"/>
        <v>2.5599690124493706E-89</v>
      </c>
      <c r="I95" s="49">
        <f t="shared" si="18"/>
        <v>3.3995880006137146E-87</v>
      </c>
      <c r="J95" s="49">
        <f t="shared" si="18"/>
        <v>3.9083010777564388E-85</v>
      </c>
      <c r="K95" s="49">
        <f t="shared" si="18"/>
        <v>3.9510222935650412E-83</v>
      </c>
      <c r="L95" s="49">
        <f t="shared" si="19"/>
        <v>3.5557794550226644E-81</v>
      </c>
      <c r="M95" s="49">
        <f t="shared" si="19"/>
        <v>2.8772447385958275E-79</v>
      </c>
      <c r="N95" s="49">
        <f t="shared" si="19"/>
        <v>2.1105050510852486E-77</v>
      </c>
      <c r="O95" s="49">
        <f t="shared" si="19"/>
        <v>1.412978914666344E-75</v>
      </c>
      <c r="P95" s="49">
        <f t="shared" si="19"/>
        <v>8.6845333775752785E-74</v>
      </c>
      <c r="Q95" s="49">
        <f t="shared" si="19"/>
        <v>4.9247411842138145E-72</v>
      </c>
      <c r="R95" s="49">
        <f t="shared" si="19"/>
        <v>2.5877526704116601E-70</v>
      </c>
      <c r="S95" s="49">
        <f t="shared" si="19"/>
        <v>1.2647502936173889E-68</v>
      </c>
      <c r="T95" s="49">
        <f t="shared" si="19"/>
        <v>5.7686458747212288E-67</v>
      </c>
      <c r="U95" s="49">
        <f t="shared" si="19"/>
        <v>2.4626920340158684E-65</v>
      </c>
      <c r="V95" s="49">
        <f t="shared" si="19"/>
        <v>9.8662981535585667E-64</v>
      </c>
      <c r="W95" s="47">
        <v>0.90800000000000003</v>
      </c>
    </row>
    <row r="96" spans="2:23" x14ac:dyDescent="0.25">
      <c r="B96" s="49">
        <f t="shared" si="18"/>
        <v>6.7735693336379804E-104</v>
      </c>
      <c r="C96" s="49">
        <f t="shared" si="18"/>
        <v>6.6186899312781686E-101</v>
      </c>
      <c r="D96" s="49">
        <f t="shared" si="18"/>
        <v>3.2013771359051198E-98</v>
      </c>
      <c r="E96" s="49">
        <f t="shared" si="18"/>
        <v>1.0218960397666606E-95</v>
      </c>
      <c r="F96" s="49">
        <f t="shared" si="18"/>
        <v>2.4215268244241616E-93</v>
      </c>
      <c r="G96" s="49">
        <f t="shared" si="18"/>
        <v>4.5432583974596778E-91</v>
      </c>
      <c r="H96" s="49">
        <f t="shared" si="18"/>
        <v>7.0294794055077475E-89</v>
      </c>
      <c r="I96" s="49">
        <f t="shared" si="18"/>
        <v>9.2245067357775397E-87</v>
      </c>
      <c r="J96" s="49">
        <f t="shared" si="18"/>
        <v>1.0479328935819196E-84</v>
      </c>
      <c r="K96" s="49">
        <f t="shared" si="18"/>
        <v>1.0468482385606011E-82</v>
      </c>
      <c r="L96" s="49">
        <f t="shared" si="19"/>
        <v>9.3097505620228059E-81</v>
      </c>
      <c r="M96" s="49">
        <f t="shared" si="19"/>
        <v>7.4440488988277092E-79</v>
      </c>
      <c r="N96" s="49">
        <f t="shared" si="19"/>
        <v>5.3957050359670035E-77</v>
      </c>
      <c r="O96" s="49">
        <f t="shared" si="19"/>
        <v>3.5696619598433492E-75</v>
      </c>
      <c r="P96" s="49">
        <f t="shared" si="19"/>
        <v>2.1680421686562085E-73</v>
      </c>
      <c r="Q96" s="49">
        <f t="shared" si="19"/>
        <v>1.2148836898692596E-71</v>
      </c>
      <c r="R96" s="49">
        <f t="shared" si="19"/>
        <v>6.3081838778422924E-70</v>
      </c>
      <c r="S96" s="49">
        <f t="shared" si="19"/>
        <v>3.0466102482989577E-68</v>
      </c>
      <c r="T96" s="49">
        <f t="shared" si="19"/>
        <v>1.3731461724564568E-66</v>
      </c>
      <c r="U96" s="49">
        <f t="shared" si="19"/>
        <v>5.7927400195382382E-65</v>
      </c>
      <c r="V96" s="49">
        <f t="shared" si="19"/>
        <v>2.2932926348465286E-63</v>
      </c>
      <c r="W96" s="47">
        <v>0.90700000000000003</v>
      </c>
    </row>
    <row r="97" spans="2:23" x14ac:dyDescent="0.25">
      <c r="B97" s="49">
        <f t="shared" si="18"/>
        <v>1.9747545928090745E-103</v>
      </c>
      <c r="C97" s="49">
        <f t="shared" si="18"/>
        <v>1.906973994441707E-100</v>
      </c>
      <c r="D97" s="49">
        <f t="shared" si="18"/>
        <v>9.115634733817085E-98</v>
      </c>
      <c r="E97" s="49">
        <f t="shared" si="18"/>
        <v>2.8756385379527626E-95</v>
      </c>
      <c r="F97" s="49">
        <f t="shared" si="18"/>
        <v>6.7343321586139331E-93</v>
      </c>
      <c r="G97" s="49">
        <f t="shared" si="18"/>
        <v>1.2486781948129554E-90</v>
      </c>
      <c r="H97" s="49">
        <f t="shared" si="18"/>
        <v>1.9093443876813759E-88</v>
      </c>
      <c r="I97" s="49">
        <f t="shared" si="18"/>
        <v>2.4761813866197246E-86</v>
      </c>
      <c r="J97" s="49">
        <f t="shared" si="18"/>
        <v>2.7800407147795407E-84</v>
      </c>
      <c r="K97" s="49">
        <f t="shared" si="18"/>
        <v>2.7446058328550949E-82</v>
      </c>
      <c r="L97" s="49">
        <f t="shared" si="19"/>
        <v>2.4121986365362273E-80</v>
      </c>
      <c r="M97" s="49">
        <f t="shared" si="19"/>
        <v>1.9061769281283376E-78</v>
      </c>
      <c r="N97" s="49">
        <f t="shared" si="19"/>
        <v>1.3654675000904001E-76</v>
      </c>
      <c r="O97" s="49">
        <f t="shared" si="19"/>
        <v>8.9277012426441644E-75</v>
      </c>
      <c r="P97" s="49">
        <f t="shared" si="19"/>
        <v>5.3587055312973854E-73</v>
      </c>
      <c r="Q97" s="49">
        <f t="shared" si="19"/>
        <v>2.9676091853440723E-71</v>
      </c>
      <c r="R97" s="49">
        <f t="shared" si="19"/>
        <v>1.5228475232729328E-69</v>
      </c>
      <c r="S97" s="49">
        <f t="shared" si="19"/>
        <v>7.2685752392105213E-68</v>
      </c>
      <c r="T97" s="49">
        <f t="shared" si="19"/>
        <v>3.2376487246536494E-66</v>
      </c>
      <c r="U97" s="49">
        <f t="shared" si="19"/>
        <v>1.3498260905075515E-64</v>
      </c>
      <c r="V97" s="49">
        <f t="shared" si="19"/>
        <v>5.2812210914388802E-63</v>
      </c>
      <c r="W97" s="47">
        <v>0.90600000000000003</v>
      </c>
    </row>
    <row r="98" spans="2:23" x14ac:dyDescent="0.25">
      <c r="B98" s="49">
        <f t="shared" si="18"/>
        <v>5.6923163879923809E-103</v>
      </c>
      <c r="C98" s="49">
        <f t="shared" si="18"/>
        <v>5.4330859278222728E-100</v>
      </c>
      <c r="D98" s="49">
        <f t="shared" si="18"/>
        <v>2.5669344617939123E-97</v>
      </c>
      <c r="E98" s="49">
        <f t="shared" si="18"/>
        <v>8.0036554783280747E-95</v>
      </c>
      <c r="F98" s="49">
        <f t="shared" si="18"/>
        <v>1.8525716550731124E-92</v>
      </c>
      <c r="G98" s="49">
        <f t="shared" si="18"/>
        <v>3.3951390882486413E-90</v>
      </c>
      <c r="H98" s="49">
        <f t="shared" si="18"/>
        <v>5.1311894302414196E-88</v>
      </c>
      <c r="I98" s="49">
        <f t="shared" si="18"/>
        <v>6.5772318260722457E-86</v>
      </c>
      <c r="J98" s="49">
        <f t="shared" si="18"/>
        <v>7.298589733357096E-84</v>
      </c>
      <c r="K98" s="49">
        <f t="shared" si="18"/>
        <v>7.1218868253012548E-82</v>
      </c>
      <c r="L98" s="49">
        <f t="shared" si="19"/>
        <v>6.1866513154259946E-80</v>
      </c>
      <c r="M98" s="49">
        <f t="shared" si="19"/>
        <v>4.8320727866121507E-78</v>
      </c>
      <c r="N98" s="49">
        <f t="shared" si="19"/>
        <v>3.4212083305979642E-76</v>
      </c>
      <c r="O98" s="49">
        <f t="shared" si="19"/>
        <v>2.2108837581710632E-74</v>
      </c>
      <c r="P98" s="49">
        <f t="shared" si="19"/>
        <v>1.3116394820586923E-72</v>
      </c>
      <c r="Q98" s="49">
        <f t="shared" si="19"/>
        <v>7.1794280911592924E-71</v>
      </c>
      <c r="R98" s="49">
        <f t="shared" si="19"/>
        <v>3.6413997166012273E-69</v>
      </c>
      <c r="S98" s="49">
        <f t="shared" si="19"/>
        <v>1.7178698389354225E-67</v>
      </c>
      <c r="T98" s="49">
        <f t="shared" si="19"/>
        <v>7.5631022833593348E-66</v>
      </c>
      <c r="U98" s="49">
        <f t="shared" si="19"/>
        <v>3.116575167665492E-64</v>
      </c>
      <c r="V98" s="49">
        <f t="shared" si="19"/>
        <v>1.2052133843629427E-62</v>
      </c>
      <c r="W98" s="47">
        <v>0.90500000000000003</v>
      </c>
    </row>
    <row r="99" spans="2:23" x14ac:dyDescent="0.25">
      <c r="B99" s="49">
        <f t="shared" si="18"/>
        <v>1.6227377982303949E-102</v>
      </c>
      <c r="C99" s="49">
        <f t="shared" si="18"/>
        <v>1.5310151527384249E-99</v>
      </c>
      <c r="D99" s="49">
        <f t="shared" si="18"/>
        <v>7.150253630838529E-97</v>
      </c>
      <c r="E99" s="49">
        <f t="shared" si="18"/>
        <v>2.2037836944449032E-94</v>
      </c>
      <c r="F99" s="49">
        <f t="shared" si="18"/>
        <v>5.0423115148658331E-92</v>
      </c>
      <c r="G99" s="49">
        <f t="shared" si="18"/>
        <v>9.1345356950121186E-90</v>
      </c>
      <c r="H99" s="49">
        <f t="shared" si="18"/>
        <v>1.364650308224807E-87</v>
      </c>
      <c r="I99" s="49">
        <f t="shared" si="18"/>
        <v>1.7291038655226728E-85</v>
      </c>
      <c r="J99" s="49">
        <f t="shared" si="18"/>
        <v>1.896669545007676E-83</v>
      </c>
      <c r="K99" s="49">
        <f t="shared" si="18"/>
        <v>1.8294593465411397E-81</v>
      </c>
      <c r="L99" s="49">
        <f t="shared" si="19"/>
        <v>1.5709360507301986E-79</v>
      </c>
      <c r="M99" s="49">
        <f t="shared" si="19"/>
        <v>1.2128628856688802E-77</v>
      </c>
      <c r="N99" s="49">
        <f t="shared" si="19"/>
        <v>8.4885466387169513E-76</v>
      </c>
      <c r="O99" s="49">
        <f t="shared" si="19"/>
        <v>5.4224495497276251E-74</v>
      </c>
      <c r="P99" s="49">
        <f t="shared" si="19"/>
        <v>3.1799486301245671E-72</v>
      </c>
      <c r="Q99" s="49">
        <f t="shared" si="19"/>
        <v>1.720567490326782E-70</v>
      </c>
      <c r="R99" s="49">
        <f t="shared" si="19"/>
        <v>8.6263423683202324E-69</v>
      </c>
      <c r="S99" s="49">
        <f t="shared" si="19"/>
        <v>4.0227709706524043E-67</v>
      </c>
      <c r="T99" s="49">
        <f t="shared" si="19"/>
        <v>1.7507010535068802E-65</v>
      </c>
      <c r="U99" s="49">
        <f t="shared" si="19"/>
        <v>7.1312695244606601E-64</v>
      </c>
      <c r="V99" s="49">
        <f t="shared" si="19"/>
        <v>2.7260303373874536E-62</v>
      </c>
      <c r="W99" s="47">
        <v>0.90400000000000003</v>
      </c>
    </row>
    <row r="100" spans="2:23" x14ac:dyDescent="0.25">
      <c r="B100" s="49">
        <f t="shared" si="18"/>
        <v>4.5760521754434071E-102</v>
      </c>
      <c r="C100" s="49">
        <f t="shared" si="18"/>
        <v>4.2681766551891939E-99</v>
      </c>
      <c r="D100" s="49">
        <f t="shared" si="18"/>
        <v>1.970628607398817E-96</v>
      </c>
      <c r="E100" s="49">
        <f t="shared" si="18"/>
        <v>6.0044454169999091E-94</v>
      </c>
      <c r="F100" s="49">
        <f t="shared" si="18"/>
        <v>1.3581707524683616E-91</v>
      </c>
      <c r="G100" s="49">
        <f t="shared" si="18"/>
        <v>2.4323838597784849E-89</v>
      </c>
      <c r="H100" s="49">
        <f t="shared" si="18"/>
        <v>3.5924284108225388E-87</v>
      </c>
      <c r="I100" s="49">
        <f t="shared" si="18"/>
        <v>4.4999647772921655E-85</v>
      </c>
      <c r="J100" s="49">
        <f t="shared" si="18"/>
        <v>4.8797904811863441E-83</v>
      </c>
      <c r="K100" s="49">
        <f t="shared" si="18"/>
        <v>4.6532236779769908E-81</v>
      </c>
      <c r="L100" s="49">
        <f t="shared" si="19"/>
        <v>3.9501312725052656E-79</v>
      </c>
      <c r="M100" s="49">
        <f t="shared" si="19"/>
        <v>3.0149963149250184E-77</v>
      </c>
      <c r="N100" s="49">
        <f t="shared" si="19"/>
        <v>2.0860786664110795E-75</v>
      </c>
      <c r="O100" s="49">
        <f t="shared" si="19"/>
        <v>1.3173929628445034E-73</v>
      </c>
      <c r="P100" s="49">
        <f t="shared" si="19"/>
        <v>7.6377004245113763E-72</v>
      </c>
      <c r="Q100" s="49">
        <f t="shared" si="19"/>
        <v>4.0854241490834519E-70</v>
      </c>
      <c r="R100" s="49">
        <f t="shared" si="19"/>
        <v>2.0249545844540162E-68</v>
      </c>
      <c r="S100" s="49">
        <f t="shared" si="19"/>
        <v>9.3354939947207404E-67</v>
      </c>
      <c r="T100" s="49">
        <f t="shared" si="19"/>
        <v>4.0164987836124225E-65</v>
      </c>
      <c r="U100" s="49">
        <f t="shared" si="19"/>
        <v>1.6174333994200333E-63</v>
      </c>
      <c r="V100" s="49">
        <f t="shared" si="19"/>
        <v>6.1124373176794784E-62</v>
      </c>
      <c r="W100" s="47">
        <v>0.90300000000000002</v>
      </c>
    </row>
    <row r="101" spans="2:23" x14ac:dyDescent="0.25">
      <c r="B101" s="49">
        <f t="shared" si="18"/>
        <v>1.2767729508264087E-101</v>
      </c>
      <c r="C101" s="49">
        <f t="shared" si="18"/>
        <v>1.1774191393771369E-98</v>
      </c>
      <c r="D101" s="49">
        <f t="shared" si="18"/>
        <v>5.3747670258335676E-96</v>
      </c>
      <c r="E101" s="49">
        <f t="shared" si="18"/>
        <v>1.6191760780992474E-93</v>
      </c>
      <c r="F101" s="49">
        <f t="shared" si="18"/>
        <v>3.6211126289446079E-91</v>
      </c>
      <c r="G101" s="49">
        <f t="shared" si="18"/>
        <v>6.4118953114666947E-89</v>
      </c>
      <c r="H101" s="49">
        <f t="shared" si="18"/>
        <v>9.3628756824653643E-87</v>
      </c>
      <c r="I101" s="49">
        <f t="shared" si="18"/>
        <v>1.1595707516667446E-84</v>
      </c>
      <c r="J101" s="49">
        <f t="shared" si="18"/>
        <v>1.2432443684211322E-82</v>
      </c>
      <c r="K101" s="49">
        <f t="shared" si="18"/>
        <v>1.1721322915292532E-80</v>
      </c>
      <c r="L101" s="49">
        <f t="shared" si="19"/>
        <v>9.8378863377229587E-79</v>
      </c>
      <c r="M101" s="49">
        <f t="shared" si="19"/>
        <v>7.4241173663004267E-77</v>
      </c>
      <c r="N101" s="49">
        <f t="shared" si="19"/>
        <v>5.0787484491412219E-75</v>
      </c>
      <c r="O101" s="49">
        <f t="shared" si="19"/>
        <v>3.1710971761742432E-73</v>
      </c>
      <c r="P101" s="49">
        <f t="shared" si="19"/>
        <v>1.8177127017920378E-71</v>
      </c>
      <c r="Q101" s="49">
        <f t="shared" si="19"/>
        <v>9.613209588476247E-70</v>
      </c>
      <c r="R101" s="49">
        <f t="shared" si="19"/>
        <v>4.7110250995648157E-68</v>
      </c>
      <c r="S101" s="49">
        <f t="shared" si="19"/>
        <v>2.1473683528633614E-66</v>
      </c>
      <c r="T101" s="49">
        <f t="shared" si="19"/>
        <v>9.1345308810741929E-65</v>
      </c>
      <c r="U101" s="49">
        <f t="shared" si="19"/>
        <v>3.6369274590081708E-63</v>
      </c>
      <c r="V101" s="49">
        <f t="shared" si="19"/>
        <v>1.358915781645649E-61</v>
      </c>
      <c r="W101" s="47">
        <v>0.90200000000000002</v>
      </c>
    </row>
    <row r="102" spans="2:23" x14ac:dyDescent="0.25">
      <c r="B102" s="49">
        <f t="shared" si="18"/>
        <v>3.5254155561648079E-101</v>
      </c>
      <c r="C102" s="49">
        <f t="shared" si="18"/>
        <v>3.2146856411024092E-98</v>
      </c>
      <c r="D102" s="49">
        <f t="shared" si="18"/>
        <v>1.4510353594517356E-95</v>
      </c>
      <c r="E102" s="49">
        <f t="shared" si="18"/>
        <v>4.3223857528262591E-93</v>
      </c>
      <c r="F102" s="49">
        <f t="shared" si="18"/>
        <v>9.5583457137468859E-91</v>
      </c>
      <c r="G102" s="49">
        <f t="shared" si="18"/>
        <v>1.6735494535589372E-88</v>
      </c>
      <c r="H102" s="49">
        <f t="shared" si="18"/>
        <v>2.4164231297497958E-86</v>
      </c>
      <c r="I102" s="49">
        <f t="shared" si="18"/>
        <v>2.9591893660333878E-84</v>
      </c>
      <c r="J102" s="49">
        <f t="shared" si="18"/>
        <v>3.1372127220433131E-82</v>
      </c>
      <c r="K102" s="49">
        <f t="shared" si="18"/>
        <v>2.9246658083945845E-80</v>
      </c>
      <c r="L102" s="49">
        <f t="shared" si="19"/>
        <v>2.4272458245253273E-78</v>
      </c>
      <c r="M102" s="49">
        <f t="shared" si="19"/>
        <v>1.811212204878423E-76</v>
      </c>
      <c r="N102" s="49">
        <f t="shared" si="19"/>
        <v>1.22516324996978E-74</v>
      </c>
      <c r="O102" s="49">
        <f t="shared" si="19"/>
        <v>7.5641437503342669E-73</v>
      </c>
      <c r="P102" s="49">
        <f t="shared" si="19"/>
        <v>4.2873471353946993E-71</v>
      </c>
      <c r="Q102" s="49">
        <f t="shared" si="19"/>
        <v>2.2420496628181563E-69</v>
      </c>
      <c r="R102" s="49">
        <f t="shared" si="19"/>
        <v>1.0864403338779086E-67</v>
      </c>
      <c r="S102" s="49">
        <f t="shared" si="19"/>
        <v>4.896783439173293E-66</v>
      </c>
      <c r="T102" s="49">
        <f t="shared" si="19"/>
        <v>2.0597036347979716E-64</v>
      </c>
      <c r="U102" s="49">
        <f t="shared" si="19"/>
        <v>8.109004154492454E-63</v>
      </c>
      <c r="V102" s="49">
        <f t="shared" si="19"/>
        <v>2.9959881553980387E-61</v>
      </c>
      <c r="W102" s="47">
        <v>0.90100000000000002</v>
      </c>
    </row>
    <row r="103" spans="2:23" x14ac:dyDescent="0.25">
      <c r="B103" s="49">
        <f t="shared" ref="B103:K112" si="20">_xlfn.HYPGEOM.DIST(B$2,comau,tongtheN*$W103,tongtheN,TRUE)</f>
        <v>9.6354480318681491E-101</v>
      </c>
      <c r="C103" s="49">
        <f t="shared" si="20"/>
        <v>8.6886989040645498E-98</v>
      </c>
      <c r="D103" s="49">
        <f t="shared" si="20"/>
        <v>3.8783681266522935E-95</v>
      </c>
      <c r="E103" s="49">
        <f t="shared" si="20"/>
        <v>1.1424823846392332E-92</v>
      </c>
      <c r="F103" s="49">
        <f t="shared" si="20"/>
        <v>2.4984107758597974E-90</v>
      </c>
      <c r="G103" s="49">
        <f t="shared" si="20"/>
        <v>4.3258847958387743E-88</v>
      </c>
      <c r="H103" s="49">
        <f t="shared" si="20"/>
        <v>6.1768185762626922E-86</v>
      </c>
      <c r="I103" s="49">
        <f t="shared" si="20"/>
        <v>7.4803214251153052E-84</v>
      </c>
      <c r="J103" s="49">
        <f t="shared" si="20"/>
        <v>7.8423693679112385E-82</v>
      </c>
      <c r="K103" s="49">
        <f t="shared" si="20"/>
        <v>7.2299548649930434E-80</v>
      </c>
      <c r="L103" s="49">
        <f t="shared" ref="L103:V112" si="21">_xlfn.HYPGEOM.DIST(L$2,comau,tongtheN*$W103,tongtheN,TRUE)</f>
        <v>5.9337508572370667E-78</v>
      </c>
      <c r="M103" s="49">
        <f t="shared" si="21"/>
        <v>4.3786606420817044E-76</v>
      </c>
      <c r="N103" s="49">
        <f t="shared" si="21"/>
        <v>2.9290212713945344E-74</v>
      </c>
      <c r="O103" s="49">
        <f t="shared" si="21"/>
        <v>1.7883197126352864E-72</v>
      </c>
      <c r="P103" s="49">
        <f t="shared" si="21"/>
        <v>1.0023769792788063E-70</v>
      </c>
      <c r="Q103" s="49">
        <f t="shared" si="21"/>
        <v>5.1837605908554017E-69</v>
      </c>
      <c r="R103" s="49">
        <f t="shared" si="21"/>
        <v>2.484065791049897E-67</v>
      </c>
      <c r="S103" s="49">
        <f t="shared" si="21"/>
        <v>1.107199446471296E-65</v>
      </c>
      <c r="T103" s="49">
        <f t="shared" si="21"/>
        <v>4.6055096527225695E-64</v>
      </c>
      <c r="U103" s="49">
        <f t="shared" si="21"/>
        <v>1.7930761876828671E-62</v>
      </c>
      <c r="V103" s="49">
        <f t="shared" si="21"/>
        <v>6.5513354868818003E-61</v>
      </c>
      <c r="W103" s="47">
        <v>0.9</v>
      </c>
    </row>
    <row r="104" spans="2:23" x14ac:dyDescent="0.25">
      <c r="B104" s="49">
        <f t="shared" si="20"/>
        <v>2.607274529562577E-100</v>
      </c>
      <c r="C104" s="49">
        <f t="shared" si="20"/>
        <v>2.3252369493398608E-97</v>
      </c>
      <c r="D104" s="49">
        <f t="shared" si="20"/>
        <v>1.0265007521556166E-94</v>
      </c>
      <c r="E104" s="49">
        <f t="shared" si="20"/>
        <v>2.9905956007752029E-92</v>
      </c>
      <c r="F104" s="49">
        <f t="shared" si="20"/>
        <v>6.468001625680073E-90</v>
      </c>
      <c r="G104" s="49">
        <f t="shared" si="20"/>
        <v>1.1075911892426296E-87</v>
      </c>
      <c r="H104" s="49">
        <f t="shared" si="20"/>
        <v>1.5641119295490829E-85</v>
      </c>
      <c r="I104" s="49">
        <f t="shared" si="20"/>
        <v>1.8733626634954815E-83</v>
      </c>
      <c r="J104" s="49">
        <f t="shared" si="20"/>
        <v>1.942440367708875E-81</v>
      </c>
      <c r="K104" s="49">
        <f t="shared" si="20"/>
        <v>1.771066943507817E-79</v>
      </c>
      <c r="L104" s="49">
        <f t="shared" si="21"/>
        <v>1.437566295345242E-77</v>
      </c>
      <c r="M104" s="49">
        <f t="shared" si="21"/>
        <v>1.0491540109963714E-75</v>
      </c>
      <c r="N104" s="49">
        <f t="shared" si="21"/>
        <v>6.9409684923367454E-74</v>
      </c>
      <c r="O104" s="49">
        <f t="shared" si="21"/>
        <v>4.1912398366296601E-72</v>
      </c>
      <c r="P104" s="49">
        <f t="shared" si="21"/>
        <v>2.3234239152404494E-70</v>
      </c>
      <c r="Q104" s="49">
        <f t="shared" si="21"/>
        <v>1.1883450333499969E-68</v>
      </c>
      <c r="R104" s="49">
        <f t="shared" si="21"/>
        <v>5.6319812020614277E-67</v>
      </c>
      <c r="S104" s="49">
        <f t="shared" si="21"/>
        <v>2.4827025350564321E-65</v>
      </c>
      <c r="T104" s="49">
        <f t="shared" si="21"/>
        <v>1.0213568371763322E-63</v>
      </c>
      <c r="U104" s="49">
        <f t="shared" si="21"/>
        <v>3.9327811743336899E-62</v>
      </c>
      <c r="V104" s="49">
        <f t="shared" si="21"/>
        <v>1.4211253406980595E-60</v>
      </c>
      <c r="W104" s="47">
        <v>0.89900000000000002</v>
      </c>
    </row>
    <row r="105" spans="2:23" x14ac:dyDescent="0.25">
      <c r="B105" s="49">
        <f t="shared" si="20"/>
        <v>6.9861925228156627E-100</v>
      </c>
      <c r="C105" s="49">
        <f t="shared" si="20"/>
        <v>6.1625540640748434E-97</v>
      </c>
      <c r="D105" s="49">
        <f t="shared" si="20"/>
        <v>2.6908698544305702E-94</v>
      </c>
      <c r="E105" s="49">
        <f t="shared" si="20"/>
        <v>7.7540958569705701E-92</v>
      </c>
      <c r="F105" s="49">
        <f t="shared" si="20"/>
        <v>1.6587609904286506E-89</v>
      </c>
      <c r="G105" s="49">
        <f t="shared" si="20"/>
        <v>2.8095293351654288E-87</v>
      </c>
      <c r="H105" s="49">
        <f t="shared" si="20"/>
        <v>3.92430239754277E-85</v>
      </c>
      <c r="I105" s="49">
        <f t="shared" si="20"/>
        <v>4.648975248553114E-83</v>
      </c>
      <c r="J105" s="49">
        <f t="shared" si="20"/>
        <v>4.7678654134025765E-81</v>
      </c>
      <c r="K105" s="49">
        <f t="shared" si="20"/>
        <v>4.299840809824058E-79</v>
      </c>
      <c r="L105" s="49">
        <f t="shared" si="21"/>
        <v>3.4521255598080927E-77</v>
      </c>
      <c r="M105" s="49">
        <f t="shared" si="21"/>
        <v>2.4919507105195246E-75</v>
      </c>
      <c r="N105" s="49">
        <f t="shared" si="21"/>
        <v>1.6306546111290692E-73</v>
      </c>
      <c r="O105" s="49">
        <f t="shared" si="21"/>
        <v>9.7392685929388222E-72</v>
      </c>
      <c r="P105" s="49">
        <f t="shared" si="21"/>
        <v>5.3401619073401168E-70</v>
      </c>
      <c r="Q105" s="49">
        <f t="shared" si="21"/>
        <v>2.7015368187527573E-68</v>
      </c>
      <c r="R105" s="49">
        <f t="shared" si="21"/>
        <v>1.2664035889510586E-66</v>
      </c>
      <c r="S105" s="49">
        <f t="shared" si="21"/>
        <v>5.5217719569074658E-65</v>
      </c>
      <c r="T105" s="49">
        <f t="shared" si="21"/>
        <v>2.2468515197220667E-63</v>
      </c>
      <c r="U105" s="49">
        <f t="shared" si="21"/>
        <v>8.5573640686702467E-62</v>
      </c>
      <c r="V105" s="49">
        <f t="shared" si="21"/>
        <v>3.0585545712722153E-60</v>
      </c>
      <c r="W105" s="47">
        <v>0.89800000000000002</v>
      </c>
    </row>
    <row r="106" spans="2:23" x14ac:dyDescent="0.25">
      <c r="B106" s="49">
        <f t="shared" si="20"/>
        <v>1.8540287065194508E-99</v>
      </c>
      <c r="C106" s="49">
        <f t="shared" si="20"/>
        <v>1.6177733327587995E-96</v>
      </c>
      <c r="D106" s="49">
        <f t="shared" si="20"/>
        <v>6.9876445263065922E-94</v>
      </c>
      <c r="E106" s="49">
        <f t="shared" si="20"/>
        <v>1.9918224136596406E-91</v>
      </c>
      <c r="F106" s="49">
        <f t="shared" si="20"/>
        <v>4.214875645072419E-89</v>
      </c>
      <c r="G106" s="49">
        <f t="shared" si="20"/>
        <v>7.0618126932032579E-87</v>
      </c>
      <c r="H106" s="49">
        <f t="shared" si="20"/>
        <v>9.7572387567542329E-85</v>
      </c>
      <c r="I106" s="49">
        <f t="shared" si="20"/>
        <v>1.143414568375254E-82</v>
      </c>
      <c r="J106" s="49">
        <f t="shared" si="20"/>
        <v>1.1599858154339334E-80</v>
      </c>
      <c r="K106" s="49">
        <f t="shared" si="20"/>
        <v>1.0348167740545764E-78</v>
      </c>
      <c r="L106" s="49">
        <f t="shared" si="21"/>
        <v>8.2182670889814701E-77</v>
      </c>
      <c r="M106" s="49">
        <f t="shared" si="21"/>
        <v>5.8683485569236746E-75</v>
      </c>
      <c r="N106" s="49">
        <f t="shared" si="21"/>
        <v>3.7985813143855604E-73</v>
      </c>
      <c r="O106" s="49">
        <f t="shared" si="21"/>
        <v>2.2442384136886499E-71</v>
      </c>
      <c r="P106" s="49">
        <f t="shared" si="21"/>
        <v>1.2172519994783997E-69</v>
      </c>
      <c r="Q106" s="49">
        <f t="shared" si="21"/>
        <v>6.0914490102940122E-68</v>
      </c>
      <c r="R106" s="49">
        <f t="shared" si="21"/>
        <v>2.8246571373406725E-66</v>
      </c>
      <c r="S106" s="49">
        <f t="shared" si="21"/>
        <v>1.2183054902017471E-64</v>
      </c>
      <c r="T106" s="49">
        <f t="shared" si="21"/>
        <v>4.9038421993998545E-63</v>
      </c>
      <c r="U106" s="49">
        <f t="shared" si="21"/>
        <v>1.8475098426245602E-61</v>
      </c>
      <c r="V106" s="49">
        <f t="shared" si="21"/>
        <v>6.5320258289432901E-60</v>
      </c>
      <c r="W106" s="47">
        <v>0.89700000000000002</v>
      </c>
    </row>
    <row r="107" spans="2:23" x14ac:dyDescent="0.25">
      <c r="B107" s="49">
        <f t="shared" si="20"/>
        <v>4.874109054532543E-99</v>
      </c>
      <c r="C107" s="49">
        <f t="shared" si="20"/>
        <v>4.2074402917103373E-96</v>
      </c>
      <c r="D107" s="49">
        <f t="shared" si="20"/>
        <v>1.7978470801752347E-93</v>
      </c>
      <c r="E107" s="49">
        <f t="shared" si="20"/>
        <v>5.0698414263922313E-91</v>
      </c>
      <c r="F107" s="49">
        <f t="shared" si="20"/>
        <v>1.0613301573413346E-88</v>
      </c>
      <c r="G107" s="49">
        <f t="shared" si="20"/>
        <v>1.7591548868591014E-86</v>
      </c>
      <c r="H107" s="49">
        <f t="shared" si="20"/>
        <v>2.4045684001584197E-84</v>
      </c>
      <c r="I107" s="49">
        <f t="shared" si="20"/>
        <v>2.7876382848601704E-82</v>
      </c>
      <c r="J107" s="49">
        <f t="shared" si="20"/>
        <v>2.7977445347957978E-80</v>
      </c>
      <c r="K107" s="49">
        <f t="shared" si="20"/>
        <v>2.4691171936030087E-78</v>
      </c>
      <c r="L107" s="49">
        <f t="shared" si="21"/>
        <v>1.9399098819273036E-76</v>
      </c>
      <c r="M107" s="49">
        <f t="shared" si="21"/>
        <v>1.3703782749041649E-74</v>
      </c>
      <c r="N107" s="49">
        <f t="shared" si="21"/>
        <v>8.7754512314829481E-73</v>
      </c>
      <c r="O107" s="49">
        <f t="shared" si="21"/>
        <v>5.1290944869212714E-71</v>
      </c>
      <c r="P107" s="49">
        <f t="shared" si="21"/>
        <v>2.752175360899427E-69</v>
      </c>
      <c r="Q107" s="49">
        <f t="shared" si="21"/>
        <v>1.3625120253438309E-67</v>
      </c>
      <c r="R107" s="49">
        <f t="shared" si="21"/>
        <v>6.2504290547043918E-66</v>
      </c>
      <c r="S107" s="49">
        <f t="shared" si="21"/>
        <v>2.6670115339287069E-64</v>
      </c>
      <c r="T107" s="49">
        <f t="shared" si="21"/>
        <v>1.0620134884389978E-62</v>
      </c>
      <c r="U107" s="49">
        <f t="shared" si="21"/>
        <v>3.9582700541667797E-61</v>
      </c>
      <c r="V107" s="49">
        <f t="shared" si="21"/>
        <v>1.3844967387684238E-59</v>
      </c>
      <c r="W107" s="47">
        <v>0.89600000000000002</v>
      </c>
    </row>
    <row r="108" spans="2:23" x14ac:dyDescent="0.25">
      <c r="B108" s="49">
        <f t="shared" si="20"/>
        <v>1.2695662231078495E-98</v>
      </c>
      <c r="C108" s="49">
        <f t="shared" si="20"/>
        <v>1.0842745650855187E-95</v>
      </c>
      <c r="D108" s="49">
        <f t="shared" si="20"/>
        <v>4.5839028357031679E-93</v>
      </c>
      <c r="E108" s="49">
        <f t="shared" si="20"/>
        <v>1.278905733341222E-90</v>
      </c>
      <c r="F108" s="49">
        <f t="shared" si="20"/>
        <v>2.6488436868676588E-88</v>
      </c>
      <c r="G108" s="49">
        <f t="shared" si="20"/>
        <v>4.3438191906675456E-86</v>
      </c>
      <c r="H108" s="49">
        <f t="shared" si="20"/>
        <v>5.8744444727562179E-84</v>
      </c>
      <c r="I108" s="49">
        <f t="shared" si="20"/>
        <v>6.7379575759832196E-82</v>
      </c>
      <c r="J108" s="49">
        <f t="shared" si="20"/>
        <v>6.6905569930836627E-80</v>
      </c>
      <c r="K108" s="49">
        <f t="shared" si="20"/>
        <v>5.8419586249356612E-78</v>
      </c>
      <c r="L108" s="49">
        <f t="shared" si="21"/>
        <v>4.54110011606749E-76</v>
      </c>
      <c r="M108" s="49">
        <f t="shared" si="21"/>
        <v>3.1738246901931051E-74</v>
      </c>
      <c r="N108" s="49">
        <f t="shared" si="21"/>
        <v>2.0108287238676711E-72</v>
      </c>
      <c r="O108" s="49">
        <f t="shared" si="21"/>
        <v>1.1628124941082908E-70</v>
      </c>
      <c r="P108" s="49">
        <f t="shared" si="21"/>
        <v>6.1731762777084859E-69</v>
      </c>
      <c r="Q108" s="49">
        <f t="shared" si="21"/>
        <v>3.0236863082616646E-67</v>
      </c>
      <c r="R108" s="49">
        <f t="shared" si="21"/>
        <v>1.3723670032417793E-65</v>
      </c>
      <c r="S108" s="49">
        <f t="shared" si="21"/>
        <v>5.7936148701497367E-64</v>
      </c>
      <c r="T108" s="49">
        <f t="shared" si="21"/>
        <v>2.2825447637658088E-62</v>
      </c>
      <c r="U108" s="49">
        <f t="shared" si="21"/>
        <v>8.4170420047485097E-61</v>
      </c>
      <c r="V108" s="49">
        <f t="shared" si="21"/>
        <v>2.9128028044945538E-59</v>
      </c>
      <c r="W108" s="47">
        <v>0.89500000000000002</v>
      </c>
    </row>
    <row r="109" spans="2:23" x14ac:dyDescent="0.25">
      <c r="B109" s="49">
        <f t="shared" si="20"/>
        <v>3.2769741954026431E-98</v>
      </c>
      <c r="C109" s="49">
        <f t="shared" si="20"/>
        <v>2.7692173812951905E-95</v>
      </c>
      <c r="D109" s="49">
        <f t="shared" si="20"/>
        <v>1.1583864074208741E-92</v>
      </c>
      <c r="E109" s="49">
        <f t="shared" si="20"/>
        <v>3.1978420799445692E-90</v>
      </c>
      <c r="F109" s="49">
        <f t="shared" si="20"/>
        <v>6.5535316519225864E-88</v>
      </c>
      <c r="G109" s="49">
        <f t="shared" si="20"/>
        <v>1.0633875462588602E-85</v>
      </c>
      <c r="H109" s="49">
        <f t="shared" si="20"/>
        <v>1.4229432004423016E-83</v>
      </c>
      <c r="I109" s="49">
        <f t="shared" si="20"/>
        <v>1.6149167626823217E-81</v>
      </c>
      <c r="J109" s="49">
        <f t="shared" si="20"/>
        <v>1.5866657087692318E-79</v>
      </c>
      <c r="K109" s="49">
        <f t="shared" si="20"/>
        <v>1.3708284743808054E-77</v>
      </c>
      <c r="L109" s="49">
        <f t="shared" si="21"/>
        <v>1.0543562802370643E-75</v>
      </c>
      <c r="M109" s="49">
        <f t="shared" si="21"/>
        <v>7.2914032738870269E-74</v>
      </c>
      <c r="N109" s="49">
        <f t="shared" si="21"/>
        <v>4.5709381308479494E-72</v>
      </c>
      <c r="O109" s="49">
        <f t="shared" si="21"/>
        <v>2.6154248331704543E-70</v>
      </c>
      <c r="P109" s="49">
        <f t="shared" si="21"/>
        <v>1.3738639967786009E-68</v>
      </c>
      <c r="Q109" s="49">
        <f t="shared" si="21"/>
        <v>6.6584713446475513E-67</v>
      </c>
      <c r="R109" s="49">
        <f t="shared" si="21"/>
        <v>2.9902743924533256E-65</v>
      </c>
      <c r="S109" s="49">
        <f t="shared" si="21"/>
        <v>1.2490896565960042E-63</v>
      </c>
      <c r="T109" s="49">
        <f t="shared" si="21"/>
        <v>4.8693025597184972E-62</v>
      </c>
      <c r="U109" s="49">
        <f t="shared" si="21"/>
        <v>1.7766860002155527E-60</v>
      </c>
      <c r="V109" s="49">
        <f t="shared" si="21"/>
        <v>6.0836786903154878E-59</v>
      </c>
      <c r="W109" s="47">
        <v>0.89400000000000002</v>
      </c>
    </row>
    <row r="110" spans="2:23" x14ac:dyDescent="0.25">
      <c r="B110" s="49">
        <f t="shared" si="20"/>
        <v>8.3834406716240952E-98</v>
      </c>
      <c r="C110" s="49">
        <f t="shared" si="20"/>
        <v>7.0104294291773086E-95</v>
      </c>
      <c r="D110" s="49">
        <f t="shared" si="20"/>
        <v>2.901880199364285E-92</v>
      </c>
      <c r="E110" s="49">
        <f t="shared" si="20"/>
        <v>7.9272335036721912E-90</v>
      </c>
      <c r="F110" s="49">
        <f t="shared" si="20"/>
        <v>1.6076030199726404E-87</v>
      </c>
      <c r="G110" s="49">
        <f t="shared" si="20"/>
        <v>2.581272908129538E-85</v>
      </c>
      <c r="H110" s="49">
        <f t="shared" si="20"/>
        <v>3.4179761781599381E-83</v>
      </c>
      <c r="I110" s="49">
        <f t="shared" si="20"/>
        <v>3.8385826827990454E-81</v>
      </c>
      <c r="J110" s="49">
        <f t="shared" si="20"/>
        <v>3.7320346363215471E-79</v>
      </c>
      <c r="K110" s="49">
        <f t="shared" si="20"/>
        <v>3.1906782158274786E-77</v>
      </c>
      <c r="L110" s="49">
        <f t="shared" si="21"/>
        <v>2.4284386351348775E-75</v>
      </c>
      <c r="M110" s="49">
        <f t="shared" si="21"/>
        <v>1.6618465393149802E-73</v>
      </c>
      <c r="N110" s="49">
        <f t="shared" si="21"/>
        <v>1.0309210345472129E-71</v>
      </c>
      <c r="O110" s="49">
        <f t="shared" si="21"/>
        <v>5.8371758020171251E-70</v>
      </c>
      <c r="P110" s="49">
        <f t="shared" si="21"/>
        <v>3.0342053197813247E-68</v>
      </c>
      <c r="Q110" s="49">
        <f t="shared" si="21"/>
        <v>1.4551798671595826E-66</v>
      </c>
      <c r="R110" s="49">
        <f t="shared" si="21"/>
        <v>6.4668731009605932E-65</v>
      </c>
      <c r="S110" s="49">
        <f t="shared" si="21"/>
        <v>2.6731190894481481E-63</v>
      </c>
      <c r="T110" s="49">
        <f t="shared" si="21"/>
        <v>1.0311767351113213E-61</v>
      </c>
      <c r="U110" s="49">
        <f t="shared" si="21"/>
        <v>3.7232220410130871E-60</v>
      </c>
      <c r="V110" s="49">
        <f t="shared" si="21"/>
        <v>1.2615855547181673E-58</v>
      </c>
      <c r="W110" s="47">
        <v>0.89300000000000002</v>
      </c>
    </row>
    <row r="111" spans="2:23" x14ac:dyDescent="0.25">
      <c r="B111" s="49">
        <f t="shared" si="20"/>
        <v>2.1260583509377182E-97</v>
      </c>
      <c r="C111" s="49">
        <f t="shared" si="20"/>
        <v>1.7594351593182362E-94</v>
      </c>
      <c r="D111" s="49">
        <f t="shared" si="20"/>
        <v>7.2074898177738725E-92</v>
      </c>
      <c r="E111" s="49">
        <f t="shared" si="20"/>
        <v>1.9485083947297758E-89</v>
      </c>
      <c r="F111" s="49">
        <f t="shared" si="20"/>
        <v>3.910530504887178E-87</v>
      </c>
      <c r="G111" s="49">
        <f t="shared" si="20"/>
        <v>6.2139419155530541E-85</v>
      </c>
      <c r="H111" s="49">
        <f t="shared" si="20"/>
        <v>8.1428956801467695E-83</v>
      </c>
      <c r="I111" s="49">
        <f t="shared" si="20"/>
        <v>9.050185677280681E-81</v>
      </c>
      <c r="J111" s="49">
        <f t="shared" si="20"/>
        <v>8.7078148832293521E-79</v>
      </c>
      <c r="K111" s="49">
        <f t="shared" si="20"/>
        <v>7.3675594633130869E-77</v>
      </c>
      <c r="L111" s="49">
        <f t="shared" si="21"/>
        <v>5.5493879905611578E-75</v>
      </c>
      <c r="M111" s="49">
        <f t="shared" si="21"/>
        <v>3.7582562372833616E-73</v>
      </c>
      <c r="N111" s="49">
        <f t="shared" si="21"/>
        <v>2.3072709093255723E-71</v>
      </c>
      <c r="O111" s="49">
        <f t="shared" si="21"/>
        <v>1.2928671341731843E-69</v>
      </c>
      <c r="P111" s="49">
        <f t="shared" si="21"/>
        <v>6.6508053875808695E-68</v>
      </c>
      <c r="Q111" s="49">
        <f t="shared" si="21"/>
        <v>3.1566347405165754E-66</v>
      </c>
      <c r="R111" s="49">
        <f t="shared" si="21"/>
        <v>1.3882913203129917E-64</v>
      </c>
      <c r="S111" s="49">
        <f t="shared" si="21"/>
        <v>5.6791512557987095E-63</v>
      </c>
      <c r="T111" s="49">
        <f t="shared" si="21"/>
        <v>2.1680901956744541E-61</v>
      </c>
      <c r="U111" s="49">
        <f t="shared" si="21"/>
        <v>7.7471604200160189E-60</v>
      </c>
      <c r="V111" s="49">
        <f t="shared" si="21"/>
        <v>2.597885247079447E-58</v>
      </c>
      <c r="W111" s="47">
        <v>0.89200000000000002</v>
      </c>
    </row>
    <row r="112" spans="2:23" x14ac:dyDescent="0.25">
      <c r="B112" s="49">
        <f t="shared" si="20"/>
        <v>5.3456643087059984E-97</v>
      </c>
      <c r="C112" s="49">
        <f t="shared" si="20"/>
        <v>4.3783682722984228E-94</v>
      </c>
      <c r="D112" s="49">
        <f t="shared" si="20"/>
        <v>1.7751527578934803E-91</v>
      </c>
      <c r="E112" s="49">
        <f t="shared" si="20"/>
        <v>4.7497068438748898E-89</v>
      </c>
      <c r="F112" s="49">
        <f t="shared" si="20"/>
        <v>9.4343763060066905E-87</v>
      </c>
      <c r="G112" s="49">
        <f t="shared" si="20"/>
        <v>1.4837402075992127E-84</v>
      </c>
      <c r="H112" s="49">
        <f t="shared" si="20"/>
        <v>1.924344746963382E-82</v>
      </c>
      <c r="I112" s="49">
        <f t="shared" si="20"/>
        <v>2.1167764994133901E-80</v>
      </c>
      <c r="J112" s="49">
        <f t="shared" si="20"/>
        <v>2.0157672926228967E-78</v>
      </c>
      <c r="K112" s="49">
        <f t="shared" si="20"/>
        <v>1.6879855870908462E-76</v>
      </c>
      <c r="L112" s="49">
        <f t="shared" si="21"/>
        <v>1.2583580914994243E-74</v>
      </c>
      <c r="M112" s="49">
        <f t="shared" si="21"/>
        <v>8.4345091647100271E-73</v>
      </c>
      <c r="N112" s="49">
        <f t="shared" si="21"/>
        <v>5.1249129808223172E-71</v>
      </c>
      <c r="O112" s="49">
        <f t="shared" si="21"/>
        <v>2.842212147586139E-69</v>
      </c>
      <c r="P112" s="49">
        <f t="shared" si="21"/>
        <v>1.447077351977669E-67</v>
      </c>
      <c r="Q112" s="49">
        <f t="shared" si="21"/>
        <v>6.7976214671092562E-66</v>
      </c>
      <c r="R112" s="49">
        <f t="shared" si="21"/>
        <v>2.9588886857848559E-64</v>
      </c>
      <c r="S112" s="49">
        <f t="shared" si="21"/>
        <v>1.1979731160988945E-62</v>
      </c>
      <c r="T112" s="49">
        <f t="shared" si="21"/>
        <v>4.5264408791846783E-61</v>
      </c>
      <c r="U112" s="49">
        <f t="shared" si="21"/>
        <v>1.6008041003804198E-59</v>
      </c>
      <c r="V112" s="49">
        <f t="shared" si="21"/>
        <v>5.3129044661269737E-58</v>
      </c>
      <c r="W112" s="47">
        <v>0.89100000000000001</v>
      </c>
    </row>
    <row r="113" spans="2:23" x14ac:dyDescent="0.25">
      <c r="B113" s="49">
        <f t="shared" ref="B113:K122" si="22">_xlfn.HYPGEOM.DIST(B$2,comau,tongtheN*$W113,tongtheN,TRUE)</f>
        <v>1.3328150662426279E-96</v>
      </c>
      <c r="C113" s="49">
        <f t="shared" si="22"/>
        <v>1.0805107521153533E-93</v>
      </c>
      <c r="D113" s="49">
        <f t="shared" si="22"/>
        <v>4.3361199170565326E-91</v>
      </c>
      <c r="E113" s="49">
        <f t="shared" si="22"/>
        <v>1.1483684807262686E-88</v>
      </c>
      <c r="F113" s="49">
        <f t="shared" si="22"/>
        <v>2.257754524527507E-86</v>
      </c>
      <c r="G113" s="49">
        <f t="shared" si="22"/>
        <v>3.5145572895585585E-84</v>
      </c>
      <c r="H113" s="49">
        <f t="shared" si="22"/>
        <v>4.5117502025517023E-82</v>
      </c>
      <c r="I113" s="49">
        <f t="shared" si="22"/>
        <v>4.9123212048013579E-80</v>
      </c>
      <c r="J113" s="49">
        <f t="shared" si="22"/>
        <v>4.630223031855113E-78</v>
      </c>
      <c r="K113" s="49">
        <f t="shared" si="22"/>
        <v>3.8377811388042739E-76</v>
      </c>
      <c r="L113" s="49">
        <f t="shared" ref="L113:V122" si="23">_xlfn.HYPGEOM.DIST(L$2,comau,tongtheN*$W113,tongtheN,TRUE)</f>
        <v>2.8318214239775154E-74</v>
      </c>
      <c r="M113" s="49">
        <f t="shared" si="23"/>
        <v>1.8787620461543997E-72</v>
      </c>
      <c r="N113" s="49">
        <f t="shared" si="23"/>
        <v>1.129923425181324E-70</v>
      </c>
      <c r="O113" s="49">
        <f t="shared" si="23"/>
        <v>6.2025428627840908E-69</v>
      </c>
      <c r="P113" s="49">
        <f t="shared" si="23"/>
        <v>3.1257627816401158E-67</v>
      </c>
      <c r="Q113" s="49">
        <f t="shared" si="23"/>
        <v>1.4533575136505104E-65</v>
      </c>
      <c r="R113" s="49">
        <f t="shared" si="23"/>
        <v>6.2617476374639471E-64</v>
      </c>
      <c r="S113" s="49">
        <f t="shared" si="23"/>
        <v>2.5093757663160092E-62</v>
      </c>
      <c r="T113" s="49">
        <f t="shared" si="23"/>
        <v>9.3848519728478963E-61</v>
      </c>
      <c r="U113" s="49">
        <f t="shared" si="23"/>
        <v>3.2851936294486262E-59</v>
      </c>
      <c r="V113" s="49">
        <f t="shared" si="23"/>
        <v>1.0792132585789937E-57</v>
      </c>
      <c r="W113" s="47">
        <v>0.89</v>
      </c>
    </row>
    <row r="114" spans="2:23" x14ac:dyDescent="0.25">
      <c r="B114" s="49">
        <f t="shared" si="22"/>
        <v>3.2956876972246177E-96</v>
      </c>
      <c r="C114" s="49">
        <f t="shared" si="22"/>
        <v>2.6447781975200481E-93</v>
      </c>
      <c r="D114" s="49">
        <f t="shared" si="22"/>
        <v>1.0506198615908369E-90</v>
      </c>
      <c r="E114" s="49">
        <f t="shared" si="22"/>
        <v>2.754291509123769E-88</v>
      </c>
      <c r="F114" s="49">
        <f t="shared" si="22"/>
        <v>5.3603091725983625E-86</v>
      </c>
      <c r="G114" s="49">
        <f t="shared" si="22"/>
        <v>8.2597783127108637E-84</v>
      </c>
      <c r="H114" s="49">
        <f t="shared" si="22"/>
        <v>1.0496091990910704E-81</v>
      </c>
      <c r="I114" s="49">
        <f t="shared" si="22"/>
        <v>1.1312389048626212E-79</v>
      </c>
      <c r="J114" s="49">
        <f t="shared" si="22"/>
        <v>1.055491313720562E-77</v>
      </c>
      <c r="K114" s="49">
        <f t="shared" si="22"/>
        <v>8.6600085554857403E-76</v>
      </c>
      <c r="L114" s="49">
        <f t="shared" si="23"/>
        <v>6.3254224838672091E-74</v>
      </c>
      <c r="M114" s="49">
        <f t="shared" si="23"/>
        <v>4.1541407861339131E-72</v>
      </c>
      <c r="N114" s="49">
        <f t="shared" si="23"/>
        <v>2.4731155569584968E-70</v>
      </c>
      <c r="O114" s="49">
        <f t="shared" si="23"/>
        <v>1.3438517110738991E-68</v>
      </c>
      <c r="P114" s="49">
        <f t="shared" si="23"/>
        <v>6.7038453665517283E-67</v>
      </c>
      <c r="Q114" s="49">
        <f t="shared" si="23"/>
        <v>3.0855107125341107E-65</v>
      </c>
      <c r="R114" s="49">
        <f t="shared" si="23"/>
        <v>1.3159428263775623E-63</v>
      </c>
      <c r="S114" s="49">
        <f t="shared" si="23"/>
        <v>5.2202856315377579E-62</v>
      </c>
      <c r="T114" s="49">
        <f t="shared" si="23"/>
        <v>1.9326061331492947E-60</v>
      </c>
      <c r="U114" s="49">
        <f t="shared" si="23"/>
        <v>6.6967567022646257E-59</v>
      </c>
      <c r="V114" s="49">
        <f t="shared" si="23"/>
        <v>2.1777033353614282E-57</v>
      </c>
      <c r="W114" s="47">
        <v>0.88900000000000001</v>
      </c>
    </row>
    <row r="115" spans="2:23" x14ac:dyDescent="0.25">
      <c r="B115" s="49">
        <f t="shared" si="22"/>
        <v>8.0834100823173582E-96</v>
      </c>
      <c r="C115" s="49">
        <f t="shared" si="22"/>
        <v>6.4217972198958409E-93</v>
      </c>
      <c r="D115" s="49">
        <f t="shared" si="22"/>
        <v>2.525409806260451E-90</v>
      </c>
      <c r="E115" s="49">
        <f t="shared" si="22"/>
        <v>6.5541328591933335E-88</v>
      </c>
      <c r="F115" s="49">
        <f t="shared" si="22"/>
        <v>1.2627414043827866E-85</v>
      </c>
      <c r="G115" s="49">
        <f t="shared" si="22"/>
        <v>1.9262488079085266E-83</v>
      </c>
      <c r="H115" s="49">
        <f t="shared" si="22"/>
        <v>2.4232108345607583E-81</v>
      </c>
      <c r="I115" s="49">
        <f t="shared" si="22"/>
        <v>2.5854590609473873E-79</v>
      </c>
      <c r="J115" s="49">
        <f t="shared" si="22"/>
        <v>2.3881298518155403E-77</v>
      </c>
      <c r="K115" s="49">
        <f t="shared" si="22"/>
        <v>1.9397319700028526E-75</v>
      </c>
      <c r="L115" s="49">
        <f t="shared" si="23"/>
        <v>1.4025981550205889E-73</v>
      </c>
      <c r="M115" s="49">
        <f t="shared" si="23"/>
        <v>9.1189631119780591E-72</v>
      </c>
      <c r="N115" s="49">
        <f t="shared" si="23"/>
        <v>5.3743925750240546E-70</v>
      </c>
      <c r="O115" s="49">
        <f t="shared" si="23"/>
        <v>2.8910610876483041E-68</v>
      </c>
      <c r="P115" s="49">
        <f t="shared" si="23"/>
        <v>1.4277463911366576E-66</v>
      </c>
      <c r="Q115" s="49">
        <f t="shared" si="23"/>
        <v>6.5054228835149944E-65</v>
      </c>
      <c r="R115" s="49">
        <f t="shared" si="23"/>
        <v>2.7466740424108514E-63</v>
      </c>
      <c r="S115" s="49">
        <f t="shared" si="23"/>
        <v>1.0786641407096575E-61</v>
      </c>
      <c r="T115" s="49">
        <f t="shared" si="23"/>
        <v>3.9532789007419153E-60</v>
      </c>
      <c r="U115" s="49">
        <f t="shared" si="23"/>
        <v>1.3561290260350224E-58</v>
      </c>
      <c r="V115" s="49">
        <f t="shared" si="23"/>
        <v>4.3657400140799172E-57</v>
      </c>
      <c r="W115" s="47">
        <v>0.88800000000000001</v>
      </c>
    </row>
    <row r="116" spans="2:23" x14ac:dyDescent="0.25">
      <c r="B116" s="49">
        <f t="shared" si="22"/>
        <v>1.9668820333399193E-95</v>
      </c>
      <c r="C116" s="49">
        <f t="shared" si="22"/>
        <v>1.5470102664268181E-92</v>
      </c>
      <c r="D116" s="49">
        <f t="shared" si="22"/>
        <v>6.023120199976679E-90</v>
      </c>
      <c r="E116" s="49">
        <f t="shared" si="22"/>
        <v>1.5475978782775821E-87</v>
      </c>
      <c r="F116" s="49">
        <f t="shared" si="22"/>
        <v>2.9519614724587983E-85</v>
      </c>
      <c r="G116" s="49">
        <f t="shared" si="22"/>
        <v>4.4582271561226656E-83</v>
      </c>
      <c r="H116" s="49">
        <f t="shared" si="22"/>
        <v>5.5525787875212109E-81</v>
      </c>
      <c r="I116" s="49">
        <f t="shared" si="22"/>
        <v>5.865365592663631E-79</v>
      </c>
      <c r="J116" s="49">
        <f t="shared" si="22"/>
        <v>5.363761215982514E-77</v>
      </c>
      <c r="K116" s="49">
        <f t="shared" si="22"/>
        <v>4.3132783595787252E-75</v>
      </c>
      <c r="L116" s="49">
        <f t="shared" si="23"/>
        <v>3.0878307247479065E-73</v>
      </c>
      <c r="M116" s="49">
        <f t="shared" si="23"/>
        <v>1.987560413178237E-71</v>
      </c>
      <c r="N116" s="49">
        <f t="shared" si="23"/>
        <v>1.1597359793163504E-69</v>
      </c>
      <c r="O116" s="49">
        <f t="shared" si="23"/>
        <v>6.1764949581832472E-68</v>
      </c>
      <c r="P116" s="49">
        <f t="shared" si="23"/>
        <v>3.0198904831031194E-66</v>
      </c>
      <c r="Q116" s="49">
        <f t="shared" si="23"/>
        <v>1.3622950651800199E-64</v>
      </c>
      <c r="R116" s="49">
        <f t="shared" si="23"/>
        <v>5.694538561759242E-63</v>
      </c>
      <c r="S116" s="49">
        <f t="shared" si="23"/>
        <v>2.2140818201527208E-61</v>
      </c>
      <c r="T116" s="49">
        <f t="shared" si="23"/>
        <v>8.0338023542033237E-60</v>
      </c>
      <c r="U116" s="49">
        <f t="shared" si="23"/>
        <v>2.7284828444473292E-58</v>
      </c>
      <c r="V116" s="49">
        <f t="shared" si="23"/>
        <v>8.6963074654594839E-57</v>
      </c>
      <c r="W116" s="47">
        <v>0.88700000000000001</v>
      </c>
    </row>
    <row r="117" spans="2:23" x14ac:dyDescent="0.25">
      <c r="B117" s="49">
        <f t="shared" si="22"/>
        <v>4.7485195853952467E-95</v>
      </c>
      <c r="C117" s="49">
        <f t="shared" si="22"/>
        <v>3.6979373208321907E-92</v>
      </c>
      <c r="D117" s="49">
        <f t="shared" si="22"/>
        <v>1.4255237679208785E-89</v>
      </c>
      <c r="E117" s="49">
        <f t="shared" si="22"/>
        <v>3.626584476621531E-87</v>
      </c>
      <c r="F117" s="49">
        <f t="shared" si="22"/>
        <v>6.8491591791972664E-85</v>
      </c>
      <c r="G117" s="49">
        <f t="shared" si="22"/>
        <v>1.0241789282337494E-82</v>
      </c>
      <c r="H117" s="49">
        <f t="shared" si="22"/>
        <v>1.2629774990286055E-80</v>
      </c>
      <c r="I117" s="49">
        <f t="shared" si="22"/>
        <v>1.3209409021001538E-78</v>
      </c>
      <c r="J117" s="49">
        <f t="shared" si="22"/>
        <v>1.1960389854848842E-76</v>
      </c>
      <c r="K117" s="49">
        <f t="shared" si="22"/>
        <v>9.5229427636236858E-75</v>
      </c>
      <c r="L117" s="49">
        <f t="shared" si="23"/>
        <v>6.750021453589814E-73</v>
      </c>
      <c r="M117" s="49">
        <f t="shared" si="23"/>
        <v>4.3018987903413468E-71</v>
      </c>
      <c r="N117" s="49">
        <f t="shared" si="23"/>
        <v>2.4853489277261539E-69</v>
      </c>
      <c r="O117" s="49">
        <f t="shared" si="23"/>
        <v>1.3105661067668579E-67</v>
      </c>
      <c r="P117" s="49">
        <f t="shared" si="23"/>
        <v>6.3444920534167131E-66</v>
      </c>
      <c r="Q117" s="49">
        <f t="shared" si="23"/>
        <v>2.833778492406345E-64</v>
      </c>
      <c r="R117" s="49">
        <f t="shared" si="23"/>
        <v>1.1728501928624539E-62</v>
      </c>
      <c r="S117" s="49">
        <f t="shared" si="23"/>
        <v>4.5150982570827979E-61</v>
      </c>
      <c r="T117" s="49">
        <f t="shared" si="23"/>
        <v>1.6221255764340403E-59</v>
      </c>
      <c r="U117" s="49">
        <f t="shared" si="23"/>
        <v>5.4547469652323084E-58</v>
      </c>
      <c r="V117" s="49">
        <f t="shared" si="23"/>
        <v>1.7213873026818013E-56</v>
      </c>
      <c r="W117" s="47">
        <v>0.88600000000000001</v>
      </c>
    </row>
    <row r="118" spans="2:23" x14ac:dyDescent="0.25">
      <c r="B118" s="49">
        <f t="shared" si="22"/>
        <v>1.1376111762330418E-94</v>
      </c>
      <c r="C118" s="49">
        <f t="shared" si="22"/>
        <v>8.7723210589311318E-92</v>
      </c>
      <c r="D118" s="49">
        <f t="shared" si="22"/>
        <v>3.3484895206712053E-89</v>
      </c>
      <c r="E118" s="49">
        <f t="shared" si="22"/>
        <v>8.4351332200510829E-87</v>
      </c>
      <c r="F118" s="49">
        <f t="shared" si="22"/>
        <v>1.5774341391513714E-84</v>
      </c>
      <c r="G118" s="49">
        <f t="shared" si="22"/>
        <v>2.3356609902742721E-82</v>
      </c>
      <c r="H118" s="49">
        <f t="shared" si="22"/>
        <v>2.8520015088390339E-80</v>
      </c>
      <c r="I118" s="49">
        <f t="shared" si="22"/>
        <v>2.9536420964838258E-78</v>
      </c>
      <c r="J118" s="49">
        <f t="shared" si="22"/>
        <v>2.6481363502348784E-76</v>
      </c>
      <c r="K118" s="49">
        <f t="shared" si="22"/>
        <v>2.0877903925629523E-74</v>
      </c>
      <c r="L118" s="49">
        <f t="shared" si="23"/>
        <v>1.4653513936971096E-72</v>
      </c>
      <c r="M118" s="49">
        <f t="shared" si="23"/>
        <v>9.2473634157230643E-71</v>
      </c>
      <c r="N118" s="49">
        <f t="shared" si="23"/>
        <v>5.2901309404676964E-69</v>
      </c>
      <c r="O118" s="49">
        <f t="shared" si="23"/>
        <v>2.7622279389154603E-67</v>
      </c>
      <c r="P118" s="49">
        <f t="shared" si="23"/>
        <v>1.3240951349295667E-65</v>
      </c>
      <c r="Q118" s="49">
        <f t="shared" si="23"/>
        <v>5.8561232931831986E-64</v>
      </c>
      <c r="R118" s="49">
        <f t="shared" si="23"/>
        <v>2.3999880124461437E-62</v>
      </c>
      <c r="S118" s="49">
        <f t="shared" si="23"/>
        <v>9.1486328206534633E-61</v>
      </c>
      <c r="T118" s="49">
        <f t="shared" si="23"/>
        <v>3.25458921942617E-59</v>
      </c>
      <c r="U118" s="49">
        <f t="shared" si="23"/>
        <v>1.0837005685626652E-57</v>
      </c>
      <c r="V118" s="49">
        <f t="shared" si="23"/>
        <v>3.3863866550115014E-56</v>
      </c>
      <c r="W118" s="47">
        <v>0.88500000000000001</v>
      </c>
    </row>
    <row r="119" spans="2:23" x14ac:dyDescent="0.25">
      <c r="B119" s="49">
        <f t="shared" si="22"/>
        <v>2.7048494300723914E-94</v>
      </c>
      <c r="C119" s="49">
        <f t="shared" si="22"/>
        <v>2.0654536976920261E-91</v>
      </c>
      <c r="D119" s="49">
        <f t="shared" si="22"/>
        <v>7.8073157508076447E-89</v>
      </c>
      <c r="E119" s="49">
        <f t="shared" si="22"/>
        <v>1.9475865080190916E-86</v>
      </c>
      <c r="F119" s="49">
        <f t="shared" si="22"/>
        <v>3.6066850563795596E-84</v>
      </c>
      <c r="G119" s="49">
        <f t="shared" si="22"/>
        <v>5.2883371138065953E-82</v>
      </c>
      <c r="H119" s="49">
        <f t="shared" si="22"/>
        <v>6.3945735596773519E-80</v>
      </c>
      <c r="I119" s="49">
        <f t="shared" si="22"/>
        <v>6.5580148311744944E-78</v>
      </c>
      <c r="J119" s="49">
        <f t="shared" si="22"/>
        <v>5.8224764316292248E-76</v>
      </c>
      <c r="K119" s="49">
        <f t="shared" si="22"/>
        <v>4.5457688727324154E-74</v>
      </c>
      <c r="L119" s="49">
        <f t="shared" si="23"/>
        <v>3.1594791293881127E-72</v>
      </c>
      <c r="M119" s="49">
        <f t="shared" si="23"/>
        <v>1.9744452185423335E-70</v>
      </c>
      <c r="N119" s="49">
        <f t="shared" si="23"/>
        <v>1.1185289939363756E-68</v>
      </c>
      <c r="O119" s="49">
        <f t="shared" si="23"/>
        <v>5.783546258239838E-67</v>
      </c>
      <c r="P119" s="49">
        <f t="shared" si="23"/>
        <v>2.7454149026992611E-65</v>
      </c>
      <c r="Q119" s="49">
        <f t="shared" si="23"/>
        <v>1.2024120921238947E-63</v>
      </c>
      <c r="R119" s="49">
        <f t="shared" si="23"/>
        <v>4.8798532300162224E-62</v>
      </c>
      <c r="S119" s="49">
        <f t="shared" si="23"/>
        <v>1.8420808830494281E-60</v>
      </c>
      <c r="T119" s="49">
        <f t="shared" si="23"/>
        <v>6.4893880572525856E-59</v>
      </c>
      <c r="U119" s="49">
        <f t="shared" si="23"/>
        <v>2.1397951342181603E-57</v>
      </c>
      <c r="V119" s="49">
        <f t="shared" si="23"/>
        <v>6.6214795840884031E-56</v>
      </c>
      <c r="W119" s="47">
        <v>0.88400000000000001</v>
      </c>
    </row>
    <row r="120" spans="2:23" x14ac:dyDescent="0.25">
      <c r="B120" s="49">
        <f t="shared" si="22"/>
        <v>6.3835520826453916E-94</v>
      </c>
      <c r="C120" s="49">
        <f t="shared" si="22"/>
        <v>4.8274552385076197E-91</v>
      </c>
      <c r="D120" s="49">
        <f t="shared" si="22"/>
        <v>1.8071248959326516E-88</v>
      </c>
      <c r="E120" s="49">
        <f t="shared" si="22"/>
        <v>4.4644398186343578E-86</v>
      </c>
      <c r="F120" s="49">
        <f t="shared" si="22"/>
        <v>8.1877088036957844E-84</v>
      </c>
      <c r="G120" s="49">
        <f t="shared" si="22"/>
        <v>1.1889331038997786E-81</v>
      </c>
      <c r="H120" s="49">
        <f t="shared" si="22"/>
        <v>1.423751405208954E-79</v>
      </c>
      <c r="I120" s="49">
        <f t="shared" si="22"/>
        <v>1.4460371164148347E-77</v>
      </c>
      <c r="J120" s="49">
        <f t="shared" si="22"/>
        <v>1.2714504372523986E-75</v>
      </c>
      <c r="K120" s="49">
        <f t="shared" si="22"/>
        <v>9.8306873733771602E-74</v>
      </c>
      <c r="L120" s="49">
        <f t="shared" si="23"/>
        <v>6.7667021198053068E-72</v>
      </c>
      <c r="M120" s="49">
        <f t="shared" si="23"/>
        <v>4.1878574468218334E-70</v>
      </c>
      <c r="N120" s="49">
        <f t="shared" si="23"/>
        <v>2.3495218522333939E-68</v>
      </c>
      <c r="O120" s="49">
        <f t="shared" si="23"/>
        <v>1.2031287687622506E-66</v>
      </c>
      <c r="P120" s="49">
        <f t="shared" si="23"/>
        <v>5.6560307560631887E-65</v>
      </c>
      <c r="Q120" s="49">
        <f t="shared" si="23"/>
        <v>2.4532579671946568E-63</v>
      </c>
      <c r="R120" s="49">
        <f t="shared" si="23"/>
        <v>9.8601378826129287E-62</v>
      </c>
      <c r="S120" s="49">
        <f t="shared" si="23"/>
        <v>3.686137366182683E-60</v>
      </c>
      <c r="T120" s="49">
        <f t="shared" si="23"/>
        <v>1.2860368495237146E-58</v>
      </c>
      <c r="U120" s="49">
        <f t="shared" si="23"/>
        <v>4.1996101481690321E-57</v>
      </c>
      <c r="V120" s="49">
        <f t="shared" si="23"/>
        <v>1.2870019774916697E-55</v>
      </c>
      <c r="W120" s="47">
        <v>0.88300000000000001</v>
      </c>
    </row>
    <row r="121" spans="2:23" x14ac:dyDescent="0.25">
      <c r="B121" s="49">
        <f t="shared" si="22"/>
        <v>1.4955701311413991E-93</v>
      </c>
      <c r="C121" s="49">
        <f t="shared" si="22"/>
        <v>1.1201529837183926E-90</v>
      </c>
      <c r="D121" s="49">
        <f t="shared" si="22"/>
        <v>4.1530017482246148E-88</v>
      </c>
      <c r="E121" s="49">
        <f t="shared" si="22"/>
        <v>1.0161455875803198E-85</v>
      </c>
      <c r="F121" s="49">
        <f t="shared" si="22"/>
        <v>1.845723028977862E-83</v>
      </c>
      <c r="G121" s="49">
        <f t="shared" si="22"/>
        <v>2.6544644182420751E-81</v>
      </c>
      <c r="H121" s="49">
        <f t="shared" si="22"/>
        <v>3.1482497147660072E-79</v>
      </c>
      <c r="I121" s="49">
        <f t="shared" si="22"/>
        <v>3.1668693194925557E-77</v>
      </c>
      <c r="J121" s="49">
        <f t="shared" si="22"/>
        <v>2.7578206267496571E-75</v>
      </c>
      <c r="K121" s="49">
        <f t="shared" si="22"/>
        <v>2.1118668423872977E-73</v>
      </c>
      <c r="L121" s="49">
        <f t="shared" si="23"/>
        <v>1.4397131308809611E-71</v>
      </c>
      <c r="M121" s="49">
        <f t="shared" si="23"/>
        <v>8.8248485067531236E-70</v>
      </c>
      <c r="N121" s="49">
        <f t="shared" si="23"/>
        <v>4.9035603723937939E-68</v>
      </c>
      <c r="O121" s="49">
        <f t="shared" si="23"/>
        <v>2.4869155265074277E-66</v>
      </c>
      <c r="P121" s="49">
        <f t="shared" si="23"/>
        <v>1.1579179619032736E-64</v>
      </c>
      <c r="Q121" s="49">
        <f t="shared" si="23"/>
        <v>4.9742382509400422E-63</v>
      </c>
      <c r="R121" s="49">
        <f t="shared" si="23"/>
        <v>1.9800854282421831E-61</v>
      </c>
      <c r="S121" s="49">
        <f t="shared" si="23"/>
        <v>7.3314567506946955E-60</v>
      </c>
      <c r="T121" s="49">
        <f t="shared" si="23"/>
        <v>2.5333211709505712E-58</v>
      </c>
      <c r="U121" s="49">
        <f t="shared" si="23"/>
        <v>8.19340005423261E-57</v>
      </c>
      <c r="V121" s="49">
        <f t="shared" si="23"/>
        <v>2.4868696298294039E-55</v>
      </c>
      <c r="W121" s="47">
        <v>0.88200000000000001</v>
      </c>
    </row>
    <row r="122" spans="2:23" x14ac:dyDescent="0.25">
      <c r="B122" s="49">
        <f t="shared" si="22"/>
        <v>3.4788029545475134E-93</v>
      </c>
      <c r="C122" s="49">
        <f t="shared" si="22"/>
        <v>2.5807490978702116E-90</v>
      </c>
      <c r="D122" s="49">
        <f t="shared" si="22"/>
        <v>9.4771140694762157E-88</v>
      </c>
      <c r="E122" s="49">
        <f t="shared" si="22"/>
        <v>2.2967601106733081E-85</v>
      </c>
      <c r="F122" s="49">
        <f t="shared" si="22"/>
        <v>4.1321121599415042E-83</v>
      </c>
      <c r="G122" s="49">
        <f t="shared" si="22"/>
        <v>5.8861119045163821E-81</v>
      </c>
      <c r="H122" s="49">
        <f t="shared" si="22"/>
        <v>6.9145988037005884E-79</v>
      </c>
      <c r="I122" s="49">
        <f t="shared" si="22"/>
        <v>6.88928801835505E-77</v>
      </c>
      <c r="J122" s="49">
        <f t="shared" si="22"/>
        <v>5.9423302177154868E-75</v>
      </c>
      <c r="K122" s="49">
        <f t="shared" si="22"/>
        <v>4.5071711966732334E-73</v>
      </c>
      <c r="L122" s="49">
        <f t="shared" si="23"/>
        <v>3.043409831468178E-71</v>
      </c>
      <c r="M122" s="49">
        <f t="shared" si="23"/>
        <v>1.8477315920418042E-69</v>
      </c>
      <c r="N122" s="49">
        <f t="shared" si="23"/>
        <v>1.0169287185619627E-67</v>
      </c>
      <c r="O122" s="49">
        <f t="shared" si="23"/>
        <v>5.1084317354984512E-66</v>
      </c>
      <c r="P122" s="49">
        <f t="shared" si="23"/>
        <v>2.3558744860853727E-64</v>
      </c>
      <c r="Q122" s="49">
        <f t="shared" si="23"/>
        <v>1.0024182590042644E-62</v>
      </c>
      <c r="R122" s="49">
        <f t="shared" si="23"/>
        <v>3.9523425720535376E-61</v>
      </c>
      <c r="S122" s="49">
        <f t="shared" si="23"/>
        <v>1.4494707097885673E-59</v>
      </c>
      <c r="T122" s="49">
        <f t="shared" si="23"/>
        <v>4.9608739285995962E-58</v>
      </c>
      <c r="U122" s="49">
        <f t="shared" si="23"/>
        <v>1.5892094391885961E-56</v>
      </c>
      <c r="V122" s="49">
        <f t="shared" si="23"/>
        <v>4.7777047587107535E-55</v>
      </c>
      <c r="W122" s="47">
        <v>0.88100000000000001</v>
      </c>
    </row>
    <row r="123" spans="2:23" x14ac:dyDescent="0.25">
      <c r="B123" s="49">
        <f t="shared" ref="B123:K132" si="24">_xlfn.HYPGEOM.DIST(B$2,comau,tongtheN*$W123,tongtheN,TRUE)</f>
        <v>8.0349616179921322E-93</v>
      </c>
      <c r="C123" s="49">
        <f t="shared" si="24"/>
        <v>5.9043938949123245E-90</v>
      </c>
      <c r="D123" s="49">
        <f t="shared" si="24"/>
        <v>2.1477382967690213E-87</v>
      </c>
      <c r="E123" s="49">
        <f t="shared" si="24"/>
        <v>5.1558083128577778E-85</v>
      </c>
      <c r="F123" s="49">
        <f t="shared" si="24"/>
        <v>9.1881750590329227E-83</v>
      </c>
      <c r="G123" s="49">
        <f t="shared" si="24"/>
        <v>1.2964682196556174E-80</v>
      </c>
      <c r="H123" s="49">
        <f t="shared" si="24"/>
        <v>1.5086090914626049E-78</v>
      </c>
      <c r="I123" s="49">
        <f t="shared" si="24"/>
        <v>1.4888831870346763E-76</v>
      </c>
      <c r="J123" s="49">
        <f t="shared" si="24"/>
        <v>1.2720957433506017E-74</v>
      </c>
      <c r="K123" s="49">
        <f t="shared" si="24"/>
        <v>9.5574931068952246E-73</v>
      </c>
      <c r="L123" s="49">
        <f t="shared" ref="L123:V132" si="25">_xlfn.HYPGEOM.DIST(L$2,comau,tongtheN*$W123,tongtheN,TRUE)</f>
        <v>6.3925994807367829E-71</v>
      </c>
      <c r="M123" s="49">
        <f t="shared" si="25"/>
        <v>3.8444415146794232E-69</v>
      </c>
      <c r="N123" s="49">
        <f t="shared" si="25"/>
        <v>2.0958606920784563E-67</v>
      </c>
      <c r="O123" s="49">
        <f t="shared" si="25"/>
        <v>1.0428869576022889E-65</v>
      </c>
      <c r="P123" s="49">
        <f t="shared" si="25"/>
        <v>4.7640877837497452E-64</v>
      </c>
      <c r="Q123" s="49">
        <f t="shared" si="25"/>
        <v>2.0079586745774419E-62</v>
      </c>
      <c r="R123" s="49">
        <f t="shared" si="25"/>
        <v>7.8422162980471747E-61</v>
      </c>
      <c r="S123" s="49">
        <f t="shared" si="25"/>
        <v>2.8488682322055179E-59</v>
      </c>
      <c r="T123" s="49">
        <f t="shared" si="25"/>
        <v>9.658285717654138E-58</v>
      </c>
      <c r="U123" s="49">
        <f t="shared" si="25"/>
        <v>3.064800439837351E-56</v>
      </c>
      <c r="V123" s="49">
        <f t="shared" si="25"/>
        <v>9.1268278435813063E-55</v>
      </c>
      <c r="W123" s="47">
        <v>0.88</v>
      </c>
    </row>
    <row r="124" spans="2:23" x14ac:dyDescent="0.25">
      <c r="B124" s="49">
        <f t="shared" si="24"/>
        <v>1.8429759553010259E-92</v>
      </c>
      <c r="C124" s="49">
        <f t="shared" si="24"/>
        <v>1.3415794613355137E-89</v>
      </c>
      <c r="D124" s="49">
        <f t="shared" si="24"/>
        <v>4.8342355558575998E-87</v>
      </c>
      <c r="E124" s="49">
        <f t="shared" si="24"/>
        <v>1.1496052422822108E-84</v>
      </c>
      <c r="F124" s="49">
        <f t="shared" si="24"/>
        <v>2.0294900306633941E-82</v>
      </c>
      <c r="G124" s="49">
        <f t="shared" si="24"/>
        <v>2.8367782705852152E-80</v>
      </c>
      <c r="H124" s="49">
        <f t="shared" si="24"/>
        <v>3.2699887904811874E-78</v>
      </c>
      <c r="I124" s="49">
        <f t="shared" si="24"/>
        <v>3.1969538974274206E-76</v>
      </c>
      <c r="J124" s="49">
        <f t="shared" si="24"/>
        <v>2.7058388905122603E-74</v>
      </c>
      <c r="K124" s="49">
        <f t="shared" si="24"/>
        <v>2.0138759007706797E-72</v>
      </c>
      <c r="L124" s="49">
        <f t="shared" si="25"/>
        <v>1.3343598874233432E-70</v>
      </c>
      <c r="M124" s="49">
        <f t="shared" si="25"/>
        <v>7.9494249629342558E-69</v>
      </c>
      <c r="N124" s="49">
        <f t="shared" si="25"/>
        <v>4.2931103316604973E-67</v>
      </c>
      <c r="O124" s="49">
        <f t="shared" si="25"/>
        <v>2.116188113286705E-65</v>
      </c>
      <c r="P124" s="49">
        <f t="shared" si="25"/>
        <v>9.5764470121350591E-64</v>
      </c>
      <c r="Q124" s="49">
        <f t="shared" si="25"/>
        <v>3.9984095555637938E-62</v>
      </c>
      <c r="R124" s="49">
        <f t="shared" si="25"/>
        <v>1.5469611742293468E-60</v>
      </c>
      <c r="S124" s="49">
        <f t="shared" si="25"/>
        <v>5.5670010008234598E-59</v>
      </c>
      <c r="T124" s="49">
        <f t="shared" si="25"/>
        <v>1.869638244639105E-57</v>
      </c>
      <c r="U124" s="49">
        <f t="shared" si="25"/>
        <v>5.8771747069940275E-56</v>
      </c>
      <c r="V124" s="49">
        <f t="shared" si="25"/>
        <v>1.7337856401093579E-54</v>
      </c>
      <c r="W124" s="47">
        <v>0.879</v>
      </c>
    </row>
    <row r="125" spans="2:23" x14ac:dyDescent="0.25">
      <c r="B125" s="49">
        <f t="shared" si="24"/>
        <v>4.1984319344391331E-92</v>
      </c>
      <c r="C125" s="49">
        <f t="shared" si="24"/>
        <v>3.0277374960044467E-89</v>
      </c>
      <c r="D125" s="49">
        <f t="shared" si="24"/>
        <v>1.0808468230250728E-86</v>
      </c>
      <c r="E125" s="49">
        <f t="shared" si="24"/>
        <v>2.5463597378960694E-84</v>
      </c>
      <c r="F125" s="49">
        <f t="shared" si="24"/>
        <v>4.4534111154477074E-82</v>
      </c>
      <c r="G125" s="49">
        <f t="shared" si="24"/>
        <v>6.1668909431387113E-80</v>
      </c>
      <c r="H125" s="49">
        <f t="shared" si="24"/>
        <v>7.0424264986334367E-78</v>
      </c>
      <c r="I125" s="49">
        <f t="shared" si="24"/>
        <v>6.8209959618307899E-76</v>
      </c>
      <c r="J125" s="49">
        <f t="shared" si="24"/>
        <v>5.7193792649432143E-74</v>
      </c>
      <c r="K125" s="49">
        <f t="shared" si="24"/>
        <v>4.2171145608536417E-72</v>
      </c>
      <c r="L125" s="49">
        <f t="shared" si="25"/>
        <v>2.7681626189903989E-70</v>
      </c>
      <c r="M125" s="49">
        <f t="shared" si="25"/>
        <v>1.6337683000907925E-68</v>
      </c>
      <c r="N125" s="49">
        <f t="shared" si="25"/>
        <v>8.7410406288034427E-67</v>
      </c>
      <c r="O125" s="49">
        <f t="shared" si="25"/>
        <v>4.2685651429831296E-65</v>
      </c>
      <c r="P125" s="49">
        <f t="shared" si="25"/>
        <v>1.9136778520326891E-63</v>
      </c>
      <c r="Q125" s="49">
        <f t="shared" si="25"/>
        <v>7.9156887012694855E-62</v>
      </c>
      <c r="R125" s="49">
        <f t="shared" si="25"/>
        <v>3.034017580007986E-60</v>
      </c>
      <c r="S125" s="49">
        <f t="shared" si="25"/>
        <v>1.0816767044370101E-58</v>
      </c>
      <c r="T125" s="49">
        <f t="shared" si="25"/>
        <v>3.5989143997754179E-57</v>
      </c>
      <c r="U125" s="49">
        <f t="shared" si="25"/>
        <v>1.1207804830647499E-55</v>
      </c>
      <c r="V125" s="49">
        <f t="shared" si="25"/>
        <v>3.2755607932575487E-54</v>
      </c>
      <c r="W125" s="47">
        <v>0.878</v>
      </c>
    </row>
    <row r="126" spans="2:23" x14ac:dyDescent="0.25">
      <c r="B126" s="49">
        <f t="shared" si="24"/>
        <v>9.5002411709749321E-92</v>
      </c>
      <c r="C126" s="49">
        <f t="shared" si="24"/>
        <v>6.7877958515967009E-89</v>
      </c>
      <c r="D126" s="49">
        <f t="shared" si="24"/>
        <v>2.4007000163284842E-86</v>
      </c>
      <c r="E126" s="49">
        <f t="shared" si="24"/>
        <v>5.6034674503356105E-84</v>
      </c>
      <c r="F126" s="49">
        <f t="shared" si="24"/>
        <v>9.7094224066976441E-82</v>
      </c>
      <c r="G126" s="49">
        <f t="shared" si="24"/>
        <v>1.3320807549551908E-79</v>
      </c>
      <c r="H126" s="49">
        <f t="shared" si="24"/>
        <v>1.5071291154505173E-77</v>
      </c>
      <c r="I126" s="49">
        <f t="shared" si="24"/>
        <v>1.4462386317475602E-75</v>
      </c>
      <c r="J126" s="49">
        <f t="shared" si="24"/>
        <v>1.2014488181500313E-73</v>
      </c>
      <c r="K126" s="49">
        <f t="shared" si="24"/>
        <v>8.7767995264022025E-72</v>
      </c>
      <c r="L126" s="49">
        <f t="shared" si="25"/>
        <v>5.7079081543346563E-70</v>
      </c>
      <c r="M126" s="49">
        <f t="shared" si="25"/>
        <v>3.3376488336936308E-68</v>
      </c>
      <c r="N126" s="49">
        <f t="shared" si="25"/>
        <v>1.7692056714978202E-66</v>
      </c>
      <c r="O126" s="49">
        <f t="shared" si="25"/>
        <v>8.5597744700879664E-65</v>
      </c>
      <c r="P126" s="49">
        <f t="shared" si="25"/>
        <v>3.8020225437058591E-63</v>
      </c>
      <c r="Q126" s="49">
        <f t="shared" si="25"/>
        <v>1.5581176385958855E-61</v>
      </c>
      <c r="R126" s="49">
        <f t="shared" si="25"/>
        <v>5.9169180113391796E-60</v>
      </c>
      <c r="S126" s="49">
        <f t="shared" si="25"/>
        <v>2.0899750697651302E-58</v>
      </c>
      <c r="T126" s="49">
        <f t="shared" si="25"/>
        <v>6.889402773876522E-57</v>
      </c>
      <c r="U126" s="49">
        <f t="shared" si="25"/>
        <v>2.1256772109164444E-55</v>
      </c>
      <c r="V126" s="49">
        <f t="shared" si="25"/>
        <v>6.1550190155176649E-54</v>
      </c>
      <c r="W126" s="47">
        <v>0.877</v>
      </c>
    </row>
    <row r="127" spans="2:23" x14ac:dyDescent="0.25">
      <c r="B127" s="49">
        <f t="shared" si="24"/>
        <v>2.135548863195551E-91</v>
      </c>
      <c r="C127" s="49">
        <f t="shared" si="24"/>
        <v>1.5118019028158668E-88</v>
      </c>
      <c r="D127" s="49">
        <f t="shared" si="24"/>
        <v>5.2977980233071529E-86</v>
      </c>
      <c r="E127" s="49">
        <f t="shared" si="24"/>
        <v>1.2251969262711946E-83</v>
      </c>
      <c r="F127" s="49">
        <f t="shared" si="24"/>
        <v>2.1034594599814638E-81</v>
      </c>
      <c r="G127" s="49">
        <f t="shared" si="24"/>
        <v>2.8593227374826399E-79</v>
      </c>
      <c r="H127" s="49">
        <f t="shared" si="24"/>
        <v>3.2053475716736044E-77</v>
      </c>
      <c r="I127" s="49">
        <f t="shared" si="24"/>
        <v>3.0475921810988761E-75</v>
      </c>
      <c r="J127" s="49">
        <f t="shared" si="24"/>
        <v>2.5085027057128439E-73</v>
      </c>
      <c r="K127" s="49">
        <f t="shared" si="24"/>
        <v>1.8156748341012172E-71</v>
      </c>
      <c r="L127" s="49">
        <f t="shared" si="25"/>
        <v>1.1699617512120254E-69</v>
      </c>
      <c r="M127" s="49">
        <f t="shared" si="25"/>
        <v>6.7784176318158224E-68</v>
      </c>
      <c r="N127" s="49">
        <f t="shared" si="25"/>
        <v>3.5600755034474711E-66</v>
      </c>
      <c r="O127" s="49">
        <f t="shared" si="25"/>
        <v>1.7066192047755986E-64</v>
      </c>
      <c r="P127" s="49">
        <f t="shared" si="25"/>
        <v>7.5107384522353142E-63</v>
      </c>
      <c r="Q127" s="49">
        <f t="shared" si="25"/>
        <v>3.0497347781440021E-61</v>
      </c>
      <c r="R127" s="49">
        <f t="shared" si="25"/>
        <v>1.1474968393667406E-59</v>
      </c>
      <c r="S127" s="49">
        <f t="shared" si="25"/>
        <v>4.0159788823572232E-58</v>
      </c>
      <c r="T127" s="49">
        <f t="shared" si="25"/>
        <v>1.311675836481714E-56</v>
      </c>
      <c r="U127" s="49">
        <f t="shared" si="25"/>
        <v>4.0099333706542085E-55</v>
      </c>
      <c r="V127" s="49">
        <f t="shared" si="25"/>
        <v>1.1504411734012435E-53</v>
      </c>
      <c r="W127" s="47">
        <v>0.876</v>
      </c>
    </row>
    <row r="128" spans="2:23" x14ac:dyDescent="0.25">
      <c r="B128" s="49">
        <f t="shared" si="24"/>
        <v>4.7693360836817891E-91</v>
      </c>
      <c r="C128" s="49">
        <f t="shared" si="24"/>
        <v>3.3455094831579732E-88</v>
      </c>
      <c r="D128" s="49">
        <f t="shared" si="24"/>
        <v>1.1616676384577711E-85</v>
      </c>
      <c r="E128" s="49">
        <f t="shared" si="24"/>
        <v>2.6620221617174563E-83</v>
      </c>
      <c r="F128" s="49">
        <f t="shared" si="24"/>
        <v>4.5285519147867182E-81</v>
      </c>
      <c r="G128" s="49">
        <f t="shared" si="24"/>
        <v>6.099693123026374E-79</v>
      </c>
      <c r="H128" s="49">
        <f t="shared" si="24"/>
        <v>6.7754744776401923E-77</v>
      </c>
      <c r="I128" s="49">
        <f t="shared" si="24"/>
        <v>6.3832431748919666E-75</v>
      </c>
      <c r="J128" s="49">
        <f t="shared" si="24"/>
        <v>5.2061808539296056E-73</v>
      </c>
      <c r="K128" s="49">
        <f t="shared" si="24"/>
        <v>3.7339034058803105E-71</v>
      </c>
      <c r="L128" s="49">
        <f t="shared" si="25"/>
        <v>2.3840600613262738E-69</v>
      </c>
      <c r="M128" s="49">
        <f t="shared" si="25"/>
        <v>1.3686568584283701E-67</v>
      </c>
      <c r="N128" s="49">
        <f t="shared" si="25"/>
        <v>7.122728654212278E-66</v>
      </c>
      <c r="O128" s="49">
        <f t="shared" si="25"/>
        <v>3.3833347766097532E-64</v>
      </c>
      <c r="P128" s="49">
        <f t="shared" si="25"/>
        <v>1.4754087711235647E-62</v>
      </c>
      <c r="Q128" s="49">
        <f t="shared" si="25"/>
        <v>5.9362667138585532E-61</v>
      </c>
      <c r="R128" s="49">
        <f t="shared" si="25"/>
        <v>2.2132204954563733E-59</v>
      </c>
      <c r="S128" s="49">
        <f t="shared" si="25"/>
        <v>7.6751471140306223E-58</v>
      </c>
      <c r="T128" s="49">
        <f t="shared" si="25"/>
        <v>2.4839575475833288E-56</v>
      </c>
      <c r="U128" s="49">
        <f t="shared" si="25"/>
        <v>7.5244964331796606E-55</v>
      </c>
      <c r="V128" s="49">
        <f t="shared" si="25"/>
        <v>2.1390828938302261E-53</v>
      </c>
      <c r="W128" s="47">
        <v>0.875</v>
      </c>
    </row>
    <row r="129" spans="2:23" x14ac:dyDescent="0.25">
      <c r="B129" s="49">
        <f t="shared" si="24"/>
        <v>1.0583393212190437E-90</v>
      </c>
      <c r="C129" s="49">
        <f t="shared" si="24"/>
        <v>7.3565723680998881E-88</v>
      </c>
      <c r="D129" s="49">
        <f t="shared" si="24"/>
        <v>2.5312878346826108E-85</v>
      </c>
      <c r="E129" s="49">
        <f t="shared" si="24"/>
        <v>5.7480145649487149E-83</v>
      </c>
      <c r="F129" s="49">
        <f t="shared" si="24"/>
        <v>9.6897430076172396E-81</v>
      </c>
      <c r="G129" s="49">
        <f t="shared" si="24"/>
        <v>1.2933253090254986E-78</v>
      </c>
      <c r="H129" s="49">
        <f t="shared" si="24"/>
        <v>1.4235953438175533E-76</v>
      </c>
      <c r="I129" s="49">
        <f t="shared" si="24"/>
        <v>1.3290320918181956E-74</v>
      </c>
      <c r="J129" s="49">
        <f t="shared" si="24"/>
        <v>1.074139645006604E-72</v>
      </c>
      <c r="K129" s="49">
        <f t="shared" si="24"/>
        <v>7.6340004503752143E-71</v>
      </c>
      <c r="L129" s="49">
        <f t="shared" si="25"/>
        <v>4.830077488500116E-69</v>
      </c>
      <c r="M129" s="49">
        <f t="shared" si="25"/>
        <v>2.7477643854737504E-67</v>
      </c>
      <c r="N129" s="49">
        <f t="shared" si="25"/>
        <v>1.417031578028472E-65</v>
      </c>
      <c r="O129" s="49">
        <f t="shared" si="25"/>
        <v>6.6700107693382284E-64</v>
      </c>
      <c r="P129" s="49">
        <f t="shared" si="25"/>
        <v>2.8823225681404627E-62</v>
      </c>
      <c r="Q129" s="49">
        <f t="shared" si="25"/>
        <v>1.149191801185745E-60</v>
      </c>
      <c r="R129" s="49">
        <f t="shared" si="25"/>
        <v>4.2457354611182444E-59</v>
      </c>
      <c r="S129" s="49">
        <f t="shared" si="25"/>
        <v>1.4590304029425334E-57</v>
      </c>
      <c r="T129" s="49">
        <f t="shared" si="25"/>
        <v>4.6791982761691486E-56</v>
      </c>
      <c r="U129" s="49">
        <f t="shared" si="25"/>
        <v>1.4046063800381952E-54</v>
      </c>
      <c r="V129" s="49">
        <f t="shared" si="25"/>
        <v>3.9568994036402055E-53</v>
      </c>
      <c r="W129" s="47">
        <v>0.874</v>
      </c>
    </row>
    <row r="130" spans="2:23" x14ac:dyDescent="0.25">
      <c r="B130" s="49">
        <f t="shared" si="24"/>
        <v>2.3337510019302164E-90</v>
      </c>
      <c r="C130" s="49">
        <f t="shared" si="24"/>
        <v>1.6076006564209286E-87</v>
      </c>
      <c r="D130" s="49">
        <f t="shared" si="24"/>
        <v>5.4817272941425746E-85</v>
      </c>
      <c r="E130" s="49">
        <f t="shared" si="24"/>
        <v>1.2335794995886277E-82</v>
      </c>
      <c r="F130" s="49">
        <f t="shared" si="24"/>
        <v>2.0607964324439075E-80</v>
      </c>
      <c r="G130" s="49">
        <f t="shared" si="24"/>
        <v>2.7258649199729234E-78</v>
      </c>
      <c r="H130" s="49">
        <f t="shared" si="24"/>
        <v>2.9734251138932687E-76</v>
      </c>
      <c r="I130" s="49">
        <f t="shared" si="24"/>
        <v>2.75093281975316E-74</v>
      </c>
      <c r="J130" s="49">
        <f t="shared" si="24"/>
        <v>2.2033298465254816E-72</v>
      </c>
      <c r="K130" s="49">
        <f t="shared" si="24"/>
        <v>1.5518344811204726E-70</v>
      </c>
      <c r="L130" s="49">
        <f t="shared" si="25"/>
        <v>9.7302042292324934E-69</v>
      </c>
      <c r="M130" s="49">
        <f t="shared" si="25"/>
        <v>5.4855754482510821E-67</v>
      </c>
      <c r="N130" s="49">
        <f t="shared" si="25"/>
        <v>2.8034788629028696E-65</v>
      </c>
      <c r="O130" s="49">
        <f t="shared" si="25"/>
        <v>1.3077344529918798E-63</v>
      </c>
      <c r="P130" s="49">
        <f t="shared" si="25"/>
        <v>5.6002976663776604E-62</v>
      </c>
      <c r="Q130" s="49">
        <f t="shared" si="25"/>
        <v>2.2127725750049715E-60</v>
      </c>
      <c r="R130" s="49">
        <f t="shared" si="25"/>
        <v>8.1016442155288219E-59</v>
      </c>
      <c r="S130" s="49">
        <f t="shared" si="25"/>
        <v>2.7590578353416516E-57</v>
      </c>
      <c r="T130" s="49">
        <f t="shared" si="25"/>
        <v>8.7688854873363161E-56</v>
      </c>
      <c r="U130" s="49">
        <f t="shared" si="25"/>
        <v>2.6085811182140904E-54</v>
      </c>
      <c r="V130" s="49">
        <f t="shared" si="25"/>
        <v>7.2825212515256443E-53</v>
      </c>
      <c r="W130" s="47">
        <v>0.873</v>
      </c>
    </row>
    <row r="131" spans="2:23" x14ac:dyDescent="0.25">
      <c r="B131" s="49">
        <f t="shared" si="24"/>
        <v>5.114340485907476E-90</v>
      </c>
      <c r="C131" s="49">
        <f t="shared" si="24"/>
        <v>3.4915058848105266E-87</v>
      </c>
      <c r="D131" s="49">
        <f t="shared" si="24"/>
        <v>1.1799175652630809E-84</v>
      </c>
      <c r="E131" s="49">
        <f t="shared" si="24"/>
        <v>2.6314866913531461E-82</v>
      </c>
      <c r="F131" s="49">
        <f t="shared" si="24"/>
        <v>4.3568146627584326E-80</v>
      </c>
      <c r="G131" s="49">
        <f t="shared" si="24"/>
        <v>5.7113456884640008E-78</v>
      </c>
      <c r="H131" s="49">
        <f t="shared" si="24"/>
        <v>6.1743524973189219E-76</v>
      </c>
      <c r="I131" s="49">
        <f t="shared" si="24"/>
        <v>5.6612831409119779E-74</v>
      </c>
      <c r="J131" s="49">
        <f t="shared" si="24"/>
        <v>4.4938137617574366E-72</v>
      </c>
      <c r="K131" s="49">
        <f t="shared" si="24"/>
        <v>3.1367636848973509E-70</v>
      </c>
      <c r="L131" s="49">
        <f t="shared" si="25"/>
        <v>1.9492134891593849E-68</v>
      </c>
      <c r="M131" s="49">
        <f t="shared" si="25"/>
        <v>1.0890827945240247E-66</v>
      </c>
      <c r="N131" s="49">
        <f t="shared" si="25"/>
        <v>5.5161676015276427E-65</v>
      </c>
      <c r="O131" s="49">
        <f t="shared" si="25"/>
        <v>2.5501246760952268E-63</v>
      </c>
      <c r="P131" s="49">
        <f t="shared" si="25"/>
        <v>1.0823179626050729E-61</v>
      </c>
      <c r="Q131" s="49">
        <f t="shared" si="25"/>
        <v>4.2382119970301455E-60</v>
      </c>
      <c r="R131" s="49">
        <f t="shared" si="25"/>
        <v>1.537876454650808E-58</v>
      </c>
      <c r="S131" s="49">
        <f t="shared" si="25"/>
        <v>5.1905301900779946E-57</v>
      </c>
      <c r="T131" s="49">
        <f t="shared" si="25"/>
        <v>1.6349264288007034E-55</v>
      </c>
      <c r="U131" s="49">
        <f t="shared" si="25"/>
        <v>4.8201586495987955E-54</v>
      </c>
      <c r="V131" s="49">
        <f t="shared" si="25"/>
        <v>1.3336510180191578E-52</v>
      </c>
      <c r="W131" s="47">
        <v>0.872</v>
      </c>
    </row>
    <row r="132" spans="2:23" x14ac:dyDescent="0.25">
      <c r="B132" s="49">
        <f t="shared" si="24"/>
        <v>1.1139667914521677E-89</v>
      </c>
      <c r="C132" s="49">
        <f t="shared" si="24"/>
        <v>7.537387658721661E-87</v>
      </c>
      <c r="D132" s="49">
        <f t="shared" si="24"/>
        <v>2.5245580483502814E-84</v>
      </c>
      <c r="E132" s="49">
        <f t="shared" si="24"/>
        <v>5.5803398822599765E-82</v>
      </c>
      <c r="F132" s="49">
        <f t="shared" si="24"/>
        <v>9.1570271260141029E-80</v>
      </c>
      <c r="G132" s="49">
        <f t="shared" si="24"/>
        <v>1.189734271478244E-77</v>
      </c>
      <c r="H132" s="49">
        <f t="shared" si="24"/>
        <v>1.2747623482361223E-75</v>
      </c>
      <c r="I132" s="49">
        <f t="shared" si="24"/>
        <v>1.1584549384030941E-73</v>
      </c>
      <c r="J132" s="49">
        <f t="shared" si="24"/>
        <v>9.1139362277686874E-72</v>
      </c>
      <c r="K132" s="49">
        <f t="shared" si="24"/>
        <v>6.305209975382644E-70</v>
      </c>
      <c r="L132" s="49">
        <f t="shared" si="25"/>
        <v>3.8833290806507462E-68</v>
      </c>
      <c r="M132" s="49">
        <f t="shared" si="25"/>
        <v>2.1504676917789076E-66</v>
      </c>
      <c r="N132" s="49">
        <f t="shared" si="25"/>
        <v>1.0795354979739682E-64</v>
      </c>
      <c r="O132" s="49">
        <f t="shared" si="25"/>
        <v>4.946392285055209E-63</v>
      </c>
      <c r="P132" s="49">
        <f t="shared" si="25"/>
        <v>2.0807020884599974E-61</v>
      </c>
      <c r="Q132" s="49">
        <f t="shared" si="25"/>
        <v>8.0754334521864568E-60</v>
      </c>
      <c r="R132" s="49">
        <f t="shared" si="25"/>
        <v>2.9042432366746295E-58</v>
      </c>
      <c r="S132" s="49">
        <f t="shared" si="25"/>
        <v>9.715203139008929E-57</v>
      </c>
      <c r="T132" s="49">
        <f t="shared" si="25"/>
        <v>3.0329640805305892E-55</v>
      </c>
      <c r="U132" s="49">
        <f t="shared" si="25"/>
        <v>8.8625673086728996E-54</v>
      </c>
      <c r="V132" s="49">
        <f t="shared" si="25"/>
        <v>2.4303558076965699E-52</v>
      </c>
      <c r="W132" s="47">
        <v>0.871</v>
      </c>
    </row>
    <row r="133" spans="2:23" x14ac:dyDescent="0.25">
      <c r="B133" s="49">
        <f t="shared" ref="B133:K142" si="26">_xlfn.HYPGEOM.DIST(B$2,comau,tongtheN*$W133,tongtheN,TRUE)</f>
        <v>2.4118112476506459E-89</v>
      </c>
      <c r="C133" s="49">
        <f t="shared" si="26"/>
        <v>1.6174950644322737E-86</v>
      </c>
      <c r="D133" s="49">
        <f t="shared" si="26"/>
        <v>5.3698068739971135E-84</v>
      </c>
      <c r="E133" s="49">
        <f t="shared" si="26"/>
        <v>1.1764820583598574E-81</v>
      </c>
      <c r="F133" s="49">
        <f t="shared" si="26"/>
        <v>1.9135097195246253E-79</v>
      </c>
      <c r="G133" s="49">
        <f t="shared" si="26"/>
        <v>2.464210630134328E-77</v>
      </c>
      <c r="H133" s="49">
        <f t="shared" si="26"/>
        <v>2.6170314300608014E-75</v>
      </c>
      <c r="I133" s="49">
        <f t="shared" si="26"/>
        <v>2.3572784801473834E-73</v>
      </c>
      <c r="J133" s="49">
        <f t="shared" si="26"/>
        <v>1.8381881067138915E-71</v>
      </c>
      <c r="K133" s="49">
        <f t="shared" si="26"/>
        <v>1.2604799203234279E-69</v>
      </c>
      <c r="L133" s="49">
        <f t="shared" ref="L133:V142" si="27">_xlfn.HYPGEOM.DIST(L$2,comau,tongtheN*$W133,tongtheN,TRUE)</f>
        <v>7.6947263861835707E-68</v>
      </c>
      <c r="M133" s="49">
        <f t="shared" si="27"/>
        <v>4.2235216212831908E-66</v>
      </c>
      <c r="N133" s="49">
        <f t="shared" si="27"/>
        <v>2.1015114077923479E-64</v>
      </c>
      <c r="O133" s="49">
        <f t="shared" si="27"/>
        <v>9.5441361036523612E-63</v>
      </c>
      <c r="P133" s="49">
        <f t="shared" si="27"/>
        <v>3.9793436105863636E-61</v>
      </c>
      <c r="Q133" s="49">
        <f t="shared" si="27"/>
        <v>1.5308092817280426E-59</v>
      </c>
      <c r="R133" s="49">
        <f t="shared" si="27"/>
        <v>5.4568520731848742E-58</v>
      </c>
      <c r="S133" s="49">
        <f t="shared" si="27"/>
        <v>1.8093195819659816E-56</v>
      </c>
      <c r="T133" s="49">
        <f t="shared" si="27"/>
        <v>5.5986733708591616E-55</v>
      </c>
      <c r="U133" s="49">
        <f t="shared" si="27"/>
        <v>1.6215567454957253E-53</v>
      </c>
      <c r="V133" s="49">
        <f t="shared" si="27"/>
        <v>4.4075524506051549E-52</v>
      </c>
      <c r="W133" s="47">
        <v>0.87</v>
      </c>
    </row>
    <row r="134" spans="2:23" x14ac:dyDescent="0.25">
      <c r="B134" s="49">
        <f t="shared" si="26"/>
        <v>5.1909027228351242E-89</v>
      </c>
      <c r="C134" s="49">
        <f t="shared" si="26"/>
        <v>3.4507917323626792E-86</v>
      </c>
      <c r="D134" s="49">
        <f t="shared" si="26"/>
        <v>1.1355619069798379E-83</v>
      </c>
      <c r="E134" s="49">
        <f t="shared" si="26"/>
        <v>2.4661187206075693E-81</v>
      </c>
      <c r="F134" s="49">
        <f t="shared" si="26"/>
        <v>3.9759052835600829E-79</v>
      </c>
      <c r="G134" s="49">
        <f t="shared" si="26"/>
        <v>5.075280362983066E-77</v>
      </c>
      <c r="H134" s="49">
        <f t="shared" si="26"/>
        <v>5.3427908993364636E-75</v>
      </c>
      <c r="I134" s="49">
        <f t="shared" si="26"/>
        <v>4.770318071690438E-73</v>
      </c>
      <c r="J134" s="49">
        <f t="shared" si="26"/>
        <v>3.6872602373190743E-71</v>
      </c>
      <c r="K134" s="49">
        <f t="shared" si="26"/>
        <v>2.5062671017298159E-69</v>
      </c>
      <c r="L134" s="49">
        <f t="shared" si="27"/>
        <v>1.5165697342434526E-67</v>
      </c>
      <c r="M134" s="49">
        <f t="shared" si="27"/>
        <v>8.2512911371999822E-66</v>
      </c>
      <c r="N134" s="49">
        <f t="shared" si="27"/>
        <v>4.0696507360386269E-64</v>
      </c>
      <c r="O134" s="49">
        <f t="shared" si="27"/>
        <v>1.8320631036510806E-62</v>
      </c>
      <c r="P134" s="49">
        <f t="shared" si="27"/>
        <v>7.5717085853109185E-61</v>
      </c>
      <c r="Q134" s="49">
        <f t="shared" si="27"/>
        <v>2.8872368815962251E-59</v>
      </c>
      <c r="R134" s="49">
        <f t="shared" si="27"/>
        <v>1.0201936973540011E-57</v>
      </c>
      <c r="S134" s="49">
        <f t="shared" si="27"/>
        <v>3.3530120807382079E-56</v>
      </c>
      <c r="T134" s="49">
        <f t="shared" si="27"/>
        <v>1.0284533786598862E-54</v>
      </c>
      <c r="U134" s="49">
        <f t="shared" si="27"/>
        <v>2.9526471241398571E-53</v>
      </c>
      <c r="V134" s="49">
        <f t="shared" si="27"/>
        <v>7.9553096359082294E-52</v>
      </c>
      <c r="W134" s="47">
        <v>0.86899999999999999</v>
      </c>
    </row>
    <row r="135" spans="2:23" x14ac:dyDescent="0.25">
      <c r="B135" s="49">
        <f t="shared" si="26"/>
        <v>1.110734060548933E-88</v>
      </c>
      <c r="C135" s="49">
        <f t="shared" si="26"/>
        <v>7.319593057484983E-86</v>
      </c>
      <c r="D135" s="49">
        <f t="shared" si="26"/>
        <v>2.3877021214126934E-83</v>
      </c>
      <c r="E135" s="49">
        <f t="shared" si="26"/>
        <v>5.1402543633035815E-81</v>
      </c>
      <c r="F135" s="49">
        <f t="shared" si="26"/>
        <v>8.2150105252328912E-79</v>
      </c>
      <c r="G135" s="49">
        <f t="shared" si="26"/>
        <v>1.0395221912756615E-76</v>
      </c>
      <c r="H135" s="49">
        <f t="shared" si="26"/>
        <v>1.0847850984672332E-74</v>
      </c>
      <c r="I135" s="49">
        <f t="shared" si="26"/>
        <v>9.6011854123943899E-73</v>
      </c>
      <c r="J135" s="49">
        <f t="shared" si="26"/>
        <v>7.3567073547404545E-71</v>
      </c>
      <c r="K135" s="49">
        <f t="shared" si="26"/>
        <v>4.9568914300962881E-69</v>
      </c>
      <c r="L135" s="49">
        <f t="shared" si="27"/>
        <v>2.9733566073553636E-67</v>
      </c>
      <c r="M135" s="49">
        <f t="shared" si="27"/>
        <v>1.6036489035408649E-65</v>
      </c>
      <c r="N135" s="49">
        <f t="shared" si="27"/>
        <v>7.8405675027544798E-64</v>
      </c>
      <c r="O135" s="49">
        <f t="shared" si="27"/>
        <v>3.4989197847135996E-62</v>
      </c>
      <c r="P135" s="49">
        <f t="shared" si="27"/>
        <v>1.4334774806585284E-60</v>
      </c>
      <c r="Q135" s="49">
        <f t="shared" si="27"/>
        <v>5.4185497281887931E-59</v>
      </c>
      <c r="R135" s="49">
        <f t="shared" si="27"/>
        <v>1.8979605919881842E-57</v>
      </c>
      <c r="S135" s="49">
        <f t="shared" si="27"/>
        <v>6.1836348395662263E-56</v>
      </c>
      <c r="T135" s="49">
        <f t="shared" si="27"/>
        <v>1.8801727487095588E-54</v>
      </c>
      <c r="U135" s="49">
        <f t="shared" si="27"/>
        <v>5.3509315272737261E-53</v>
      </c>
      <c r="V135" s="49">
        <f t="shared" si="27"/>
        <v>1.429156942181802E-51</v>
      </c>
      <c r="W135" s="47">
        <v>0.86799999999999999</v>
      </c>
    </row>
    <row r="136" spans="2:23" x14ac:dyDescent="0.25">
      <c r="B136" s="49">
        <f t="shared" si="26"/>
        <v>2.3631057191383842E-88</v>
      </c>
      <c r="C136" s="49">
        <f t="shared" si="26"/>
        <v>1.5437798931948868E-85</v>
      </c>
      <c r="D136" s="49">
        <f t="shared" si="26"/>
        <v>4.9923396541760008E-83</v>
      </c>
      <c r="E136" s="49">
        <f t="shared" si="26"/>
        <v>1.0654529708364901E-80</v>
      </c>
      <c r="F136" s="49">
        <f t="shared" si="26"/>
        <v>1.6880435881664626E-78</v>
      </c>
      <c r="G136" s="49">
        <f t="shared" si="26"/>
        <v>2.1175580474788501E-76</v>
      </c>
      <c r="H136" s="49">
        <f t="shared" si="26"/>
        <v>2.1906423085098168E-74</v>
      </c>
      <c r="I136" s="49">
        <f t="shared" si="26"/>
        <v>1.9221133616292053E-72</v>
      </c>
      <c r="J136" s="49">
        <f t="shared" si="26"/>
        <v>1.4600380970239353E-70</v>
      </c>
      <c r="K136" s="49">
        <f t="shared" si="26"/>
        <v>9.7525205218774094E-69</v>
      </c>
      <c r="L136" s="49">
        <f t="shared" si="27"/>
        <v>5.7993780740757119E-67</v>
      </c>
      <c r="M136" s="49">
        <f t="shared" si="27"/>
        <v>3.1007794510405773E-65</v>
      </c>
      <c r="N136" s="49">
        <f t="shared" si="27"/>
        <v>1.5029220597153735E-63</v>
      </c>
      <c r="O136" s="49">
        <f t="shared" si="27"/>
        <v>6.6489113487678597E-62</v>
      </c>
      <c r="P136" s="49">
        <f t="shared" si="27"/>
        <v>2.7004444942429548E-60</v>
      </c>
      <c r="Q136" s="49">
        <f t="shared" si="27"/>
        <v>1.0119417279046027E-58</v>
      </c>
      <c r="R136" s="49">
        <f t="shared" si="27"/>
        <v>3.5138881927650086E-57</v>
      </c>
      <c r="S136" s="49">
        <f t="shared" si="27"/>
        <v>1.1349406343622552E-55</v>
      </c>
      <c r="T136" s="49">
        <f t="shared" si="27"/>
        <v>3.4210221887214479E-54</v>
      </c>
      <c r="U136" s="49">
        <f t="shared" si="27"/>
        <v>9.6519849068380606E-53</v>
      </c>
      <c r="V136" s="49">
        <f t="shared" si="27"/>
        <v>2.5556216229020349E-51</v>
      </c>
      <c r="W136" s="47">
        <v>0.86699999999999999</v>
      </c>
    </row>
    <row r="137" spans="2:23" x14ac:dyDescent="0.25">
      <c r="B137" s="49">
        <f t="shared" si="26"/>
        <v>4.9991878082071599E-88</v>
      </c>
      <c r="C137" s="49">
        <f t="shared" si="26"/>
        <v>3.2378079259548591E-85</v>
      </c>
      <c r="D137" s="49">
        <f t="shared" si="26"/>
        <v>1.0380526489965658E-82</v>
      </c>
      <c r="E137" s="49">
        <f t="shared" si="26"/>
        <v>2.1963383969023397E-80</v>
      </c>
      <c r="F137" s="49">
        <f t="shared" si="26"/>
        <v>3.4498364226413207E-78</v>
      </c>
      <c r="G137" s="49">
        <f t="shared" si="26"/>
        <v>4.290424032107616E-76</v>
      </c>
      <c r="H137" s="49">
        <f t="shared" si="26"/>
        <v>4.4003435401523818E-74</v>
      </c>
      <c r="I137" s="49">
        <f t="shared" si="26"/>
        <v>3.8277583338049889E-72</v>
      </c>
      <c r="J137" s="49">
        <f t="shared" si="26"/>
        <v>2.88257282054395E-70</v>
      </c>
      <c r="K137" s="49">
        <f t="shared" si="26"/>
        <v>1.9089025182427893E-68</v>
      </c>
      <c r="L137" s="49">
        <f t="shared" si="27"/>
        <v>1.1253802207267606E-66</v>
      </c>
      <c r="M137" s="49">
        <f t="shared" si="27"/>
        <v>5.9654047588517898E-65</v>
      </c>
      <c r="N137" s="49">
        <f t="shared" si="27"/>
        <v>2.8665326621706789E-63</v>
      </c>
      <c r="O137" s="49">
        <f t="shared" si="27"/>
        <v>1.257252753555582E-61</v>
      </c>
      <c r="P137" s="49">
        <f t="shared" si="27"/>
        <v>5.062431437130322E-60</v>
      </c>
      <c r="Q137" s="49">
        <f t="shared" si="27"/>
        <v>1.8807518068516741E-58</v>
      </c>
      <c r="R137" s="49">
        <f t="shared" si="27"/>
        <v>6.4746493337418379E-57</v>
      </c>
      <c r="S137" s="49">
        <f t="shared" si="27"/>
        <v>2.0732613181620978E-55</v>
      </c>
      <c r="T137" s="49">
        <f t="shared" si="27"/>
        <v>6.1956894721624138E-54</v>
      </c>
      <c r="U137" s="49">
        <f t="shared" si="27"/>
        <v>1.7330197605908583E-52</v>
      </c>
      <c r="V137" s="49">
        <f t="shared" si="27"/>
        <v>4.5492190735381616E-51</v>
      </c>
      <c r="W137" s="47">
        <v>0.86599999999999999</v>
      </c>
    </row>
    <row r="138" spans="2:23" x14ac:dyDescent="0.25">
      <c r="B138" s="49">
        <f t="shared" si="26"/>
        <v>1.0517088704849076E-87</v>
      </c>
      <c r="C138" s="49">
        <f t="shared" si="26"/>
        <v>6.7533649251192886E-85</v>
      </c>
      <c r="D138" s="49">
        <f t="shared" si="26"/>
        <v>2.1466523835404939E-82</v>
      </c>
      <c r="E138" s="49">
        <f t="shared" si="26"/>
        <v>4.5031349374207339E-80</v>
      </c>
      <c r="F138" s="49">
        <f t="shared" si="26"/>
        <v>7.012740018164855E-78</v>
      </c>
      <c r="G138" s="49">
        <f t="shared" si="26"/>
        <v>8.6469540309530199E-76</v>
      </c>
      <c r="H138" s="49">
        <f t="shared" si="26"/>
        <v>8.7927229637743531E-74</v>
      </c>
      <c r="I138" s="49">
        <f t="shared" si="26"/>
        <v>7.5832499299479986E-72</v>
      </c>
      <c r="J138" s="49">
        <f t="shared" si="26"/>
        <v>5.661941602128422E-70</v>
      </c>
      <c r="K138" s="49">
        <f t="shared" si="26"/>
        <v>3.7174341226874953E-68</v>
      </c>
      <c r="L138" s="49">
        <f t="shared" si="27"/>
        <v>2.1728684759623941E-66</v>
      </c>
      <c r="M138" s="49">
        <f t="shared" si="27"/>
        <v>1.1419548019265386E-64</v>
      </c>
      <c r="N138" s="49">
        <f t="shared" si="27"/>
        <v>5.4405266793803345E-63</v>
      </c>
      <c r="O138" s="49">
        <f t="shared" si="27"/>
        <v>2.3658211907912203E-61</v>
      </c>
      <c r="P138" s="49">
        <f t="shared" si="27"/>
        <v>9.4448263643091523E-60</v>
      </c>
      <c r="Q138" s="49">
        <f t="shared" si="27"/>
        <v>3.4789008490823866E-58</v>
      </c>
      <c r="R138" s="49">
        <f t="shared" si="27"/>
        <v>1.1874157425545715E-56</v>
      </c>
      <c r="S138" s="49">
        <f t="shared" si="27"/>
        <v>3.7697872285886675E-55</v>
      </c>
      <c r="T138" s="49">
        <f t="shared" si="27"/>
        <v>1.1169376921604727E-53</v>
      </c>
      <c r="U138" s="49">
        <f t="shared" si="27"/>
        <v>3.0975591369378707E-52</v>
      </c>
      <c r="V138" s="49">
        <f t="shared" si="27"/>
        <v>8.061762865908319E-51</v>
      </c>
      <c r="W138" s="47">
        <v>0.86499999999999999</v>
      </c>
    </row>
    <row r="139" spans="2:23" x14ac:dyDescent="0.25">
      <c r="B139" s="49">
        <f t="shared" si="26"/>
        <v>2.20042787831786E-87</v>
      </c>
      <c r="C139" s="49">
        <f t="shared" si="26"/>
        <v>1.4009678322719003E-84</v>
      </c>
      <c r="D139" s="49">
        <f t="shared" si="26"/>
        <v>4.4153604883886345E-82</v>
      </c>
      <c r="E139" s="49">
        <f t="shared" si="26"/>
        <v>9.1836656163761126E-80</v>
      </c>
      <c r="F139" s="49">
        <f t="shared" si="26"/>
        <v>1.4180307932051641E-77</v>
      </c>
      <c r="G139" s="49">
        <f t="shared" si="26"/>
        <v>1.7336365892670514E-75</v>
      </c>
      <c r="H139" s="49">
        <f t="shared" si="26"/>
        <v>1.7478955231752552E-73</v>
      </c>
      <c r="I139" s="49">
        <f t="shared" si="26"/>
        <v>1.4946682059871342E-71</v>
      </c>
      <c r="J139" s="49">
        <f t="shared" si="26"/>
        <v>1.1065023626659227E-69</v>
      </c>
      <c r="K139" s="49">
        <f t="shared" si="26"/>
        <v>7.2032413626528664E-68</v>
      </c>
      <c r="L139" s="49">
        <f t="shared" si="27"/>
        <v>4.1746113654571004E-66</v>
      </c>
      <c r="M139" s="49">
        <f t="shared" si="27"/>
        <v>2.1753525915195403E-64</v>
      </c>
      <c r="N139" s="49">
        <f t="shared" si="27"/>
        <v>1.0275903929428986E-62</v>
      </c>
      <c r="O139" s="49">
        <f t="shared" si="27"/>
        <v>4.4305697380070092E-61</v>
      </c>
      <c r="P139" s="49">
        <f t="shared" si="27"/>
        <v>1.7537611122919584E-59</v>
      </c>
      <c r="Q139" s="49">
        <f t="shared" si="27"/>
        <v>6.4049765769625345E-58</v>
      </c>
      <c r="R139" s="49">
        <f t="shared" si="27"/>
        <v>2.1675922106537457E-56</v>
      </c>
      <c r="S139" s="49">
        <f t="shared" si="27"/>
        <v>6.8232480536878234E-55</v>
      </c>
      <c r="T139" s="49">
        <f t="shared" si="27"/>
        <v>2.0044862315442408E-53</v>
      </c>
      <c r="U139" s="49">
        <f t="shared" si="27"/>
        <v>5.5118047493764644E-52</v>
      </c>
      <c r="V139" s="49">
        <f t="shared" si="27"/>
        <v>1.4223439008162885E-50</v>
      </c>
      <c r="W139" s="47">
        <v>0.86399999999999999</v>
      </c>
    </row>
    <row r="140" spans="2:23" x14ac:dyDescent="0.25">
      <c r="B140" s="49">
        <f t="shared" si="26"/>
        <v>4.5789848441342764E-87</v>
      </c>
      <c r="C140" s="49">
        <f t="shared" si="26"/>
        <v>2.8907432227887952E-84</v>
      </c>
      <c r="D140" s="49">
        <f t="shared" si="26"/>
        <v>9.0337269434473053E-82</v>
      </c>
      <c r="E140" s="49">
        <f t="shared" si="26"/>
        <v>1.8631012352778947E-79</v>
      </c>
      <c r="F140" s="49">
        <f t="shared" si="26"/>
        <v>2.8525010747762542E-77</v>
      </c>
      <c r="G140" s="49">
        <f t="shared" si="26"/>
        <v>3.4579455653492024E-75</v>
      </c>
      <c r="H140" s="49">
        <f t="shared" si="26"/>
        <v>3.4569704418625177E-73</v>
      </c>
      <c r="I140" s="49">
        <f t="shared" si="26"/>
        <v>2.9311988513498848E-71</v>
      </c>
      <c r="J140" s="49">
        <f t="shared" si="26"/>
        <v>2.1516583193274794E-69</v>
      </c>
      <c r="K140" s="49">
        <f t="shared" si="26"/>
        <v>1.3888955871881478E-67</v>
      </c>
      <c r="L140" s="49">
        <f t="shared" si="27"/>
        <v>7.9813903499959232E-66</v>
      </c>
      <c r="M140" s="49">
        <f t="shared" si="27"/>
        <v>4.1239485323411098E-64</v>
      </c>
      <c r="N140" s="49">
        <f t="shared" si="27"/>
        <v>1.9316342775331146E-62</v>
      </c>
      <c r="O140" s="49">
        <f t="shared" si="27"/>
        <v>8.2582106833703548E-61</v>
      </c>
      <c r="P140" s="49">
        <f t="shared" si="27"/>
        <v>3.2412950155257729E-59</v>
      </c>
      <c r="Q140" s="49">
        <f t="shared" si="27"/>
        <v>1.1737825654203586E-57</v>
      </c>
      <c r="R140" s="49">
        <f t="shared" si="27"/>
        <v>3.9388543493702963E-56</v>
      </c>
      <c r="S140" s="49">
        <f t="shared" si="27"/>
        <v>1.229436180402509E-54</v>
      </c>
      <c r="T140" s="49">
        <f t="shared" si="27"/>
        <v>3.5812996872255724E-53</v>
      </c>
      <c r="U140" s="49">
        <f t="shared" si="27"/>
        <v>9.7645998031300876E-52</v>
      </c>
      <c r="V140" s="49">
        <f t="shared" si="27"/>
        <v>2.4985529979230885E-50</v>
      </c>
      <c r="W140" s="47">
        <v>0.86299999999999999</v>
      </c>
    </row>
    <row r="141" spans="2:23" x14ac:dyDescent="0.25">
      <c r="B141" s="49">
        <f t="shared" si="26"/>
        <v>9.4779829929495344E-87</v>
      </c>
      <c r="C141" s="49">
        <f t="shared" si="26"/>
        <v>5.9333247318992864E-84</v>
      </c>
      <c r="D141" s="49">
        <f t="shared" si="26"/>
        <v>1.8386437879557702E-81</v>
      </c>
      <c r="E141" s="49">
        <f t="shared" si="26"/>
        <v>3.7601856741130449E-79</v>
      </c>
      <c r="F141" s="49">
        <f t="shared" si="26"/>
        <v>5.7087498764647912E-77</v>
      </c>
      <c r="G141" s="49">
        <f t="shared" si="26"/>
        <v>6.8623976874957261E-75</v>
      </c>
      <c r="H141" s="49">
        <f t="shared" si="26"/>
        <v>6.8029315861045014E-73</v>
      </c>
      <c r="I141" s="49">
        <f t="shared" si="26"/>
        <v>5.719902255229903E-71</v>
      </c>
      <c r="J141" s="49">
        <f t="shared" si="26"/>
        <v>4.1635109221255994E-69</v>
      </c>
      <c r="K141" s="49">
        <f t="shared" si="26"/>
        <v>2.6650126121228079E-67</v>
      </c>
      <c r="L141" s="49">
        <f t="shared" si="27"/>
        <v>1.5186290104964561E-65</v>
      </c>
      <c r="M141" s="49">
        <f t="shared" si="27"/>
        <v>7.7809039501642615E-64</v>
      </c>
      <c r="N141" s="49">
        <f t="shared" si="27"/>
        <v>3.6139789074264851E-62</v>
      </c>
      <c r="O141" s="49">
        <f t="shared" si="27"/>
        <v>1.5321129504024466E-60</v>
      </c>
      <c r="P141" s="49">
        <f t="shared" si="27"/>
        <v>5.9630401384842933E-59</v>
      </c>
      <c r="Q141" s="49">
        <f t="shared" si="27"/>
        <v>2.1413192036191315E-57</v>
      </c>
      <c r="R141" s="49">
        <f t="shared" si="27"/>
        <v>7.1253879354308525E-56</v>
      </c>
      <c r="S141" s="49">
        <f t="shared" si="27"/>
        <v>2.2054117068205713E-54</v>
      </c>
      <c r="T141" s="49">
        <f t="shared" si="27"/>
        <v>6.3704441625010201E-53</v>
      </c>
      <c r="U141" s="49">
        <f t="shared" si="27"/>
        <v>1.7223806579400316E-51</v>
      </c>
      <c r="V141" s="49">
        <f t="shared" si="27"/>
        <v>4.370279276160094E-50</v>
      </c>
      <c r="W141" s="47">
        <v>0.86199999999999999</v>
      </c>
    </row>
    <row r="142" spans="2:23" x14ac:dyDescent="0.25">
      <c r="B142" s="49">
        <f t="shared" si="26"/>
        <v>1.9515547542216665E-86</v>
      </c>
      <c r="C142" s="49">
        <f t="shared" si="26"/>
        <v>1.2115102089085997E-83</v>
      </c>
      <c r="D142" s="49">
        <f t="shared" si="26"/>
        <v>3.7229813304320847E-81</v>
      </c>
      <c r="E142" s="49">
        <f t="shared" si="26"/>
        <v>7.5503487015541414E-79</v>
      </c>
      <c r="F142" s="49">
        <f t="shared" si="26"/>
        <v>1.13674579978607E-76</v>
      </c>
      <c r="G142" s="49">
        <f t="shared" si="26"/>
        <v>1.3550740227050436E-74</v>
      </c>
      <c r="H142" s="49">
        <f t="shared" si="26"/>
        <v>1.3321349132786961E-72</v>
      </c>
      <c r="I142" s="49">
        <f t="shared" si="26"/>
        <v>1.1107232584933951E-70</v>
      </c>
      <c r="J142" s="49">
        <f t="shared" si="26"/>
        <v>8.0175616137985223E-69</v>
      </c>
      <c r="K142" s="49">
        <f t="shared" si="26"/>
        <v>5.0891751715596328E-67</v>
      </c>
      <c r="L142" s="49">
        <f t="shared" si="27"/>
        <v>2.8758455435072981E-65</v>
      </c>
      <c r="M142" s="49">
        <f t="shared" si="27"/>
        <v>1.4612006661672533E-63</v>
      </c>
      <c r="N142" s="49">
        <f t="shared" si="27"/>
        <v>6.7302559135920639E-62</v>
      </c>
      <c r="O142" s="49">
        <f t="shared" si="27"/>
        <v>2.8294572015770558E-60</v>
      </c>
      <c r="P142" s="49">
        <f t="shared" si="27"/>
        <v>1.0920604797752513E-58</v>
      </c>
      <c r="Q142" s="49">
        <f t="shared" si="27"/>
        <v>3.8889040040902958E-57</v>
      </c>
      <c r="R142" s="49">
        <f t="shared" si="27"/>
        <v>1.2832800057656654E-55</v>
      </c>
      <c r="S142" s="49">
        <f t="shared" si="27"/>
        <v>3.938854616290582E-54</v>
      </c>
      <c r="T142" s="49">
        <f t="shared" si="27"/>
        <v>1.128281898988449E-52</v>
      </c>
      <c r="U142" s="49">
        <f t="shared" si="27"/>
        <v>3.0251363879301267E-51</v>
      </c>
      <c r="V142" s="49">
        <f t="shared" si="27"/>
        <v>7.6119024704975414E-50</v>
      </c>
      <c r="W142" s="47">
        <v>0.86099999999999999</v>
      </c>
    </row>
    <row r="143" spans="2:23" x14ac:dyDescent="0.25">
      <c r="B143" s="49">
        <f t="shared" ref="B143:K152" si="28">_xlfn.HYPGEOM.DIST(B$2,comau,tongtheN*$W143,tongtheN,TRUE)</f>
        <v>3.9975727719455125E-86</v>
      </c>
      <c r="C143" s="49">
        <f t="shared" si="28"/>
        <v>2.4610973521942957E-83</v>
      </c>
      <c r="D143" s="49">
        <f t="shared" si="28"/>
        <v>7.5003029548903453E-81</v>
      </c>
      <c r="E143" s="49">
        <f t="shared" si="28"/>
        <v>1.5084862273518059E-78</v>
      </c>
      <c r="F143" s="49">
        <f t="shared" si="28"/>
        <v>2.2522897261975982E-76</v>
      </c>
      <c r="G143" s="49">
        <f t="shared" si="28"/>
        <v>2.6626289237891216E-74</v>
      </c>
      <c r="H143" s="49">
        <f t="shared" si="28"/>
        <v>2.5958688097588937E-72</v>
      </c>
      <c r="I143" s="49">
        <f t="shared" si="28"/>
        <v>2.1464831397959108E-70</v>
      </c>
      <c r="J143" s="49">
        <f t="shared" si="28"/>
        <v>1.5365659158815686E-68</v>
      </c>
      <c r="K143" s="49">
        <f t="shared" si="28"/>
        <v>9.6726117829793669E-67</v>
      </c>
      <c r="L143" s="49">
        <f t="shared" ref="L143:V152" si="29">_xlfn.HYPGEOM.DIST(L$2,comau,tongtheN*$W143,tongtheN,TRUE)</f>
        <v>5.4206277550737554E-65</v>
      </c>
      <c r="M143" s="49">
        <f t="shared" si="29"/>
        <v>2.7313777474785088E-63</v>
      </c>
      <c r="N143" s="49">
        <f t="shared" si="29"/>
        <v>1.2476465719298972E-61</v>
      </c>
      <c r="O143" s="49">
        <f t="shared" si="29"/>
        <v>5.2017736022922696E-60</v>
      </c>
      <c r="P143" s="49">
        <f t="shared" si="29"/>
        <v>1.9910563809316427E-58</v>
      </c>
      <c r="Q143" s="49">
        <f t="shared" si="29"/>
        <v>7.0315793384934944E-57</v>
      </c>
      <c r="R143" s="49">
        <f t="shared" si="29"/>
        <v>2.3011033657245669E-55</v>
      </c>
      <c r="S143" s="49">
        <f t="shared" si="29"/>
        <v>7.0044486000658849E-54</v>
      </c>
      <c r="T143" s="49">
        <f t="shared" si="29"/>
        <v>1.98980809980996E-52</v>
      </c>
      <c r="U143" s="49">
        <f t="shared" si="29"/>
        <v>5.2908857880986356E-51</v>
      </c>
      <c r="V143" s="49">
        <f t="shared" si="29"/>
        <v>1.3202822633390887E-49</v>
      </c>
      <c r="W143" s="47">
        <v>0.86</v>
      </c>
    </row>
    <row r="144" spans="2:23" x14ac:dyDescent="0.25">
      <c r="B144" s="49">
        <f t="shared" si="28"/>
        <v>8.1469465094183388E-86</v>
      </c>
      <c r="C144" s="49">
        <f t="shared" si="28"/>
        <v>4.9743342912966352E-83</v>
      </c>
      <c r="D144" s="49">
        <f t="shared" si="28"/>
        <v>1.5034632756789943E-80</v>
      </c>
      <c r="E144" s="49">
        <f t="shared" si="28"/>
        <v>2.9989095802315304E-78</v>
      </c>
      <c r="F144" s="49">
        <f t="shared" si="28"/>
        <v>4.4407308049062046E-76</v>
      </c>
      <c r="G144" s="49">
        <f t="shared" si="28"/>
        <v>5.2065396096918851E-74</v>
      </c>
      <c r="H144" s="49">
        <f t="shared" si="28"/>
        <v>5.0341921465554011E-72</v>
      </c>
      <c r="I144" s="49">
        <f t="shared" si="28"/>
        <v>4.1284138606311704E-70</v>
      </c>
      <c r="J144" s="49">
        <f t="shared" si="28"/>
        <v>2.9310000655592186E-68</v>
      </c>
      <c r="K144" s="49">
        <f t="shared" si="28"/>
        <v>1.8298583484953574E-66</v>
      </c>
      <c r="L144" s="49">
        <f t="shared" si="29"/>
        <v>1.0170272329654633E-64</v>
      </c>
      <c r="M144" s="49">
        <f t="shared" si="29"/>
        <v>5.0824633648450749E-63</v>
      </c>
      <c r="N144" s="49">
        <f t="shared" si="29"/>
        <v>2.3024689187167254E-61</v>
      </c>
      <c r="O144" s="49">
        <f t="shared" si="29"/>
        <v>9.5205837590231242E-60</v>
      </c>
      <c r="P144" s="49">
        <f t="shared" si="29"/>
        <v>3.6141473577667646E-58</v>
      </c>
      <c r="Q144" s="49">
        <f t="shared" si="29"/>
        <v>1.2658597371980142E-56</v>
      </c>
      <c r="R144" s="49">
        <f t="shared" si="29"/>
        <v>4.1084640533776641E-55</v>
      </c>
      <c r="S144" s="49">
        <f t="shared" si="29"/>
        <v>1.2403042619473452E-53</v>
      </c>
      <c r="T144" s="49">
        <f t="shared" si="29"/>
        <v>3.4944326016192515E-52</v>
      </c>
      <c r="U144" s="49">
        <f t="shared" si="29"/>
        <v>9.2152120665380026E-51</v>
      </c>
      <c r="V144" s="49">
        <f t="shared" si="29"/>
        <v>2.2806335211987971E-49</v>
      </c>
      <c r="W144" s="47">
        <v>0.85899999999999999</v>
      </c>
    </row>
    <row r="145" spans="2:23" x14ac:dyDescent="0.25">
      <c r="B145" s="49">
        <f t="shared" si="28"/>
        <v>1.6519905072055496E-85</v>
      </c>
      <c r="C145" s="49">
        <f t="shared" si="28"/>
        <v>1.000406798886982E-82</v>
      </c>
      <c r="D145" s="49">
        <f t="shared" si="28"/>
        <v>2.9989113692346539E-80</v>
      </c>
      <c r="E145" s="49">
        <f t="shared" si="28"/>
        <v>5.9328515020177885E-78</v>
      </c>
      <c r="F145" s="49">
        <f t="shared" si="28"/>
        <v>8.7133271354866983E-76</v>
      </c>
      <c r="G145" s="49">
        <f t="shared" si="28"/>
        <v>1.0132308068444968E-73</v>
      </c>
      <c r="H145" s="49">
        <f t="shared" si="28"/>
        <v>9.7167003603551835E-72</v>
      </c>
      <c r="I145" s="49">
        <f t="shared" si="28"/>
        <v>7.9031867793130884E-70</v>
      </c>
      <c r="J145" s="49">
        <f t="shared" si="28"/>
        <v>5.5649982394599912E-68</v>
      </c>
      <c r="K145" s="49">
        <f t="shared" si="28"/>
        <v>3.4458554464853251E-66</v>
      </c>
      <c r="L145" s="49">
        <f t="shared" si="29"/>
        <v>1.8995150872112888E-64</v>
      </c>
      <c r="M145" s="49">
        <f t="shared" si="29"/>
        <v>9.4148892028931274E-63</v>
      </c>
      <c r="N145" s="49">
        <f t="shared" si="29"/>
        <v>4.2302471481161128E-61</v>
      </c>
      <c r="O145" s="49">
        <f t="shared" si="29"/>
        <v>1.7348693587523888E-59</v>
      </c>
      <c r="P145" s="49">
        <f t="shared" si="29"/>
        <v>6.5319149464715922E-58</v>
      </c>
      <c r="Q145" s="49">
        <f t="shared" si="29"/>
        <v>2.2690912490361815E-56</v>
      </c>
      <c r="R145" s="49">
        <f t="shared" si="29"/>
        <v>7.3042869570165923E-55</v>
      </c>
      <c r="S145" s="49">
        <f t="shared" si="29"/>
        <v>2.187050411021206E-53</v>
      </c>
      <c r="T145" s="49">
        <f t="shared" si="29"/>
        <v>6.1113860783917063E-52</v>
      </c>
      <c r="U145" s="49">
        <f t="shared" si="29"/>
        <v>1.5984577578063828E-50</v>
      </c>
      <c r="V145" s="49">
        <f t="shared" si="29"/>
        <v>3.9235971089788636E-49</v>
      </c>
      <c r="W145" s="47">
        <v>0.85799999999999998</v>
      </c>
    </row>
    <row r="146" spans="2:23" x14ac:dyDescent="0.25">
      <c r="B146" s="49">
        <f t="shared" si="28"/>
        <v>3.3332287054517451E-85</v>
      </c>
      <c r="C146" s="49">
        <f t="shared" si="28"/>
        <v>2.0020926532490679E-82</v>
      </c>
      <c r="D146" s="49">
        <f t="shared" si="28"/>
        <v>5.9528000530348777E-80</v>
      </c>
      <c r="E146" s="49">
        <f t="shared" si="28"/>
        <v>1.1680768881397609E-77</v>
      </c>
      <c r="F146" s="49">
        <f t="shared" si="28"/>
        <v>1.7015410316764944E-75</v>
      </c>
      <c r="G146" s="49">
        <f t="shared" si="28"/>
        <v>1.9625350318144637E-73</v>
      </c>
      <c r="H146" s="49">
        <f t="shared" si="28"/>
        <v>1.8667176955738332E-71</v>
      </c>
      <c r="I146" s="49">
        <f t="shared" si="28"/>
        <v>1.5059587112358596E-69</v>
      </c>
      <c r="J146" s="49">
        <f t="shared" si="28"/>
        <v>1.0517851251455955E-67</v>
      </c>
      <c r="K146" s="49">
        <f t="shared" si="28"/>
        <v>6.4596712767321231E-66</v>
      </c>
      <c r="L146" s="49">
        <f t="shared" si="29"/>
        <v>3.5318941783030801E-64</v>
      </c>
      <c r="M146" s="49">
        <f t="shared" si="29"/>
        <v>1.7363286498930103E-62</v>
      </c>
      <c r="N146" s="49">
        <f t="shared" si="29"/>
        <v>7.7381021572982852E-61</v>
      </c>
      <c r="O146" s="49">
        <f t="shared" si="29"/>
        <v>3.1476593063721222E-59</v>
      </c>
      <c r="P146" s="49">
        <f t="shared" si="29"/>
        <v>1.1754764243097373E-57</v>
      </c>
      <c r="Q146" s="49">
        <f t="shared" si="29"/>
        <v>4.0502148843319113E-56</v>
      </c>
      <c r="R146" s="49">
        <f t="shared" si="29"/>
        <v>1.2931737659694055E-54</v>
      </c>
      <c r="S146" s="49">
        <f t="shared" si="29"/>
        <v>3.8405291843701262E-53</v>
      </c>
      <c r="T146" s="49">
        <f t="shared" si="29"/>
        <v>1.0644505400865168E-51</v>
      </c>
      <c r="U146" s="49">
        <f t="shared" si="29"/>
        <v>2.7614723806493052E-50</v>
      </c>
      <c r="V146" s="49">
        <f t="shared" si="29"/>
        <v>6.7232307336643995E-49</v>
      </c>
      <c r="W146" s="47">
        <v>0.85699999999999998</v>
      </c>
    </row>
    <row r="147" spans="2:23" x14ac:dyDescent="0.25">
      <c r="B147" s="49">
        <f t="shared" si="28"/>
        <v>6.6926422062848858E-85</v>
      </c>
      <c r="C147" s="49">
        <f t="shared" si="28"/>
        <v>3.9873772209268327E-82</v>
      </c>
      <c r="D147" s="49">
        <f t="shared" si="28"/>
        <v>1.1759673387706609E-79</v>
      </c>
      <c r="E147" s="49">
        <f t="shared" si="28"/>
        <v>2.2888449258984282E-77</v>
      </c>
      <c r="F147" s="49">
        <f t="shared" si="28"/>
        <v>3.3071851156935225E-75</v>
      </c>
      <c r="G147" s="49">
        <f t="shared" si="28"/>
        <v>3.7835964365851461E-73</v>
      </c>
      <c r="H147" s="49">
        <f t="shared" si="28"/>
        <v>3.5697477069152785E-71</v>
      </c>
      <c r="I147" s="49">
        <f t="shared" si="28"/>
        <v>2.8565617463210287E-69</v>
      </c>
      <c r="J147" s="49">
        <f t="shared" si="28"/>
        <v>1.9789254655398008E-67</v>
      </c>
      <c r="K147" s="49">
        <f t="shared" si="28"/>
        <v>1.205549058989266E-65</v>
      </c>
      <c r="L147" s="49">
        <f t="shared" si="29"/>
        <v>6.5381429856155342E-64</v>
      </c>
      <c r="M147" s="49">
        <f t="shared" si="29"/>
        <v>3.1882409359062577E-62</v>
      </c>
      <c r="N147" s="49">
        <f t="shared" si="29"/>
        <v>1.4093743084514227E-60</v>
      </c>
      <c r="O147" s="49">
        <f t="shared" si="29"/>
        <v>5.6865979774589099E-59</v>
      </c>
      <c r="P147" s="49">
        <f t="shared" si="29"/>
        <v>2.1064535164405716E-57</v>
      </c>
      <c r="Q147" s="49">
        <f t="shared" si="29"/>
        <v>7.1992858138951019E-56</v>
      </c>
      <c r="R147" s="49">
        <f t="shared" si="29"/>
        <v>2.280036936001856E-54</v>
      </c>
      <c r="S147" s="49">
        <f t="shared" si="29"/>
        <v>6.7166075960855539E-53</v>
      </c>
      <c r="T147" s="49">
        <f t="shared" si="29"/>
        <v>1.8465393917975758E-51</v>
      </c>
      <c r="U147" s="49">
        <f t="shared" si="29"/>
        <v>4.7516917833457721E-50</v>
      </c>
      <c r="V147" s="49">
        <f t="shared" si="29"/>
        <v>1.1475202020057527E-48</v>
      </c>
      <c r="W147" s="47">
        <v>0.85599999999999998</v>
      </c>
    </row>
    <row r="148" spans="2:23" x14ac:dyDescent="0.25">
      <c r="B148" s="49">
        <f t="shared" si="28"/>
        <v>1.3373172692509997E-84</v>
      </c>
      <c r="C148" s="49">
        <f t="shared" si="28"/>
        <v>7.9034227885747974E-82</v>
      </c>
      <c r="D148" s="49">
        <f t="shared" si="28"/>
        <v>2.3121412077729117E-79</v>
      </c>
      <c r="E148" s="49">
        <f t="shared" si="28"/>
        <v>4.4640271502191924E-77</v>
      </c>
      <c r="F148" s="49">
        <f t="shared" si="28"/>
        <v>6.3982395068236409E-75</v>
      </c>
      <c r="G148" s="49">
        <f t="shared" si="28"/>
        <v>7.2610344694781616E-73</v>
      </c>
      <c r="H148" s="49">
        <f t="shared" si="28"/>
        <v>6.7955262407630118E-71</v>
      </c>
      <c r="I148" s="49">
        <f t="shared" si="28"/>
        <v>5.3941280276199597E-69</v>
      </c>
      <c r="J148" s="49">
        <f t="shared" si="28"/>
        <v>3.7068014532740155E-67</v>
      </c>
      <c r="K148" s="49">
        <f t="shared" si="28"/>
        <v>2.2399959119741098E-65</v>
      </c>
      <c r="L148" s="49">
        <f t="shared" si="29"/>
        <v>1.2050620364848617E-63</v>
      </c>
      <c r="M148" s="49">
        <f t="shared" si="29"/>
        <v>5.8290662156934442E-62</v>
      </c>
      <c r="N148" s="49">
        <f t="shared" si="29"/>
        <v>2.556037895717698E-60</v>
      </c>
      <c r="O148" s="49">
        <f t="shared" si="29"/>
        <v>1.0230262409892324E-58</v>
      </c>
      <c r="P148" s="49">
        <f t="shared" si="29"/>
        <v>3.7590635865292248E-57</v>
      </c>
      <c r="Q148" s="49">
        <f t="shared" si="29"/>
        <v>1.274415358826885E-55</v>
      </c>
      <c r="R148" s="49">
        <f t="shared" si="29"/>
        <v>4.0036629278895346E-54</v>
      </c>
      <c r="S148" s="49">
        <f t="shared" si="29"/>
        <v>1.1699300801683386E-52</v>
      </c>
      <c r="T148" s="49">
        <f t="shared" si="29"/>
        <v>3.1905318855715365E-51</v>
      </c>
      <c r="U148" s="49">
        <f t="shared" si="29"/>
        <v>8.1441852237980716E-50</v>
      </c>
      <c r="V148" s="49">
        <f t="shared" si="29"/>
        <v>1.9509892879628865E-48</v>
      </c>
      <c r="W148" s="47">
        <v>0.85499999999999998</v>
      </c>
    </row>
    <row r="149" spans="2:23" x14ac:dyDescent="0.25">
      <c r="B149" s="49">
        <f t="shared" si="28"/>
        <v>2.6595273615391778E-84</v>
      </c>
      <c r="C149" s="49">
        <f t="shared" si="28"/>
        <v>1.5591804153663683E-81</v>
      </c>
      <c r="D149" s="49">
        <f t="shared" si="28"/>
        <v>4.5248773606047428E-79</v>
      </c>
      <c r="E149" s="49">
        <f t="shared" si="28"/>
        <v>8.6662407674347224E-77</v>
      </c>
      <c r="F149" s="49">
        <f t="shared" si="28"/>
        <v>1.2321853680191046E-74</v>
      </c>
      <c r="G149" s="49">
        <f t="shared" si="28"/>
        <v>1.3871577603987485E-72</v>
      </c>
      <c r="H149" s="49">
        <f t="shared" si="28"/>
        <v>1.2878415490064125E-70</v>
      </c>
      <c r="I149" s="49">
        <f t="shared" si="28"/>
        <v>1.0140812522054143E-68</v>
      </c>
      <c r="J149" s="49">
        <f t="shared" si="28"/>
        <v>6.9129463083758888E-67</v>
      </c>
      <c r="K149" s="49">
        <f t="shared" si="28"/>
        <v>4.1440371242604178E-65</v>
      </c>
      <c r="L149" s="49">
        <f t="shared" si="29"/>
        <v>2.2115592189808523E-63</v>
      </c>
      <c r="M149" s="49">
        <f t="shared" si="29"/>
        <v>1.0612094887760681E-61</v>
      </c>
      <c r="N149" s="49">
        <f t="shared" si="29"/>
        <v>4.616178682014054E-60</v>
      </c>
      <c r="O149" s="49">
        <f t="shared" si="29"/>
        <v>1.8328018328380975E-58</v>
      </c>
      <c r="P149" s="49">
        <f t="shared" si="29"/>
        <v>6.6807013683794257E-57</v>
      </c>
      <c r="Q149" s="49">
        <f t="shared" si="29"/>
        <v>2.2468148139928895E-55</v>
      </c>
      <c r="R149" s="49">
        <f t="shared" si="29"/>
        <v>7.0020940236348683E-54</v>
      </c>
      <c r="S149" s="49">
        <f t="shared" si="29"/>
        <v>2.0297602960529873E-52</v>
      </c>
      <c r="T149" s="49">
        <f t="shared" si="29"/>
        <v>5.4911413692482091E-51</v>
      </c>
      <c r="U149" s="49">
        <f t="shared" si="29"/>
        <v>1.3904717005270725E-49</v>
      </c>
      <c r="V149" s="49">
        <f t="shared" si="29"/>
        <v>3.3043395784158635E-48</v>
      </c>
      <c r="W149" s="47">
        <v>0.85399999999999998</v>
      </c>
    </row>
    <row r="150" spans="2:23" x14ac:dyDescent="0.25">
      <c r="B150" s="49">
        <f t="shared" si="28"/>
        <v>5.2642421975369302E-84</v>
      </c>
      <c r="C150" s="49">
        <f t="shared" si="28"/>
        <v>3.0616724947875772E-81</v>
      </c>
      <c r="D150" s="49">
        <f t="shared" si="28"/>
        <v>8.8145530008649278E-79</v>
      </c>
      <c r="E150" s="49">
        <f t="shared" si="28"/>
        <v>1.6747713077683037E-76</v>
      </c>
      <c r="F150" s="49">
        <f t="shared" si="28"/>
        <v>2.3622848055720468E-74</v>
      </c>
      <c r="G150" s="49">
        <f t="shared" si="28"/>
        <v>2.6382362626493004E-72</v>
      </c>
      <c r="H150" s="49">
        <f t="shared" si="28"/>
        <v>2.4298645254620783E-70</v>
      </c>
      <c r="I150" s="49">
        <f t="shared" si="28"/>
        <v>1.8981230584547259E-68</v>
      </c>
      <c r="J150" s="49">
        <f t="shared" si="28"/>
        <v>1.2836510157758538E-66</v>
      </c>
      <c r="K150" s="49">
        <f t="shared" si="28"/>
        <v>7.6337827035178884E-65</v>
      </c>
      <c r="L150" s="49">
        <f t="shared" si="29"/>
        <v>4.0415439394590294E-63</v>
      </c>
      <c r="M150" s="49">
        <f t="shared" si="29"/>
        <v>1.9239006610944854E-61</v>
      </c>
      <c r="N150" s="49">
        <f t="shared" si="29"/>
        <v>8.3022754378233532E-60</v>
      </c>
      <c r="O150" s="49">
        <f t="shared" si="29"/>
        <v>3.2701168541276685E-58</v>
      </c>
      <c r="P150" s="49">
        <f t="shared" si="29"/>
        <v>1.1825058339206246E-56</v>
      </c>
      <c r="Q150" s="49">
        <f t="shared" si="29"/>
        <v>3.9453199538052514E-55</v>
      </c>
      <c r="R150" s="49">
        <f t="shared" si="29"/>
        <v>1.2197669477541199E-53</v>
      </c>
      <c r="S150" s="49">
        <f t="shared" si="29"/>
        <v>3.5077441905169928E-52</v>
      </c>
      <c r="T150" s="49">
        <f t="shared" si="29"/>
        <v>9.4141323606771695E-51</v>
      </c>
      <c r="U150" s="49">
        <f t="shared" si="29"/>
        <v>2.3649100767297258E-49</v>
      </c>
      <c r="V150" s="49">
        <f t="shared" si="29"/>
        <v>5.5753514840318801E-48</v>
      </c>
      <c r="W150" s="47">
        <v>0.85299999999999998</v>
      </c>
    </row>
    <row r="151" spans="2:23" x14ac:dyDescent="0.25">
      <c r="B151" s="49">
        <f t="shared" si="28"/>
        <v>1.0371851763935138E-83</v>
      </c>
      <c r="C151" s="49">
        <f t="shared" si="28"/>
        <v>5.9845248105909701E-81</v>
      </c>
      <c r="D151" s="49">
        <f t="shared" si="28"/>
        <v>1.7093141579534315E-78</v>
      </c>
      <c r="E151" s="49">
        <f t="shared" si="28"/>
        <v>3.2220177420288065E-76</v>
      </c>
      <c r="F151" s="49">
        <f t="shared" si="28"/>
        <v>4.5087448442219008E-74</v>
      </c>
      <c r="G151" s="49">
        <f t="shared" si="28"/>
        <v>4.9956067878519375E-72</v>
      </c>
      <c r="H151" s="49">
        <f t="shared" si="28"/>
        <v>4.5646550160971974E-70</v>
      </c>
      <c r="I151" s="49">
        <f t="shared" si="28"/>
        <v>3.5375434890159458E-68</v>
      </c>
      <c r="J151" s="49">
        <f t="shared" si="28"/>
        <v>2.3734282394934685E-66</v>
      </c>
      <c r="K151" s="49">
        <f t="shared" si="28"/>
        <v>1.400299204213394E-64</v>
      </c>
      <c r="L151" s="49">
        <f t="shared" si="29"/>
        <v>7.3549626236745856E-63</v>
      </c>
      <c r="M151" s="49">
        <f t="shared" si="29"/>
        <v>3.4735066797720287E-61</v>
      </c>
      <c r="N151" s="49">
        <f t="shared" si="29"/>
        <v>1.4870829061391482E-59</v>
      </c>
      <c r="O151" s="49">
        <f t="shared" si="29"/>
        <v>5.8110430640859998E-58</v>
      </c>
      <c r="P151" s="49">
        <f t="shared" si="29"/>
        <v>2.0847171014949215E-56</v>
      </c>
      <c r="Q151" s="49">
        <f t="shared" si="29"/>
        <v>6.9004804136301216E-55</v>
      </c>
      <c r="R151" s="49">
        <f t="shared" si="29"/>
        <v>2.1165448570617308E-53</v>
      </c>
      <c r="S151" s="49">
        <f t="shared" si="29"/>
        <v>6.0385450971932857E-52</v>
      </c>
      <c r="T151" s="49">
        <f t="shared" si="29"/>
        <v>1.607824940787851E-50</v>
      </c>
      <c r="U151" s="49">
        <f t="shared" si="29"/>
        <v>4.0070747367508785E-49</v>
      </c>
      <c r="V151" s="49">
        <f t="shared" si="29"/>
        <v>9.3721604045499288E-48</v>
      </c>
      <c r="W151" s="47">
        <v>0.85199999999999998</v>
      </c>
    </row>
    <row r="152" spans="2:23" x14ac:dyDescent="0.25">
      <c r="B152" s="49">
        <f t="shared" si="28"/>
        <v>2.0341963528515616E-83</v>
      </c>
      <c r="C152" s="49">
        <f t="shared" si="28"/>
        <v>1.1644906546446455E-80</v>
      </c>
      <c r="D152" s="49">
        <f t="shared" si="28"/>
        <v>3.299880010304688E-78</v>
      </c>
      <c r="E152" s="49">
        <f t="shared" si="28"/>
        <v>6.1712660727248171E-76</v>
      </c>
      <c r="F152" s="49">
        <f t="shared" si="28"/>
        <v>8.5678579068877136E-74</v>
      </c>
      <c r="G152" s="49">
        <f t="shared" si="28"/>
        <v>9.4183596352971692E-72</v>
      </c>
      <c r="H152" s="49">
        <f t="shared" si="28"/>
        <v>8.5381855414976892E-70</v>
      </c>
      <c r="I152" s="49">
        <f t="shared" si="28"/>
        <v>6.5649316012702756E-68</v>
      </c>
      <c r="J152" s="49">
        <f t="shared" si="28"/>
        <v>4.3699403134540947E-66</v>
      </c>
      <c r="K152" s="49">
        <f t="shared" si="28"/>
        <v>2.5579462946846504E-64</v>
      </c>
      <c r="L152" s="49">
        <f t="shared" si="29"/>
        <v>1.3329763241523463E-62</v>
      </c>
      <c r="M152" s="49">
        <f t="shared" si="29"/>
        <v>6.2457083789938852E-61</v>
      </c>
      <c r="N152" s="49">
        <f t="shared" si="29"/>
        <v>2.652898077269376E-59</v>
      </c>
      <c r="O152" s="49">
        <f t="shared" si="29"/>
        <v>1.0285171217841088E-57</v>
      </c>
      <c r="P152" s="49">
        <f t="shared" si="29"/>
        <v>3.6608071184493344E-56</v>
      </c>
      <c r="Q152" s="49">
        <f t="shared" si="29"/>
        <v>1.2022134408427537E-54</v>
      </c>
      <c r="R152" s="49">
        <f t="shared" si="29"/>
        <v>3.6584954476279991E-53</v>
      </c>
      <c r="S152" s="49">
        <f t="shared" si="29"/>
        <v>1.0355722715288765E-51</v>
      </c>
      <c r="T152" s="49">
        <f t="shared" si="29"/>
        <v>2.7356478773313554E-50</v>
      </c>
      <c r="U152" s="49">
        <f t="shared" si="29"/>
        <v>6.764294419905016E-49</v>
      </c>
      <c r="V152" s="49">
        <f t="shared" si="29"/>
        <v>1.5696712339746752E-47</v>
      </c>
      <c r="W152" s="47">
        <v>0.85099999999999998</v>
      </c>
    </row>
    <row r="153" spans="2:23" x14ac:dyDescent="0.25">
      <c r="B153" s="49">
        <f t="shared" ref="B153:K162" si="30">_xlfn.HYPGEOM.DIST(B$2,comau,tongtheN*$W153,tongtheN,TRUE)</f>
        <v>3.9716605245668961E-83</v>
      </c>
      <c r="C153" s="49">
        <f t="shared" si="30"/>
        <v>2.2558178064927737E-80</v>
      </c>
      <c r="D153" s="49">
        <f t="shared" si="30"/>
        <v>6.342421239262361E-78</v>
      </c>
      <c r="E153" s="49">
        <f t="shared" si="30"/>
        <v>1.1768477730198064E-75</v>
      </c>
      <c r="F153" s="49">
        <f t="shared" si="30"/>
        <v>1.6210914901160488E-73</v>
      </c>
      <c r="G153" s="49">
        <f t="shared" si="30"/>
        <v>1.7680720793244798E-71</v>
      </c>
      <c r="H153" s="49">
        <f t="shared" si="30"/>
        <v>1.5903030411399157E-69</v>
      </c>
      <c r="I153" s="49">
        <f t="shared" si="30"/>
        <v>1.2132052962316431E-67</v>
      </c>
      <c r="J153" s="49">
        <f t="shared" si="30"/>
        <v>8.0125283616772495E-66</v>
      </c>
      <c r="K153" s="49">
        <f t="shared" si="30"/>
        <v>4.6534567087692082E-64</v>
      </c>
      <c r="L153" s="49">
        <f t="shared" ref="L153:V162" si="31">_xlfn.HYPGEOM.DIST(L$2,comau,tongtheN*$W153,tongtheN,TRUE)</f>
        <v>2.4060080667497856E-62</v>
      </c>
      <c r="M153" s="49">
        <f t="shared" si="31"/>
        <v>1.1185282229602805E-60</v>
      </c>
      <c r="N153" s="49">
        <f t="shared" si="31"/>
        <v>4.7138594733730124E-59</v>
      </c>
      <c r="O153" s="49">
        <f t="shared" si="31"/>
        <v>1.8132540004346876E-57</v>
      </c>
      <c r="P153" s="49">
        <f t="shared" si="31"/>
        <v>6.4034681867310752E-56</v>
      </c>
      <c r="Q153" s="49">
        <f t="shared" si="31"/>
        <v>2.0864670296920302E-54</v>
      </c>
      <c r="R153" s="49">
        <f t="shared" si="31"/>
        <v>6.2997637365835281E-53</v>
      </c>
      <c r="S153" s="49">
        <f t="shared" si="31"/>
        <v>1.7692704349819001E-51</v>
      </c>
      <c r="T153" s="49">
        <f t="shared" si="31"/>
        <v>4.6373123145433036E-50</v>
      </c>
      <c r="U153" s="49">
        <f t="shared" si="31"/>
        <v>1.1376830446029493E-48</v>
      </c>
      <c r="V153" s="49">
        <f t="shared" si="31"/>
        <v>2.6193915310290357E-47</v>
      </c>
      <c r="W153" s="47">
        <v>0.85</v>
      </c>
    </row>
    <row r="154" spans="2:23" x14ac:dyDescent="0.25">
      <c r="B154" s="49">
        <f t="shared" si="30"/>
        <v>7.7200491715961543E-83</v>
      </c>
      <c r="C154" s="49">
        <f t="shared" si="30"/>
        <v>4.350703299414218E-80</v>
      </c>
      <c r="D154" s="49">
        <f t="shared" si="30"/>
        <v>1.2137191041013349E-77</v>
      </c>
      <c r="E154" s="49">
        <f t="shared" si="30"/>
        <v>2.2345558622577686E-75</v>
      </c>
      <c r="F154" s="49">
        <f t="shared" si="30"/>
        <v>3.0541224254093811E-73</v>
      </c>
      <c r="G154" s="49">
        <f t="shared" si="30"/>
        <v>3.3051185788097071E-71</v>
      </c>
      <c r="H154" s="49">
        <f t="shared" si="30"/>
        <v>2.9496827755179918E-69</v>
      </c>
      <c r="I154" s="49">
        <f t="shared" si="30"/>
        <v>2.23274049664995E-67</v>
      </c>
      <c r="J154" s="49">
        <f t="shared" si="30"/>
        <v>1.4631277708137304E-65</v>
      </c>
      <c r="K154" s="49">
        <f t="shared" si="30"/>
        <v>8.4313530040313323E-64</v>
      </c>
      <c r="L154" s="49">
        <f t="shared" si="31"/>
        <v>4.3254151921503059E-62</v>
      </c>
      <c r="M154" s="49">
        <f t="shared" si="31"/>
        <v>1.9952026386140641E-60</v>
      </c>
      <c r="N154" s="49">
        <f t="shared" si="31"/>
        <v>8.343077131343045E-59</v>
      </c>
      <c r="O154" s="49">
        <f t="shared" si="31"/>
        <v>3.1843299771382411E-57</v>
      </c>
      <c r="P154" s="49">
        <f t="shared" si="31"/>
        <v>1.115795769055876E-55</v>
      </c>
      <c r="Q154" s="49">
        <f t="shared" si="31"/>
        <v>3.6073747579428663E-54</v>
      </c>
      <c r="R154" s="49">
        <f t="shared" si="31"/>
        <v>1.0807233573205959E-52</v>
      </c>
      <c r="S154" s="49">
        <f t="shared" si="31"/>
        <v>3.0115862447744964E-51</v>
      </c>
      <c r="T154" s="49">
        <f t="shared" si="31"/>
        <v>7.8321053214761305E-50</v>
      </c>
      <c r="U154" s="49">
        <f t="shared" si="31"/>
        <v>1.9065352482573856E-48</v>
      </c>
      <c r="V154" s="49">
        <f t="shared" si="31"/>
        <v>4.3554763150482979E-47</v>
      </c>
      <c r="W154" s="47">
        <v>0.84899999999999998</v>
      </c>
    </row>
    <row r="155" spans="2:23" x14ac:dyDescent="0.25">
      <c r="B155" s="49">
        <f t="shared" si="30"/>
        <v>1.4940399580539556E-82</v>
      </c>
      <c r="C155" s="49">
        <f t="shared" si="30"/>
        <v>8.3546371720378713E-80</v>
      </c>
      <c r="D155" s="49">
        <f t="shared" si="30"/>
        <v>2.3126635380607654E-77</v>
      </c>
      <c r="E155" s="49">
        <f t="shared" si="30"/>
        <v>4.2248547589769911E-75</v>
      </c>
      <c r="F155" s="49">
        <f t="shared" si="30"/>
        <v>5.7297210596928013E-73</v>
      </c>
      <c r="G155" s="49">
        <f t="shared" si="30"/>
        <v>6.1526289977546459E-71</v>
      </c>
      <c r="H155" s="49">
        <f t="shared" si="30"/>
        <v>5.448485754152381E-69</v>
      </c>
      <c r="I155" s="49">
        <f t="shared" si="30"/>
        <v>4.0922840261716487E-67</v>
      </c>
      <c r="J155" s="49">
        <f t="shared" si="30"/>
        <v>2.6609516085725184E-65</v>
      </c>
      <c r="K155" s="49">
        <f t="shared" si="30"/>
        <v>1.5215260767057716E-63</v>
      </c>
      <c r="L155" s="49">
        <f t="shared" si="31"/>
        <v>7.745287435340407E-62</v>
      </c>
      <c r="M155" s="49">
        <f t="shared" si="31"/>
        <v>3.5450680346412849E-60</v>
      </c>
      <c r="N155" s="49">
        <f t="shared" si="31"/>
        <v>1.4709295428524827E-58</v>
      </c>
      <c r="O155" s="49">
        <f t="shared" si="31"/>
        <v>5.5707280339858349E-57</v>
      </c>
      <c r="P155" s="49">
        <f t="shared" si="31"/>
        <v>1.9368996495361121E-55</v>
      </c>
      <c r="Q155" s="49">
        <f t="shared" si="31"/>
        <v>6.2135878181303643E-54</v>
      </c>
      <c r="R155" s="49">
        <f t="shared" si="31"/>
        <v>1.8471184405270252E-52</v>
      </c>
      <c r="S155" s="49">
        <f t="shared" si="31"/>
        <v>5.10745805114863E-51</v>
      </c>
      <c r="T155" s="49">
        <f t="shared" si="31"/>
        <v>1.3180066468686302E-49</v>
      </c>
      <c r="U155" s="49">
        <f t="shared" si="31"/>
        <v>3.1835655096974116E-48</v>
      </c>
      <c r="V155" s="49">
        <f t="shared" si="31"/>
        <v>7.2166357233813484E-47</v>
      </c>
      <c r="W155" s="47">
        <v>0.84799999999999998</v>
      </c>
    </row>
    <row r="156" spans="2:23" x14ac:dyDescent="0.25">
      <c r="B156" s="49">
        <f t="shared" si="30"/>
        <v>2.8788799854154699E-82</v>
      </c>
      <c r="C156" s="49">
        <f t="shared" si="30"/>
        <v>1.5974716163609031E-79</v>
      </c>
      <c r="D156" s="49">
        <f t="shared" si="30"/>
        <v>4.3879571415126476E-77</v>
      </c>
      <c r="E156" s="49">
        <f t="shared" si="30"/>
        <v>7.9543782359173804E-75</v>
      </c>
      <c r="F156" s="49">
        <f t="shared" si="30"/>
        <v>1.0704653994903749E-72</v>
      </c>
      <c r="G156" s="49">
        <f t="shared" si="30"/>
        <v>1.1406299136669692E-70</v>
      </c>
      <c r="H156" s="49">
        <f t="shared" si="30"/>
        <v>1.0023165555580468E-68</v>
      </c>
      <c r="I156" s="49">
        <f t="shared" si="30"/>
        <v>7.4703352858199363E-67</v>
      </c>
      <c r="J156" s="49">
        <f t="shared" si="30"/>
        <v>4.8201076522211741E-65</v>
      </c>
      <c r="K156" s="49">
        <f t="shared" si="30"/>
        <v>2.734921067432219E-63</v>
      </c>
      <c r="L156" s="49">
        <f t="shared" si="31"/>
        <v>1.3814932881827499E-61</v>
      </c>
      <c r="M156" s="49">
        <f t="shared" si="31"/>
        <v>6.2745397113856743E-60</v>
      </c>
      <c r="N156" s="49">
        <f t="shared" si="31"/>
        <v>2.5834225731964336E-58</v>
      </c>
      <c r="O156" s="49">
        <f t="shared" si="31"/>
        <v>9.7087216251482982E-57</v>
      </c>
      <c r="P156" s="49">
        <f t="shared" si="31"/>
        <v>3.3496849857640342E-55</v>
      </c>
      <c r="Q156" s="49">
        <f t="shared" si="31"/>
        <v>1.0663168952471657E-53</v>
      </c>
      <c r="R156" s="49">
        <f t="shared" si="31"/>
        <v>3.1454722455193374E-52</v>
      </c>
      <c r="S156" s="49">
        <f t="shared" si="31"/>
        <v>8.6306490266857545E-51</v>
      </c>
      <c r="T156" s="49">
        <f t="shared" si="31"/>
        <v>2.2100599983409058E-49</v>
      </c>
      <c r="U156" s="49">
        <f t="shared" si="31"/>
        <v>5.2972243153780367E-48</v>
      </c>
      <c r="V156" s="49">
        <f t="shared" si="31"/>
        <v>1.1915650931685817E-46</v>
      </c>
      <c r="W156" s="47">
        <v>0.84699999999999998</v>
      </c>
    </row>
    <row r="157" spans="2:23" x14ac:dyDescent="0.25">
      <c r="B157" s="49">
        <f t="shared" si="30"/>
        <v>5.5236814082235422E-82</v>
      </c>
      <c r="C157" s="49">
        <f t="shared" si="30"/>
        <v>3.0415881129102554E-79</v>
      </c>
      <c r="D157" s="49">
        <f t="shared" si="30"/>
        <v>8.2907148466206059E-77</v>
      </c>
      <c r="E157" s="49">
        <f t="shared" si="30"/>
        <v>1.4914144701702377E-74</v>
      </c>
      <c r="F157" s="49">
        <f t="shared" si="30"/>
        <v>1.9917160864872245E-72</v>
      </c>
      <c r="G157" s="49">
        <f t="shared" si="30"/>
        <v>2.1060196130229093E-70</v>
      </c>
      <c r="H157" s="49">
        <f t="shared" si="30"/>
        <v>1.8364774357548319E-68</v>
      </c>
      <c r="I157" s="49">
        <f t="shared" si="30"/>
        <v>1.3582634461641544E-66</v>
      </c>
      <c r="J157" s="49">
        <f t="shared" si="30"/>
        <v>8.6968919837901718E-65</v>
      </c>
      <c r="K157" s="49">
        <f t="shared" si="30"/>
        <v>4.8968382100278844E-63</v>
      </c>
      <c r="L157" s="49">
        <f t="shared" si="31"/>
        <v>2.4546160315319927E-61</v>
      </c>
      <c r="M157" s="49">
        <f t="shared" si="31"/>
        <v>1.1063198468279873E-59</v>
      </c>
      <c r="N157" s="49">
        <f t="shared" si="31"/>
        <v>4.5202093486467569E-58</v>
      </c>
      <c r="O157" s="49">
        <f t="shared" si="31"/>
        <v>1.6857363368269004E-56</v>
      </c>
      <c r="P157" s="49">
        <f t="shared" si="31"/>
        <v>5.7716011020073877E-55</v>
      </c>
      <c r="Q157" s="49">
        <f t="shared" si="31"/>
        <v>1.8232390915764408E-53</v>
      </c>
      <c r="R157" s="49">
        <f t="shared" si="31"/>
        <v>5.3371381451146197E-52</v>
      </c>
      <c r="S157" s="49">
        <f t="shared" si="31"/>
        <v>1.4532206725814338E-50</v>
      </c>
      <c r="T157" s="49">
        <f t="shared" si="31"/>
        <v>3.6928186669444563E-49</v>
      </c>
      <c r="U157" s="49">
        <f t="shared" si="31"/>
        <v>8.7835157437313045E-48</v>
      </c>
      <c r="V157" s="49">
        <f t="shared" si="31"/>
        <v>1.9606686331937338E-46</v>
      </c>
      <c r="W157" s="47">
        <v>0.84599999999999997</v>
      </c>
    </row>
    <row r="158" spans="2:23" x14ac:dyDescent="0.25">
      <c r="B158" s="49">
        <f t="shared" si="30"/>
        <v>1.0553619516880031E-81</v>
      </c>
      <c r="C158" s="49">
        <f t="shared" si="30"/>
        <v>5.7670423904845249E-79</v>
      </c>
      <c r="D158" s="49">
        <f t="shared" si="30"/>
        <v>1.5600007565784801E-76</v>
      </c>
      <c r="E158" s="49">
        <f t="shared" si="30"/>
        <v>2.7849117457031996E-74</v>
      </c>
      <c r="F158" s="49">
        <f t="shared" si="30"/>
        <v>3.6908036271770252E-72</v>
      </c>
      <c r="G158" s="49">
        <f t="shared" si="30"/>
        <v>3.8729020893598429E-70</v>
      </c>
      <c r="H158" s="49">
        <f t="shared" si="30"/>
        <v>3.3515097186367718E-68</v>
      </c>
      <c r="I158" s="49">
        <f t="shared" si="30"/>
        <v>2.4599136772580194E-66</v>
      </c>
      <c r="J158" s="49">
        <f t="shared" si="30"/>
        <v>1.5630795902256038E-64</v>
      </c>
      <c r="K158" s="49">
        <f t="shared" si="30"/>
        <v>8.7340190506569285E-63</v>
      </c>
      <c r="L158" s="49">
        <f t="shared" si="31"/>
        <v>4.3447372542689721E-61</v>
      </c>
      <c r="M158" s="49">
        <f t="shared" si="31"/>
        <v>1.9433116007418599E-59</v>
      </c>
      <c r="N158" s="49">
        <f t="shared" si="31"/>
        <v>7.8795660727829465E-58</v>
      </c>
      <c r="O158" s="49">
        <f t="shared" si="31"/>
        <v>2.91618885879837E-56</v>
      </c>
      <c r="P158" s="49">
        <f t="shared" si="31"/>
        <v>9.9084288108867809E-55</v>
      </c>
      <c r="Q158" s="49">
        <f t="shared" si="31"/>
        <v>3.1062388625511437E-53</v>
      </c>
      <c r="R158" s="49">
        <f t="shared" si="31"/>
        <v>9.0236588943061383E-52</v>
      </c>
      <c r="S158" s="49">
        <f t="shared" si="31"/>
        <v>2.4383108229757482E-50</v>
      </c>
      <c r="T158" s="49">
        <f t="shared" si="31"/>
        <v>6.1489227700282966E-49</v>
      </c>
      <c r="U158" s="49">
        <f t="shared" si="31"/>
        <v>1.4514206317160779E-47</v>
      </c>
      <c r="V158" s="49">
        <f t="shared" si="31"/>
        <v>3.2152390627683208E-46</v>
      </c>
      <c r="W158" s="47">
        <v>0.84499999999999997</v>
      </c>
    </row>
    <row r="159" spans="2:23" x14ac:dyDescent="0.25">
      <c r="B159" s="49">
        <f t="shared" si="30"/>
        <v>2.008008589558543E-81</v>
      </c>
      <c r="C159" s="49">
        <f t="shared" si="30"/>
        <v>1.0889669770103024E-78</v>
      </c>
      <c r="D159" s="49">
        <f t="shared" si="30"/>
        <v>2.9233712217978873E-76</v>
      </c>
      <c r="E159" s="49">
        <f t="shared" si="30"/>
        <v>5.1792676170936483E-74</v>
      </c>
      <c r="F159" s="49">
        <f t="shared" si="30"/>
        <v>6.8120179013049705E-72</v>
      </c>
      <c r="G159" s="49">
        <f t="shared" si="30"/>
        <v>7.0939718713038487E-70</v>
      </c>
      <c r="H159" s="49">
        <f t="shared" si="30"/>
        <v>6.0924463258936489E-68</v>
      </c>
      <c r="I159" s="49">
        <f t="shared" si="30"/>
        <v>4.4378188277135987E-66</v>
      </c>
      <c r="J159" s="49">
        <f t="shared" si="30"/>
        <v>2.7985267387633402E-64</v>
      </c>
      <c r="K159" s="49">
        <f t="shared" si="30"/>
        <v>1.5518915639815968E-62</v>
      </c>
      <c r="L159" s="49">
        <f t="shared" si="31"/>
        <v>7.6614299219939148E-61</v>
      </c>
      <c r="M159" s="49">
        <f t="shared" si="31"/>
        <v>3.4008545175876429E-59</v>
      </c>
      <c r="N159" s="49">
        <f t="shared" si="31"/>
        <v>1.3685082898044002E-57</v>
      </c>
      <c r="O159" s="49">
        <f t="shared" si="31"/>
        <v>5.0264403286997087E-56</v>
      </c>
      <c r="P159" s="49">
        <f t="shared" si="31"/>
        <v>1.6949218360237501E-54</v>
      </c>
      <c r="Q159" s="49">
        <f t="shared" si="31"/>
        <v>5.2732696448700512E-53</v>
      </c>
      <c r="R159" s="49">
        <f t="shared" si="31"/>
        <v>1.5202965564652014E-51</v>
      </c>
      <c r="S159" s="49">
        <f t="shared" si="31"/>
        <v>4.0769510086549461E-50</v>
      </c>
      <c r="T159" s="49">
        <f t="shared" si="31"/>
        <v>1.0203438092545855E-48</v>
      </c>
      <c r="U159" s="49">
        <f t="shared" si="31"/>
        <v>2.3902435409426494E-47</v>
      </c>
      <c r="V159" s="49">
        <f t="shared" si="31"/>
        <v>5.254892130510555E-46</v>
      </c>
      <c r="W159" s="47">
        <v>0.84399999999999997</v>
      </c>
    </row>
    <row r="160" spans="2:23" x14ac:dyDescent="0.25">
      <c r="B160" s="49">
        <f t="shared" si="30"/>
        <v>3.8049078436642421E-81</v>
      </c>
      <c r="C160" s="49">
        <f t="shared" si="30"/>
        <v>2.0478964286803048E-78</v>
      </c>
      <c r="D160" s="49">
        <f t="shared" si="30"/>
        <v>5.4562229526752615E-76</v>
      </c>
      <c r="E160" s="49">
        <f t="shared" si="30"/>
        <v>9.5938189810081773E-74</v>
      </c>
      <c r="F160" s="49">
        <f t="shared" si="30"/>
        <v>1.2523166244799623E-71</v>
      </c>
      <c r="G160" s="49">
        <f t="shared" si="30"/>
        <v>1.2943245866908898E-69</v>
      </c>
      <c r="H160" s="49">
        <f t="shared" si="30"/>
        <v>1.1032171551071052E-67</v>
      </c>
      <c r="I160" s="49">
        <f t="shared" si="30"/>
        <v>7.9754391813458971E-66</v>
      </c>
      <c r="J160" s="49">
        <f t="shared" si="30"/>
        <v>4.9914926932488114E-64</v>
      </c>
      <c r="K160" s="49">
        <f t="shared" si="30"/>
        <v>2.7471254562453605E-62</v>
      </c>
      <c r="L160" s="49">
        <f t="shared" si="31"/>
        <v>1.3459945649909786E-60</v>
      </c>
      <c r="M160" s="49">
        <f t="shared" si="31"/>
        <v>5.9297733783467617E-59</v>
      </c>
      <c r="N160" s="49">
        <f t="shared" si="31"/>
        <v>2.3681776030345084E-57</v>
      </c>
      <c r="O160" s="49">
        <f t="shared" si="31"/>
        <v>8.6326552504839346E-56</v>
      </c>
      <c r="P160" s="49">
        <f t="shared" si="31"/>
        <v>2.8890217665340644E-54</v>
      </c>
      <c r="Q160" s="49">
        <f t="shared" si="31"/>
        <v>8.9206940398254438E-53</v>
      </c>
      <c r="R160" s="49">
        <f t="shared" si="31"/>
        <v>2.5524942128953515E-51</v>
      </c>
      <c r="S160" s="49">
        <f t="shared" si="31"/>
        <v>6.7934441658200407E-50</v>
      </c>
      <c r="T160" s="49">
        <f t="shared" si="31"/>
        <v>1.6874052667262101E-48</v>
      </c>
      <c r="U160" s="49">
        <f t="shared" si="31"/>
        <v>3.9231387318862657E-47</v>
      </c>
      <c r="V160" s="49">
        <f t="shared" si="31"/>
        <v>8.5600100593898663E-46</v>
      </c>
      <c r="W160" s="47">
        <v>0.84299999999999997</v>
      </c>
    </row>
    <row r="161" spans="2:23" x14ac:dyDescent="0.25">
      <c r="B161" s="49">
        <f t="shared" si="30"/>
        <v>7.1805852285078438E-81</v>
      </c>
      <c r="C161" s="49">
        <f t="shared" si="30"/>
        <v>3.8357953761186268E-78</v>
      </c>
      <c r="D161" s="49">
        <f t="shared" si="30"/>
        <v>1.0143117456403664E-75</v>
      </c>
      <c r="E161" s="49">
        <f t="shared" si="30"/>
        <v>1.7701209218732385E-73</v>
      </c>
      <c r="F161" s="49">
        <f t="shared" si="30"/>
        <v>2.293283789058489E-71</v>
      </c>
      <c r="G161" s="49">
        <f t="shared" si="30"/>
        <v>2.3524438849724449E-69</v>
      </c>
      <c r="H161" s="49">
        <f t="shared" si="30"/>
        <v>1.9900760684335038E-67</v>
      </c>
      <c r="I161" s="49">
        <f t="shared" si="30"/>
        <v>1.4278943208079523E-65</v>
      </c>
      <c r="J161" s="49">
        <f t="shared" si="30"/>
        <v>8.8696173139536699E-64</v>
      </c>
      <c r="K161" s="49">
        <f t="shared" si="30"/>
        <v>4.8449145591579776E-62</v>
      </c>
      <c r="L161" s="49">
        <f t="shared" si="31"/>
        <v>2.356049076283049E-60</v>
      </c>
      <c r="M161" s="49">
        <f t="shared" si="31"/>
        <v>1.0301791061246922E-58</v>
      </c>
      <c r="N161" s="49">
        <f t="shared" si="31"/>
        <v>4.0834077838112905E-57</v>
      </c>
      <c r="O161" s="49">
        <f t="shared" si="31"/>
        <v>1.4773621112782547E-55</v>
      </c>
      <c r="P161" s="49">
        <f t="shared" si="31"/>
        <v>4.9071314748303483E-54</v>
      </c>
      <c r="Q161" s="49">
        <f t="shared" si="31"/>
        <v>1.5038693183904655E-52</v>
      </c>
      <c r="R161" s="49">
        <f t="shared" si="31"/>
        <v>4.2708179534067155E-51</v>
      </c>
      <c r="S161" s="49">
        <f t="shared" si="31"/>
        <v>1.1281618715444323E-49</v>
      </c>
      <c r="T161" s="49">
        <f t="shared" si="31"/>
        <v>2.7812255346291044E-48</v>
      </c>
      <c r="U161" s="49">
        <f t="shared" si="31"/>
        <v>6.4177999087467156E-47</v>
      </c>
      <c r="V161" s="49">
        <f t="shared" si="31"/>
        <v>1.3898335526402228E-45</v>
      </c>
      <c r="W161" s="47">
        <v>0.84199999999999997</v>
      </c>
    </row>
    <row r="162" spans="2:23" x14ac:dyDescent="0.25">
      <c r="B162" s="49">
        <f t="shared" si="30"/>
        <v>1.3496927449570775E-80</v>
      </c>
      <c r="C162" s="49">
        <f t="shared" si="30"/>
        <v>7.1561438889792679E-78</v>
      </c>
      <c r="D162" s="49">
        <f t="shared" si="30"/>
        <v>1.8782085317034508E-75</v>
      </c>
      <c r="E162" s="49">
        <f t="shared" si="30"/>
        <v>3.2533004745120303E-73</v>
      </c>
      <c r="F162" s="49">
        <f t="shared" si="30"/>
        <v>4.1833875583672291E-71</v>
      </c>
      <c r="G162" s="49">
        <f t="shared" si="30"/>
        <v>4.2593056562012586E-69</v>
      </c>
      <c r="H162" s="49">
        <f t="shared" si="30"/>
        <v>3.5763385967812593E-67</v>
      </c>
      <c r="I162" s="49">
        <f t="shared" si="30"/>
        <v>2.5469160284380687E-65</v>
      </c>
      <c r="J162" s="49">
        <f t="shared" si="30"/>
        <v>1.5702660696318195E-63</v>
      </c>
      <c r="K162" s="49">
        <f t="shared" si="30"/>
        <v>8.5134285243410276E-62</v>
      </c>
      <c r="L162" s="49">
        <f t="shared" si="31"/>
        <v>4.1091587741188148E-60</v>
      </c>
      <c r="M162" s="49">
        <f t="shared" si="31"/>
        <v>1.7833301993936796E-58</v>
      </c>
      <c r="N162" s="49">
        <f t="shared" si="31"/>
        <v>7.0160462454964441E-57</v>
      </c>
      <c r="O162" s="49">
        <f t="shared" si="31"/>
        <v>2.5194604611693691E-55</v>
      </c>
      <c r="P162" s="49">
        <f t="shared" si="31"/>
        <v>8.306143484945244E-54</v>
      </c>
      <c r="Q162" s="49">
        <f t="shared" si="31"/>
        <v>2.5265810443859387E-52</v>
      </c>
      <c r="R162" s="49">
        <f t="shared" si="31"/>
        <v>7.1217358056331499E-51</v>
      </c>
      <c r="S162" s="49">
        <f t="shared" si="31"/>
        <v>1.8672314649063732E-49</v>
      </c>
      <c r="T162" s="49">
        <f t="shared" si="31"/>
        <v>4.5689370569831061E-48</v>
      </c>
      <c r="U162" s="49">
        <f t="shared" si="31"/>
        <v>1.0464480361478704E-46</v>
      </c>
      <c r="V162" s="49">
        <f t="shared" si="31"/>
        <v>2.2492986705879633E-45</v>
      </c>
      <c r="W162" s="47">
        <v>0.84099999999999997</v>
      </c>
    </row>
    <row r="163" spans="2:23" x14ac:dyDescent="0.25">
      <c r="B163" s="49">
        <f t="shared" ref="B163:K172" si="32">_xlfn.HYPGEOM.DIST(B$2,comau,tongtheN*$W163,tongtheN,TRUE)</f>
        <v>2.5269182417930088E-80</v>
      </c>
      <c r="C163" s="49">
        <f t="shared" si="32"/>
        <v>1.3298433927402921E-77</v>
      </c>
      <c r="D163" s="49">
        <f t="shared" si="32"/>
        <v>3.4644202101158059E-75</v>
      </c>
      <c r="E163" s="49">
        <f t="shared" si="32"/>
        <v>5.9562979736965689E-73</v>
      </c>
      <c r="F163" s="49">
        <f t="shared" si="32"/>
        <v>7.6023173773820676E-71</v>
      </c>
      <c r="G163" s="49">
        <f t="shared" si="32"/>
        <v>7.6828532317046361E-69</v>
      </c>
      <c r="H163" s="49">
        <f t="shared" si="32"/>
        <v>6.4030718763082524E-67</v>
      </c>
      <c r="I163" s="49">
        <f t="shared" si="32"/>
        <v>4.5261670759465428E-65</v>
      </c>
      <c r="J163" s="49">
        <f t="shared" si="32"/>
        <v>2.7698458843998733E-63</v>
      </c>
      <c r="K163" s="49">
        <f t="shared" si="32"/>
        <v>1.4905737240430211E-61</v>
      </c>
      <c r="L163" s="49">
        <f t="shared" ref="L163:V172" si="33">_xlfn.HYPGEOM.DIST(L$2,comau,tongtheN*$W163,tongtheN,TRUE)</f>
        <v>7.1411590988040482E-60</v>
      </c>
      <c r="M163" s="49">
        <f t="shared" si="33"/>
        <v>3.076200154092884E-58</v>
      </c>
      <c r="N163" s="49">
        <f t="shared" si="33"/>
        <v>1.2012752658029554E-56</v>
      </c>
      <c r="O163" s="49">
        <f t="shared" si="33"/>
        <v>4.2817878194087363E-55</v>
      </c>
      <c r="P163" s="49">
        <f t="shared" si="33"/>
        <v>1.4011504579734579E-53</v>
      </c>
      <c r="Q163" s="49">
        <f t="shared" si="33"/>
        <v>4.2304501505223696E-52</v>
      </c>
      <c r="R163" s="49">
        <f t="shared" si="33"/>
        <v>1.1836068701051767E-50</v>
      </c>
      <c r="S163" s="49">
        <f t="shared" si="33"/>
        <v>3.0802667145154743E-49</v>
      </c>
      <c r="T163" s="49">
        <f t="shared" si="33"/>
        <v>7.4812501498747653E-48</v>
      </c>
      <c r="U163" s="49">
        <f t="shared" si="33"/>
        <v>1.7007708544187215E-46</v>
      </c>
      <c r="V163" s="49">
        <f t="shared" si="33"/>
        <v>3.6286469387480901E-45</v>
      </c>
      <c r="W163" s="47">
        <v>0.84</v>
      </c>
    </row>
    <row r="164" spans="2:23" x14ac:dyDescent="0.25">
      <c r="B164" s="49">
        <f t="shared" si="32"/>
        <v>4.7124862558798518E-80</v>
      </c>
      <c r="C164" s="49">
        <f t="shared" si="32"/>
        <v>2.4617329897332443E-77</v>
      </c>
      <c r="D164" s="49">
        <f t="shared" si="32"/>
        <v>6.3657958987926642E-75</v>
      </c>
      <c r="E164" s="49">
        <f t="shared" si="32"/>
        <v>1.0863766679534052E-72</v>
      </c>
      <c r="F164" s="49">
        <f t="shared" si="32"/>
        <v>1.3763600209950574E-70</v>
      </c>
      <c r="G164" s="49">
        <f t="shared" si="32"/>
        <v>1.3806729191664182E-68</v>
      </c>
      <c r="H164" s="49">
        <f t="shared" si="32"/>
        <v>1.1421918254512758E-66</v>
      </c>
      <c r="I164" s="49">
        <f t="shared" si="32"/>
        <v>8.0142676673408864E-65</v>
      </c>
      <c r="J164" s="49">
        <f t="shared" si="32"/>
        <v>4.868236365284396E-63</v>
      </c>
      <c r="K164" s="49">
        <f t="shared" si="32"/>
        <v>2.6004739351765713E-61</v>
      </c>
      <c r="L164" s="49">
        <f t="shared" si="33"/>
        <v>1.2366618348715483E-59</v>
      </c>
      <c r="M164" s="49">
        <f t="shared" si="33"/>
        <v>5.287863842198378E-58</v>
      </c>
      <c r="N164" s="49">
        <f t="shared" si="33"/>
        <v>2.0497073712248036E-56</v>
      </c>
      <c r="O164" s="49">
        <f t="shared" si="33"/>
        <v>7.2520094438033559E-55</v>
      </c>
      <c r="P164" s="49">
        <f t="shared" si="33"/>
        <v>2.3556031637253629E-53</v>
      </c>
      <c r="Q164" s="49">
        <f t="shared" si="33"/>
        <v>7.0597338953493755E-52</v>
      </c>
      <c r="R164" s="49">
        <f t="shared" si="33"/>
        <v>1.9606220705926695E-50</v>
      </c>
      <c r="S164" s="49">
        <f t="shared" si="33"/>
        <v>5.0647693331315159E-49</v>
      </c>
      <c r="T164" s="49">
        <f t="shared" si="33"/>
        <v>1.221042420389926E-47</v>
      </c>
      <c r="U164" s="49">
        <f t="shared" si="33"/>
        <v>2.7554206568700882E-46</v>
      </c>
      <c r="V164" s="49">
        <f t="shared" si="33"/>
        <v>5.8354273082474504E-45</v>
      </c>
      <c r="W164" s="47">
        <v>0.83899999999999997</v>
      </c>
    </row>
    <row r="165" spans="2:23" x14ac:dyDescent="0.25">
      <c r="B165" s="49">
        <f t="shared" si="32"/>
        <v>8.7545264067397793E-80</v>
      </c>
      <c r="C165" s="49">
        <f t="shared" si="32"/>
        <v>4.5396379261923991E-77</v>
      </c>
      <c r="D165" s="49">
        <f t="shared" si="32"/>
        <v>1.165281497964063E-74</v>
      </c>
      <c r="E165" s="49">
        <f t="shared" si="32"/>
        <v>1.974042997857189E-72</v>
      </c>
      <c r="F165" s="49">
        <f t="shared" si="32"/>
        <v>2.4825982073650506E-70</v>
      </c>
      <c r="G165" s="49">
        <f t="shared" si="32"/>
        <v>2.4720860446847733E-68</v>
      </c>
      <c r="H165" s="49">
        <f t="shared" si="32"/>
        <v>2.0300671171488474E-66</v>
      </c>
      <c r="I165" s="49">
        <f t="shared" si="32"/>
        <v>1.4139496859796142E-64</v>
      </c>
      <c r="J165" s="49">
        <f t="shared" si="32"/>
        <v>8.5259097285769705E-63</v>
      </c>
      <c r="K165" s="49">
        <f t="shared" si="32"/>
        <v>4.5208567445584988E-61</v>
      </c>
      <c r="L165" s="49">
        <f t="shared" si="33"/>
        <v>2.1341187301155776E-59</v>
      </c>
      <c r="M165" s="49">
        <f t="shared" si="33"/>
        <v>9.0583163323174535E-58</v>
      </c>
      <c r="N165" s="49">
        <f t="shared" si="33"/>
        <v>3.4854504304814701E-56</v>
      </c>
      <c r="O165" s="49">
        <f t="shared" si="33"/>
        <v>1.2241241763499749E-54</v>
      </c>
      <c r="P165" s="49">
        <f t="shared" si="33"/>
        <v>3.9470220916732951E-53</v>
      </c>
      <c r="Q165" s="49">
        <f t="shared" si="33"/>
        <v>1.1742385409341469E-51</v>
      </c>
      <c r="R165" s="49">
        <f t="shared" si="33"/>
        <v>3.2371492656715401E-50</v>
      </c>
      <c r="S165" s="49">
        <f t="shared" si="33"/>
        <v>8.3009849512362933E-49</v>
      </c>
      <c r="T165" s="49">
        <f t="shared" si="33"/>
        <v>1.9865619629066818E-47</v>
      </c>
      <c r="U165" s="49">
        <f t="shared" si="33"/>
        <v>4.4500099736494784E-46</v>
      </c>
      <c r="V165" s="49">
        <f t="shared" si="33"/>
        <v>9.3550855796518785E-45</v>
      </c>
      <c r="W165" s="47">
        <v>0.83799999999999997</v>
      </c>
    </row>
    <row r="166" spans="2:23" x14ac:dyDescent="0.25">
      <c r="B166" s="49">
        <f t="shared" si="32"/>
        <v>1.6201659825216325E-79</v>
      </c>
      <c r="C166" s="49">
        <f t="shared" si="32"/>
        <v>8.3399172052430829E-77</v>
      </c>
      <c r="D166" s="49">
        <f t="shared" si="32"/>
        <v>2.1251285573217798E-74</v>
      </c>
      <c r="E166" s="49">
        <f t="shared" si="32"/>
        <v>3.5737565515189573E-72</v>
      </c>
      <c r="F166" s="49">
        <f t="shared" si="32"/>
        <v>4.4615828968797271E-70</v>
      </c>
      <c r="G166" s="49">
        <f t="shared" si="32"/>
        <v>4.4102221239927801E-68</v>
      </c>
      <c r="H166" s="49">
        <f t="shared" si="32"/>
        <v>3.5951897223534209E-66</v>
      </c>
      <c r="I166" s="49">
        <f t="shared" si="32"/>
        <v>2.4857651818174635E-64</v>
      </c>
      <c r="J166" s="49">
        <f t="shared" si="32"/>
        <v>1.4879276044214019E-62</v>
      </c>
      <c r="K166" s="49">
        <f t="shared" si="32"/>
        <v>7.8320769932695793E-61</v>
      </c>
      <c r="L166" s="49">
        <f t="shared" si="33"/>
        <v>3.6702033313582734E-59</v>
      </c>
      <c r="M166" s="49">
        <f t="shared" si="33"/>
        <v>1.5464454205878764E-57</v>
      </c>
      <c r="N166" s="49">
        <f t="shared" si="33"/>
        <v>5.9069299490541689E-56</v>
      </c>
      <c r="O166" s="49">
        <f t="shared" si="33"/>
        <v>2.0594175994139048E-54</v>
      </c>
      <c r="P166" s="49">
        <f t="shared" si="33"/>
        <v>6.5918115708213591E-53</v>
      </c>
      <c r="Q166" s="49">
        <f t="shared" si="33"/>
        <v>1.946740655444624E-51</v>
      </c>
      <c r="R166" s="49">
        <f t="shared" si="33"/>
        <v>5.3275962259662707E-50</v>
      </c>
      <c r="S166" s="49">
        <f t="shared" si="33"/>
        <v>1.3561736217035477E-48</v>
      </c>
      <c r="T166" s="49">
        <f t="shared" si="33"/>
        <v>3.2218488535157598E-47</v>
      </c>
      <c r="U166" s="49">
        <f t="shared" si="33"/>
        <v>7.1644311856765303E-46</v>
      </c>
      <c r="V166" s="49">
        <f t="shared" si="33"/>
        <v>1.4951559646051063E-44</v>
      </c>
      <c r="W166" s="47">
        <v>0.83699999999999997</v>
      </c>
    </row>
    <row r="167" spans="2:23" x14ac:dyDescent="0.25">
      <c r="B167" s="49">
        <f t="shared" si="32"/>
        <v>2.9871079117594081E-79</v>
      </c>
      <c r="C167" s="49">
        <f t="shared" si="32"/>
        <v>1.5264499561317038E-76</v>
      </c>
      <c r="D167" s="49">
        <f t="shared" si="32"/>
        <v>3.861318535139691E-74</v>
      </c>
      <c r="E167" s="49">
        <f t="shared" si="32"/>
        <v>6.446220325823272E-72</v>
      </c>
      <c r="F167" s="49">
        <f t="shared" si="32"/>
        <v>7.9891224703154421E-70</v>
      </c>
      <c r="G167" s="49">
        <f t="shared" si="32"/>
        <v>7.8397224257602665E-68</v>
      </c>
      <c r="H167" s="49">
        <f t="shared" si="32"/>
        <v>6.3444259411052335E-66</v>
      </c>
      <c r="I167" s="49">
        <f t="shared" si="32"/>
        <v>4.3547287353176316E-64</v>
      </c>
      <c r="J167" s="49">
        <f t="shared" si="32"/>
        <v>2.5876974292712669E-62</v>
      </c>
      <c r="K167" s="49">
        <f t="shared" si="32"/>
        <v>1.3521956501242865E-60</v>
      </c>
      <c r="L167" s="49">
        <f t="shared" si="33"/>
        <v>6.2904804690884672E-59</v>
      </c>
      <c r="M167" s="49">
        <f t="shared" si="33"/>
        <v>2.6312348873197562E-57</v>
      </c>
      <c r="N167" s="49">
        <f t="shared" si="33"/>
        <v>9.9774233859738961E-56</v>
      </c>
      <c r="O167" s="49">
        <f t="shared" si="33"/>
        <v>3.453287999942447E-54</v>
      </c>
      <c r="P167" s="49">
        <f t="shared" si="33"/>
        <v>1.0972995763113042E-52</v>
      </c>
      <c r="Q167" s="49">
        <f t="shared" si="33"/>
        <v>3.2170723804778988E-51</v>
      </c>
      <c r="R167" s="49">
        <f t="shared" si="33"/>
        <v>8.7401042297576634E-50</v>
      </c>
      <c r="S167" s="49">
        <f t="shared" si="33"/>
        <v>2.208683356453438E-48</v>
      </c>
      <c r="T167" s="49">
        <f t="shared" si="33"/>
        <v>5.2090254248183749E-47</v>
      </c>
      <c r="U167" s="49">
        <f t="shared" si="33"/>
        <v>1.1499169731842166E-45</v>
      </c>
      <c r="V167" s="49">
        <f t="shared" si="33"/>
        <v>2.3823471101906702E-44</v>
      </c>
      <c r="W167" s="47">
        <v>0.83599999999999997</v>
      </c>
    </row>
    <row r="168" spans="2:23" x14ac:dyDescent="0.25">
      <c r="B168" s="49">
        <f t="shared" si="32"/>
        <v>5.4868963271285759E-79</v>
      </c>
      <c r="C168" s="49">
        <f t="shared" si="32"/>
        <v>2.7835780225885647E-76</v>
      </c>
      <c r="D168" s="49">
        <f t="shared" si="32"/>
        <v>6.990393220571955E-74</v>
      </c>
      <c r="E168" s="49">
        <f t="shared" si="32"/>
        <v>1.1585544182748631E-71</v>
      </c>
      <c r="F168" s="49">
        <f t="shared" si="32"/>
        <v>1.4254627112182263E-69</v>
      </c>
      <c r="G168" s="49">
        <f t="shared" si="32"/>
        <v>1.3886830601749204E-67</v>
      </c>
      <c r="H168" s="49">
        <f t="shared" si="32"/>
        <v>1.1156825458212553E-65</v>
      </c>
      <c r="I168" s="49">
        <f t="shared" si="32"/>
        <v>7.602483064663392E-64</v>
      </c>
      <c r="J168" s="49">
        <f t="shared" si="32"/>
        <v>4.4849137519299702E-62</v>
      </c>
      <c r="K168" s="49">
        <f t="shared" si="32"/>
        <v>2.32662606741778E-60</v>
      </c>
      <c r="L168" s="49">
        <f t="shared" si="33"/>
        <v>1.0745275170366505E-58</v>
      </c>
      <c r="M168" s="49">
        <f t="shared" si="33"/>
        <v>4.4621095953278245E-57</v>
      </c>
      <c r="N168" s="49">
        <f t="shared" si="33"/>
        <v>1.679755755093276E-55</v>
      </c>
      <c r="O168" s="49">
        <f t="shared" si="33"/>
        <v>5.7717551306337E-54</v>
      </c>
      <c r="P168" s="49">
        <f t="shared" si="33"/>
        <v>1.8207399501539542E-52</v>
      </c>
      <c r="Q168" s="49">
        <f t="shared" si="33"/>
        <v>5.2994575005447469E-51</v>
      </c>
      <c r="R168" s="49">
        <f t="shared" si="33"/>
        <v>1.4293393011202191E-49</v>
      </c>
      <c r="S168" s="49">
        <f t="shared" si="33"/>
        <v>3.5859200749373092E-48</v>
      </c>
      <c r="T168" s="49">
        <f t="shared" si="33"/>
        <v>8.3959982864994741E-47</v>
      </c>
      <c r="U168" s="49">
        <f t="shared" si="33"/>
        <v>1.8400574036241587E-45</v>
      </c>
      <c r="V168" s="49">
        <f t="shared" si="33"/>
        <v>3.7845937615257434E-44</v>
      </c>
      <c r="W168" s="47">
        <v>0.83499999999999996</v>
      </c>
    </row>
    <row r="169" spans="2:23" x14ac:dyDescent="0.25">
      <c r="B169" s="49">
        <f t="shared" si="32"/>
        <v>1.0041684328072017E-78</v>
      </c>
      <c r="C169" s="49">
        <f t="shared" si="32"/>
        <v>5.0575892483960636E-76</v>
      </c>
      <c r="D169" s="49">
        <f t="shared" si="32"/>
        <v>1.2609627908601285E-73</v>
      </c>
      <c r="E169" s="49">
        <f t="shared" si="32"/>
        <v>2.0748073608798782E-71</v>
      </c>
      <c r="F169" s="49">
        <f t="shared" si="32"/>
        <v>2.5344168916981559E-69</v>
      </c>
      <c r="G169" s="49">
        <f t="shared" si="32"/>
        <v>2.4512429766113117E-67</v>
      </c>
      <c r="H169" s="49">
        <f t="shared" si="32"/>
        <v>1.9551725031140791E-65</v>
      </c>
      <c r="I169" s="49">
        <f t="shared" si="32"/>
        <v>1.3226998789666469E-63</v>
      </c>
      <c r="J169" s="49">
        <f t="shared" si="32"/>
        <v>7.746785991096132E-62</v>
      </c>
      <c r="K169" s="49">
        <f t="shared" si="32"/>
        <v>3.9898435848120869E-60</v>
      </c>
      <c r="L169" s="49">
        <f t="shared" si="33"/>
        <v>1.829400759604177E-58</v>
      </c>
      <c r="M169" s="49">
        <f t="shared" si="33"/>
        <v>7.5421263294600392E-57</v>
      </c>
      <c r="N169" s="49">
        <f t="shared" si="33"/>
        <v>2.8187865802157251E-55</v>
      </c>
      <c r="O169" s="49">
        <f t="shared" si="33"/>
        <v>9.6158279467168182E-54</v>
      </c>
      <c r="P169" s="49">
        <f t="shared" si="33"/>
        <v>3.0115472895329972E-52</v>
      </c>
      <c r="Q169" s="49">
        <f t="shared" si="33"/>
        <v>8.7023474568136669E-51</v>
      </c>
      <c r="R169" s="49">
        <f t="shared" si="33"/>
        <v>2.3302571657735375E-49</v>
      </c>
      <c r="S169" s="49">
        <f t="shared" si="33"/>
        <v>5.8040736715108656E-48</v>
      </c>
      <c r="T169" s="49">
        <f t="shared" si="33"/>
        <v>1.3491764147636844E-46</v>
      </c>
      <c r="U169" s="49">
        <f t="shared" si="33"/>
        <v>2.9355681486500069E-45</v>
      </c>
      <c r="V169" s="49">
        <f t="shared" si="33"/>
        <v>5.9943870436917281E-44</v>
      </c>
      <c r="W169" s="47">
        <v>0.83399999999999996</v>
      </c>
    </row>
    <row r="170" spans="2:23" x14ac:dyDescent="0.25">
      <c r="B170" s="49">
        <f t="shared" si="32"/>
        <v>1.8310892771516032E-78</v>
      </c>
      <c r="C170" s="49">
        <f t="shared" si="32"/>
        <v>9.1563423626130786E-76</v>
      </c>
      <c r="D170" s="49">
        <f t="shared" si="32"/>
        <v>2.2665036099959819E-73</v>
      </c>
      <c r="E170" s="49">
        <f t="shared" si="32"/>
        <v>3.7026082849964255E-71</v>
      </c>
      <c r="F170" s="49">
        <f t="shared" si="32"/>
        <v>4.4903900007124521E-69</v>
      </c>
      <c r="G170" s="49">
        <f t="shared" si="32"/>
        <v>4.3118989011165457E-67</v>
      </c>
      <c r="H170" s="49">
        <f t="shared" si="32"/>
        <v>3.4146301808269988E-65</v>
      </c>
      <c r="I170" s="49">
        <f t="shared" si="32"/>
        <v>2.2934880813023146E-63</v>
      </c>
      <c r="J170" s="49">
        <f t="shared" si="32"/>
        <v>1.3336243387181239E-61</v>
      </c>
      <c r="K170" s="49">
        <f t="shared" si="32"/>
        <v>6.8193787657379005E-60</v>
      </c>
      <c r="L170" s="49">
        <f t="shared" si="33"/>
        <v>3.104380894431592E-58</v>
      </c>
      <c r="M170" s="49">
        <f t="shared" si="33"/>
        <v>1.2706834615819278E-56</v>
      </c>
      <c r="N170" s="49">
        <f t="shared" si="33"/>
        <v>4.7150188228267187E-55</v>
      </c>
      <c r="O170" s="49">
        <f t="shared" si="33"/>
        <v>1.5969297878255293E-53</v>
      </c>
      <c r="P170" s="49">
        <f t="shared" si="33"/>
        <v>4.9655456484543034E-52</v>
      </c>
      <c r="Q170" s="49">
        <f t="shared" si="33"/>
        <v>1.424597329745215E-50</v>
      </c>
      <c r="R170" s="49">
        <f t="shared" si="33"/>
        <v>3.7873744599739909E-49</v>
      </c>
      <c r="S170" s="49">
        <f t="shared" si="33"/>
        <v>9.3658302323935252E-48</v>
      </c>
      <c r="T170" s="49">
        <f t="shared" si="33"/>
        <v>2.1615305216131747E-46</v>
      </c>
      <c r="U170" s="49">
        <f t="shared" si="33"/>
        <v>4.6694354245020056E-45</v>
      </c>
      <c r="V170" s="49">
        <f t="shared" si="33"/>
        <v>9.4666622976706978E-44</v>
      </c>
      <c r="W170" s="47">
        <v>0.83299999999999996</v>
      </c>
    </row>
    <row r="171" spans="2:23" x14ac:dyDescent="0.25">
      <c r="B171" s="49">
        <f t="shared" si="32"/>
        <v>3.3270126450066033E-78</v>
      </c>
      <c r="C171" s="49">
        <f t="shared" si="32"/>
        <v>1.6517999357444951E-75</v>
      </c>
      <c r="D171" s="49">
        <f t="shared" si="32"/>
        <v>4.0595929583407304E-73</v>
      </c>
      <c r="E171" s="49">
        <f t="shared" si="32"/>
        <v>6.5845282677968891E-71</v>
      </c>
      <c r="F171" s="49">
        <f t="shared" si="32"/>
        <v>7.9285169197607748E-69</v>
      </c>
      <c r="G171" s="49">
        <f t="shared" si="32"/>
        <v>7.5590573984782306E-67</v>
      </c>
      <c r="H171" s="49">
        <f t="shared" si="32"/>
        <v>5.9433884188048687E-65</v>
      </c>
      <c r="I171" s="49">
        <f t="shared" si="32"/>
        <v>3.9634965660178111E-63</v>
      </c>
      <c r="J171" s="49">
        <f t="shared" si="32"/>
        <v>2.2882700281534296E-61</v>
      </c>
      <c r="K171" s="49">
        <f t="shared" si="32"/>
        <v>1.1617442767579735E-59</v>
      </c>
      <c r="L171" s="49">
        <f t="shared" si="33"/>
        <v>5.2508899497933319E-58</v>
      </c>
      <c r="M171" s="49">
        <f t="shared" si="33"/>
        <v>2.1339670139497511E-56</v>
      </c>
      <c r="N171" s="49">
        <f t="shared" si="33"/>
        <v>7.8618797860758939E-55</v>
      </c>
      <c r="O171" s="49">
        <f t="shared" si="33"/>
        <v>2.6437578602210225E-53</v>
      </c>
      <c r="P171" s="49">
        <f t="shared" si="33"/>
        <v>8.1619883551443926E-52</v>
      </c>
      <c r="Q171" s="49">
        <f t="shared" si="33"/>
        <v>2.3249548238106998E-50</v>
      </c>
      <c r="R171" s="49">
        <f t="shared" si="33"/>
        <v>6.1369744107946357E-49</v>
      </c>
      <c r="S171" s="49">
        <f t="shared" si="33"/>
        <v>1.5068024091059246E-47</v>
      </c>
      <c r="T171" s="49">
        <f t="shared" si="33"/>
        <v>3.4527541177252971E-46</v>
      </c>
      <c r="U171" s="49">
        <f t="shared" si="33"/>
        <v>7.4056505976340756E-45</v>
      </c>
      <c r="V171" s="49">
        <f t="shared" si="33"/>
        <v>1.4907012546695023E-43</v>
      </c>
      <c r="W171" s="47">
        <v>0.83199999999999996</v>
      </c>
    </row>
    <row r="172" spans="2:23" x14ac:dyDescent="0.25">
      <c r="B172" s="49">
        <f t="shared" si="32"/>
        <v>6.0236517886597812E-78</v>
      </c>
      <c r="C172" s="49">
        <f t="shared" si="32"/>
        <v>2.9693960888521747E-75</v>
      </c>
      <c r="D172" s="49">
        <f t="shared" si="32"/>
        <v>7.2460048768104945E-73</v>
      </c>
      <c r="E172" s="49">
        <f t="shared" si="32"/>
        <v>1.1669343167552288E-70</v>
      </c>
      <c r="F172" s="49">
        <f t="shared" si="32"/>
        <v>1.3951454639816844E-68</v>
      </c>
      <c r="G172" s="49">
        <f t="shared" si="32"/>
        <v>1.3206907848196542E-66</v>
      </c>
      <c r="H172" s="49">
        <f t="shared" si="32"/>
        <v>1.03103587364162E-64</v>
      </c>
      <c r="I172" s="49">
        <f t="shared" si="32"/>
        <v>6.8269150947016606E-63</v>
      </c>
      <c r="J172" s="49">
        <f t="shared" si="32"/>
        <v>3.9134504737399242E-61</v>
      </c>
      <c r="K172" s="49">
        <f t="shared" si="32"/>
        <v>1.9727401108840963E-59</v>
      </c>
      <c r="L172" s="49">
        <f t="shared" si="33"/>
        <v>8.8531786940303238E-58</v>
      </c>
      <c r="M172" s="49">
        <f t="shared" si="33"/>
        <v>3.5724093859513421E-56</v>
      </c>
      <c r="N172" s="49">
        <f t="shared" si="33"/>
        <v>1.3067946820919833E-54</v>
      </c>
      <c r="O172" s="49">
        <f t="shared" si="33"/>
        <v>4.3632522234376114E-53</v>
      </c>
      <c r="P172" s="49">
        <f t="shared" si="33"/>
        <v>1.3374961779333137E-51</v>
      </c>
      <c r="Q172" s="49">
        <f t="shared" si="33"/>
        <v>3.7828515329606838E-50</v>
      </c>
      <c r="R172" s="49">
        <f t="shared" si="33"/>
        <v>9.9144257369352406E-49</v>
      </c>
      <c r="S172" s="49">
        <f t="shared" si="33"/>
        <v>2.4170092734421419E-47</v>
      </c>
      <c r="T172" s="49">
        <f t="shared" si="33"/>
        <v>5.4991646069595145E-46</v>
      </c>
      <c r="U172" s="49">
        <f t="shared" si="33"/>
        <v>1.1711260827482781E-44</v>
      </c>
      <c r="V172" s="49">
        <f t="shared" si="33"/>
        <v>2.3406729957511095E-43</v>
      </c>
      <c r="W172" s="47">
        <v>0.83099999999999996</v>
      </c>
    </row>
    <row r="173" spans="2:23" x14ac:dyDescent="0.25">
      <c r="B173" s="49">
        <f t="shared" ref="B173:K182" si="34">_xlfn.HYPGEOM.DIST(B$2,comau,tongtheN*$W173,tongtheN,TRUE)</f>
        <v>1.08678568797859E-77</v>
      </c>
      <c r="C173" s="49">
        <f t="shared" si="34"/>
        <v>5.3195154124418263E-75</v>
      </c>
      <c r="D173" s="49">
        <f t="shared" si="34"/>
        <v>1.2889100589396121E-72</v>
      </c>
      <c r="E173" s="49">
        <f t="shared" si="34"/>
        <v>2.0610599496181164E-70</v>
      </c>
      <c r="F173" s="49">
        <f t="shared" si="34"/>
        <v>2.4467190383772802E-68</v>
      </c>
      <c r="G173" s="49">
        <f t="shared" si="34"/>
        <v>2.2997802319120502E-66</v>
      </c>
      <c r="H173" s="49">
        <f t="shared" si="34"/>
        <v>1.7827060274793368E-64</v>
      </c>
      <c r="I173" s="49">
        <f t="shared" si="34"/>
        <v>1.1720642538200699E-62</v>
      </c>
      <c r="J173" s="49">
        <f t="shared" si="34"/>
        <v>6.6712609104501029E-61</v>
      </c>
      <c r="K173" s="49">
        <f t="shared" si="34"/>
        <v>3.3391761796822251E-59</v>
      </c>
      <c r="L173" s="49">
        <f t="shared" ref="L173:V182" si="35">_xlfn.HYPGEOM.DIST(L$2,comau,tongtheN*$W173,tongtheN,TRUE)</f>
        <v>1.4879566582473014E-57</v>
      </c>
      <c r="M173" s="49">
        <f t="shared" si="35"/>
        <v>5.9617545373383989E-56</v>
      </c>
      <c r="N173" s="49">
        <f t="shared" si="35"/>
        <v>2.1654206831637685E-54</v>
      </c>
      <c r="O173" s="49">
        <f t="shared" si="35"/>
        <v>7.1790592539235307E-53</v>
      </c>
      <c r="P173" s="49">
        <f t="shared" si="35"/>
        <v>2.185105044991503E-51</v>
      </c>
      <c r="Q173" s="49">
        <f t="shared" si="35"/>
        <v>6.136516154194889E-50</v>
      </c>
      <c r="R173" s="49">
        <f t="shared" si="35"/>
        <v>1.5969570622695123E-48</v>
      </c>
      <c r="S173" s="49">
        <f t="shared" si="35"/>
        <v>3.8656930698301934E-47</v>
      </c>
      <c r="T173" s="49">
        <f t="shared" si="35"/>
        <v>8.7331203959303762E-46</v>
      </c>
      <c r="U173" s="49">
        <f t="shared" si="35"/>
        <v>1.8467170928018618E-44</v>
      </c>
      <c r="V173" s="49">
        <f t="shared" si="35"/>
        <v>3.6648970004087053E-43</v>
      </c>
      <c r="W173" s="47">
        <v>0.83</v>
      </c>
    </row>
    <row r="174" spans="2:23" x14ac:dyDescent="0.25">
      <c r="B174" s="49">
        <f t="shared" si="34"/>
        <v>1.9539995428295029E-77</v>
      </c>
      <c r="C174" s="49">
        <f t="shared" si="34"/>
        <v>9.497010827881191E-75</v>
      </c>
      <c r="D174" s="49">
        <f t="shared" si="34"/>
        <v>2.2849250226431774E-72</v>
      </c>
      <c r="E174" s="49">
        <f t="shared" si="34"/>
        <v>3.6280612828667382E-70</v>
      </c>
      <c r="F174" s="49">
        <f t="shared" si="34"/>
        <v>4.2766421989037736E-68</v>
      </c>
      <c r="G174" s="49">
        <f t="shared" si="34"/>
        <v>3.9915370074020862E-66</v>
      </c>
      <c r="H174" s="49">
        <f t="shared" si="34"/>
        <v>3.072336307532622E-64</v>
      </c>
      <c r="I174" s="49">
        <f t="shared" si="34"/>
        <v>2.0057455325594588E-62</v>
      </c>
      <c r="J174" s="49">
        <f t="shared" si="34"/>
        <v>1.1336211345911219E-60</v>
      </c>
      <c r="K174" s="49">
        <f t="shared" si="34"/>
        <v>5.6342374662062765E-59</v>
      </c>
      <c r="L174" s="49">
        <f t="shared" si="35"/>
        <v>2.4929990822149478E-57</v>
      </c>
      <c r="M174" s="49">
        <f t="shared" si="35"/>
        <v>9.9184127898759385E-56</v>
      </c>
      <c r="N174" s="49">
        <f t="shared" si="35"/>
        <v>3.5772299230582653E-54</v>
      </c>
      <c r="O174" s="49">
        <f t="shared" si="35"/>
        <v>1.177629952185873E-52</v>
      </c>
      <c r="P174" s="49">
        <f t="shared" si="35"/>
        <v>3.5591853946059086E-51</v>
      </c>
      <c r="Q174" s="49">
        <f t="shared" si="35"/>
        <v>9.9251578695187856E-50</v>
      </c>
      <c r="R174" s="49">
        <f t="shared" si="35"/>
        <v>2.5647574951367138E-48</v>
      </c>
      <c r="S174" s="49">
        <f t="shared" si="35"/>
        <v>6.1647894940318663E-47</v>
      </c>
      <c r="T174" s="49">
        <f t="shared" si="35"/>
        <v>1.3829244174844365E-45</v>
      </c>
      <c r="U174" s="49">
        <f t="shared" si="35"/>
        <v>2.9038073080933521E-44</v>
      </c>
      <c r="V174" s="49">
        <f t="shared" si="35"/>
        <v>5.7222648275538783E-43</v>
      </c>
      <c r="W174" s="47">
        <v>0.82899999999999996</v>
      </c>
    </row>
    <row r="175" spans="2:23" x14ac:dyDescent="0.25">
      <c r="B175" s="49">
        <f t="shared" si="34"/>
        <v>3.5012170787446764E-77</v>
      </c>
      <c r="C175" s="49">
        <f t="shared" si="34"/>
        <v>1.6897796594716176E-74</v>
      </c>
      <c r="D175" s="49">
        <f t="shared" si="34"/>
        <v>4.0370472094513552E-72</v>
      </c>
      <c r="E175" s="49">
        <f t="shared" si="34"/>
        <v>6.3652488758489966E-70</v>
      </c>
      <c r="F175" s="49">
        <f t="shared" si="34"/>
        <v>7.4506260824781356E-68</v>
      </c>
      <c r="G175" s="49">
        <f t="shared" si="34"/>
        <v>6.9052478504448158E-66</v>
      </c>
      <c r="H175" s="49">
        <f t="shared" si="34"/>
        <v>5.2778532851148455E-64</v>
      </c>
      <c r="I175" s="49">
        <f t="shared" si="34"/>
        <v>3.4214802630221018E-62</v>
      </c>
      <c r="J175" s="49">
        <f t="shared" si="34"/>
        <v>1.920242105323682E-60</v>
      </c>
      <c r="K175" s="49">
        <f t="shared" si="34"/>
        <v>9.4770519470226124E-59</v>
      </c>
      <c r="L175" s="49">
        <f t="shared" si="35"/>
        <v>4.1639979899232055E-57</v>
      </c>
      <c r="M175" s="49">
        <f t="shared" si="35"/>
        <v>1.6450574816015373E-55</v>
      </c>
      <c r="N175" s="49">
        <f t="shared" si="35"/>
        <v>5.8916439860715588E-54</v>
      </c>
      <c r="O175" s="49">
        <f t="shared" si="35"/>
        <v>1.925969796141451E-52</v>
      </c>
      <c r="P175" s="49">
        <f t="shared" si="35"/>
        <v>5.7801949076784948E-51</v>
      </c>
      <c r="Q175" s="49">
        <f t="shared" si="35"/>
        <v>1.6005926023529944E-49</v>
      </c>
      <c r="R175" s="49">
        <f t="shared" si="35"/>
        <v>4.10715862343938E-48</v>
      </c>
      <c r="S175" s="49">
        <f t="shared" si="35"/>
        <v>9.8031465562290502E-47</v>
      </c>
      <c r="T175" s="49">
        <f t="shared" si="35"/>
        <v>2.183725598158391E-45</v>
      </c>
      <c r="U175" s="49">
        <f t="shared" si="35"/>
        <v>4.553235412908353E-44</v>
      </c>
      <c r="V175" s="49">
        <f t="shared" si="35"/>
        <v>8.9099093023297685E-43</v>
      </c>
      <c r="W175" s="47">
        <v>0.82799999999999996</v>
      </c>
    </row>
    <row r="176" spans="2:23" x14ac:dyDescent="0.25">
      <c r="B176" s="49">
        <f t="shared" si="34"/>
        <v>6.2523730845387537E-77</v>
      </c>
      <c r="C176" s="49">
        <f t="shared" si="34"/>
        <v>2.9965295520360715E-74</v>
      </c>
      <c r="D176" s="49">
        <f t="shared" si="34"/>
        <v>7.1091081502717177E-72</v>
      </c>
      <c r="E176" s="49">
        <f t="shared" si="34"/>
        <v>1.113088405888017E-69</v>
      </c>
      <c r="F176" s="49">
        <f t="shared" si="34"/>
        <v>1.2938090746273701E-67</v>
      </c>
      <c r="G176" s="49">
        <f t="shared" si="34"/>
        <v>1.1907484735160072E-65</v>
      </c>
      <c r="H176" s="49">
        <f t="shared" si="34"/>
        <v>9.0377766203787329E-64</v>
      </c>
      <c r="I176" s="49">
        <f t="shared" si="34"/>
        <v>5.8181116737699047E-62</v>
      </c>
      <c r="J176" s="49">
        <f t="shared" si="34"/>
        <v>3.2425593233792154E-60</v>
      </c>
      <c r="K176" s="49">
        <f t="shared" si="34"/>
        <v>1.589166286497275E-58</v>
      </c>
      <c r="L176" s="49">
        <f t="shared" si="35"/>
        <v>6.9337942852874861E-57</v>
      </c>
      <c r="M176" s="49">
        <f t="shared" si="35"/>
        <v>2.7202330121191439E-55</v>
      </c>
      <c r="N176" s="49">
        <f t="shared" si="35"/>
        <v>9.6744514545061794E-54</v>
      </c>
      <c r="O176" s="49">
        <f t="shared" si="35"/>
        <v>3.1405404901701722E-52</v>
      </c>
      <c r="P176" s="49">
        <f t="shared" si="35"/>
        <v>9.3597173862601178E-51</v>
      </c>
      <c r="Q176" s="49">
        <f t="shared" si="35"/>
        <v>2.5737517344711111E-49</v>
      </c>
      <c r="R176" s="49">
        <f t="shared" si="35"/>
        <v>6.5583289435330243E-48</v>
      </c>
      <c r="S176" s="49">
        <f t="shared" si="35"/>
        <v>1.5544736944979237E-46</v>
      </c>
      <c r="T176" s="49">
        <f t="shared" si="35"/>
        <v>3.4386059583250289E-45</v>
      </c>
      <c r="U176" s="49">
        <f t="shared" si="35"/>
        <v>7.1198563489953429E-44</v>
      </c>
      <c r="V176" s="49">
        <f t="shared" si="35"/>
        <v>1.3835393613963661E-42</v>
      </c>
      <c r="W176" s="47">
        <v>0.82699999999999996</v>
      </c>
    </row>
    <row r="177" spans="2:23" x14ac:dyDescent="0.25">
      <c r="B177" s="49">
        <f t="shared" si="34"/>
        <v>1.112804651538996E-76</v>
      </c>
      <c r="C177" s="49">
        <f t="shared" si="34"/>
        <v>5.2962583075371476E-74</v>
      </c>
      <c r="D177" s="49">
        <f t="shared" si="34"/>
        <v>1.2477926577906101E-71</v>
      </c>
      <c r="E177" s="49">
        <f t="shared" si="34"/>
        <v>1.9401434724355805E-69</v>
      </c>
      <c r="F177" s="49">
        <f t="shared" si="34"/>
        <v>2.2395019321701679E-67</v>
      </c>
      <c r="G177" s="49">
        <f t="shared" si="34"/>
        <v>2.0468146962433595E-65</v>
      </c>
      <c r="H177" s="49">
        <f t="shared" si="34"/>
        <v>1.5427570194937024E-63</v>
      </c>
      <c r="I177" s="49">
        <f t="shared" si="34"/>
        <v>9.8626952355301776E-62</v>
      </c>
      <c r="J177" s="49">
        <f t="shared" si="34"/>
        <v>5.4585755761240522E-60</v>
      </c>
      <c r="K177" s="49">
        <f t="shared" si="34"/>
        <v>2.6566772061046279E-58</v>
      </c>
      <c r="L177" s="49">
        <f t="shared" si="35"/>
        <v>1.1511148820457856E-56</v>
      </c>
      <c r="M177" s="49">
        <f t="shared" si="35"/>
        <v>4.4846888943794135E-55</v>
      </c>
      <c r="N177" s="49">
        <f t="shared" si="35"/>
        <v>1.5839129157685119E-53</v>
      </c>
      <c r="O177" s="49">
        <f t="shared" si="35"/>
        <v>5.1060884191259035E-52</v>
      </c>
      <c r="P177" s="49">
        <f t="shared" si="35"/>
        <v>1.5112137979202903E-50</v>
      </c>
      <c r="Q177" s="49">
        <f t="shared" si="35"/>
        <v>4.1267611703032057E-49</v>
      </c>
      <c r="R177" s="49">
        <f t="shared" si="35"/>
        <v>1.0442768883319433E-47</v>
      </c>
      <c r="S177" s="49">
        <f t="shared" si="35"/>
        <v>2.4580229098058185E-46</v>
      </c>
      <c r="T177" s="49">
        <f t="shared" si="35"/>
        <v>5.399646671875011E-45</v>
      </c>
      <c r="U177" s="49">
        <f t="shared" si="35"/>
        <v>1.1102859933671118E-43</v>
      </c>
      <c r="V177" s="49">
        <f t="shared" si="35"/>
        <v>2.1425757163916247E-42</v>
      </c>
      <c r="W177" s="47">
        <v>0.82599999999999996</v>
      </c>
    </row>
    <row r="178" spans="2:23" x14ac:dyDescent="0.25">
      <c r="B178" s="49">
        <f t="shared" si="34"/>
        <v>1.9740485263454486E-76</v>
      </c>
      <c r="C178" s="49">
        <f t="shared" si="34"/>
        <v>9.3303585436909464E-74</v>
      </c>
      <c r="D178" s="49">
        <f t="shared" si="34"/>
        <v>2.1830417909152607E-71</v>
      </c>
      <c r="E178" s="49">
        <f t="shared" si="34"/>
        <v>3.3708862059199571E-69</v>
      </c>
      <c r="F178" s="49">
        <f t="shared" si="34"/>
        <v>3.8641367332221779E-67</v>
      </c>
      <c r="G178" s="49">
        <f t="shared" si="34"/>
        <v>3.5072809327643724E-65</v>
      </c>
      <c r="H178" s="49">
        <f t="shared" si="34"/>
        <v>2.6253108486175794E-63</v>
      </c>
      <c r="I178" s="49">
        <f t="shared" si="34"/>
        <v>1.6667489405999655E-61</v>
      </c>
      <c r="J178" s="49">
        <f t="shared" si="34"/>
        <v>9.1610547711930132E-60</v>
      </c>
      <c r="K178" s="49">
        <f t="shared" si="34"/>
        <v>4.4278890691750206E-58</v>
      </c>
      <c r="L178" s="49">
        <f t="shared" si="35"/>
        <v>1.9053230552694879E-56</v>
      </c>
      <c r="M178" s="49">
        <f t="shared" si="35"/>
        <v>7.3718165001760279E-55</v>
      </c>
      <c r="N178" s="49">
        <f t="shared" si="35"/>
        <v>2.5856275997224296E-53</v>
      </c>
      <c r="O178" s="49">
        <f t="shared" si="35"/>
        <v>8.2778153285822667E-52</v>
      </c>
      <c r="P178" s="49">
        <f t="shared" si="35"/>
        <v>2.4330234712994965E-50</v>
      </c>
      <c r="Q178" s="49">
        <f t="shared" si="35"/>
        <v>6.5981620659153471E-49</v>
      </c>
      <c r="R178" s="49">
        <f t="shared" si="35"/>
        <v>1.6581462927471427E-47</v>
      </c>
      <c r="S178" s="49">
        <f t="shared" si="35"/>
        <v>3.8760282252231842E-46</v>
      </c>
      <c r="T178" s="49">
        <f t="shared" si="35"/>
        <v>8.455912460563431E-45</v>
      </c>
      <c r="U178" s="49">
        <f t="shared" si="35"/>
        <v>1.7267300461494134E-43</v>
      </c>
      <c r="V178" s="49">
        <f t="shared" si="35"/>
        <v>3.3091811719536394E-42</v>
      </c>
      <c r="W178" s="47">
        <v>0.82499999999999996</v>
      </c>
    </row>
    <row r="179" spans="2:23" x14ac:dyDescent="0.25">
      <c r="B179" s="49">
        <f t="shared" si="34"/>
        <v>3.4904218599713841E-76</v>
      </c>
      <c r="C179" s="49">
        <f t="shared" si="34"/>
        <v>1.6384088424926543E-73</v>
      </c>
      <c r="D179" s="49">
        <f t="shared" si="34"/>
        <v>3.807062628678436E-71</v>
      </c>
      <c r="E179" s="49">
        <f t="shared" si="34"/>
        <v>5.8381635541635176E-69</v>
      </c>
      <c r="F179" s="49">
        <f t="shared" si="34"/>
        <v>6.6464390056073686E-67</v>
      </c>
      <c r="G179" s="49">
        <f t="shared" si="34"/>
        <v>5.9911700903283509E-65</v>
      </c>
      <c r="H179" s="49">
        <f t="shared" si="34"/>
        <v>4.4537576079007236E-63</v>
      </c>
      <c r="I179" s="49">
        <f t="shared" si="34"/>
        <v>2.8081543753985995E-61</v>
      </c>
      <c r="J179" s="49">
        <f t="shared" si="34"/>
        <v>1.5328562323258029E-59</v>
      </c>
      <c r="K179" s="49">
        <f t="shared" si="34"/>
        <v>7.357970511941207E-58</v>
      </c>
      <c r="L179" s="49">
        <f t="shared" si="35"/>
        <v>3.1443835959676312E-56</v>
      </c>
      <c r="M179" s="49">
        <f t="shared" si="35"/>
        <v>1.2082233764550773E-54</v>
      </c>
      <c r="N179" s="49">
        <f t="shared" si="35"/>
        <v>4.2086688042506016E-53</v>
      </c>
      <c r="O179" s="49">
        <f t="shared" si="35"/>
        <v>1.3381377304040783E-51</v>
      </c>
      <c r="P179" s="49">
        <f t="shared" si="35"/>
        <v>3.9060513425881069E-50</v>
      </c>
      <c r="Q179" s="49">
        <f t="shared" si="35"/>
        <v>1.0520138642223039E-48</v>
      </c>
      <c r="R179" s="49">
        <f t="shared" si="35"/>
        <v>2.625599287108745E-47</v>
      </c>
      <c r="S179" s="49">
        <f t="shared" si="35"/>
        <v>6.0953681623922919E-46</v>
      </c>
      <c r="T179" s="49">
        <f t="shared" si="35"/>
        <v>1.3206301415739954E-44</v>
      </c>
      <c r="U179" s="49">
        <f t="shared" si="35"/>
        <v>2.6782629142045875E-43</v>
      </c>
      <c r="V179" s="49">
        <f t="shared" si="35"/>
        <v>5.0975051648776084E-42</v>
      </c>
      <c r="W179" s="47">
        <v>0.82399999999999995</v>
      </c>
    </row>
    <row r="180" spans="2:23" x14ac:dyDescent="0.25">
      <c r="B180" s="49">
        <f t="shared" si="34"/>
        <v>6.1517021507263459E-76</v>
      </c>
      <c r="C180" s="49">
        <f t="shared" si="34"/>
        <v>2.8678532692924955E-73</v>
      </c>
      <c r="D180" s="49">
        <f t="shared" si="34"/>
        <v>6.6182336710041231E-71</v>
      </c>
      <c r="E180" s="49">
        <f t="shared" si="34"/>
        <v>1.0079661257523473E-68</v>
      </c>
      <c r="F180" s="49">
        <f t="shared" si="34"/>
        <v>1.1396630993352266E-66</v>
      </c>
      <c r="G180" s="49">
        <f t="shared" si="34"/>
        <v>1.0202746147500031E-64</v>
      </c>
      <c r="H180" s="49">
        <f t="shared" si="34"/>
        <v>7.5326912969272353E-63</v>
      </c>
      <c r="I180" s="49">
        <f t="shared" si="34"/>
        <v>4.7169680126942107E-61</v>
      </c>
      <c r="J180" s="49">
        <f t="shared" si="34"/>
        <v>2.5571837872841703E-59</v>
      </c>
      <c r="K180" s="49">
        <f t="shared" si="34"/>
        <v>1.2190944152620536E-57</v>
      </c>
      <c r="L180" s="49">
        <f t="shared" si="35"/>
        <v>5.1740881505415989E-56</v>
      </c>
      <c r="M180" s="49">
        <f t="shared" si="35"/>
        <v>1.9745346964589803E-54</v>
      </c>
      <c r="N180" s="49">
        <f t="shared" si="35"/>
        <v>6.8309602843627552E-53</v>
      </c>
      <c r="O180" s="49">
        <f t="shared" si="35"/>
        <v>2.1570367762429031E-51</v>
      </c>
      <c r="P180" s="49">
        <f t="shared" si="35"/>
        <v>6.2533777580843432E-50</v>
      </c>
      <c r="Q180" s="49">
        <f t="shared" si="35"/>
        <v>1.6727014558594526E-48</v>
      </c>
      <c r="R180" s="49">
        <f t="shared" si="35"/>
        <v>4.1461590116213007E-47</v>
      </c>
      <c r="S180" s="49">
        <f t="shared" si="35"/>
        <v>9.5595683149215629E-46</v>
      </c>
      <c r="T180" s="49">
        <f t="shared" si="35"/>
        <v>2.0570302655260033E-44</v>
      </c>
      <c r="U180" s="49">
        <f t="shared" si="35"/>
        <v>4.1431832479496536E-43</v>
      </c>
      <c r="V180" s="49">
        <f t="shared" si="35"/>
        <v>7.8317785974195624E-42</v>
      </c>
      <c r="W180" s="47">
        <v>0.82299999999999995</v>
      </c>
    </row>
    <row r="181" spans="2:23" x14ac:dyDescent="0.25">
      <c r="B181" s="49">
        <f t="shared" si="34"/>
        <v>1.0807513168911727E-75</v>
      </c>
      <c r="C181" s="49">
        <f t="shared" si="34"/>
        <v>5.0040070718663641E-73</v>
      </c>
      <c r="D181" s="49">
        <f t="shared" si="34"/>
        <v>1.1469216895723769E-70</v>
      </c>
      <c r="E181" s="49">
        <f t="shared" si="34"/>
        <v>1.7348760883363121E-68</v>
      </c>
      <c r="F181" s="49">
        <f t="shared" si="34"/>
        <v>1.9481843268859787E-66</v>
      </c>
      <c r="G181" s="49">
        <f t="shared" si="34"/>
        <v>1.7322152591647144E-64</v>
      </c>
      <c r="H181" s="49">
        <f t="shared" si="34"/>
        <v>1.2701831915350766E-62</v>
      </c>
      <c r="I181" s="49">
        <f t="shared" si="34"/>
        <v>7.8997024864086763E-61</v>
      </c>
      <c r="J181" s="49">
        <f t="shared" si="34"/>
        <v>4.2534522947053864E-59</v>
      </c>
      <c r="K181" s="49">
        <f t="shared" si="34"/>
        <v>2.0139514655203526E-57</v>
      </c>
      <c r="L181" s="49">
        <f t="shared" si="35"/>
        <v>8.4894145168656367E-56</v>
      </c>
      <c r="M181" s="49">
        <f t="shared" si="35"/>
        <v>3.2176675828646816E-54</v>
      </c>
      <c r="N181" s="49">
        <f t="shared" si="35"/>
        <v>1.1055818396319042E-52</v>
      </c>
      <c r="O181" s="49">
        <f t="shared" si="35"/>
        <v>3.4673658436227599E-51</v>
      </c>
      <c r="P181" s="49">
        <f t="shared" si="35"/>
        <v>9.9836655451266125E-50</v>
      </c>
      <c r="Q181" s="49">
        <f t="shared" si="35"/>
        <v>2.6523284730465198E-48</v>
      </c>
      <c r="R181" s="49">
        <f t="shared" si="35"/>
        <v>6.5296307591529092E-47</v>
      </c>
      <c r="S181" s="49">
        <f t="shared" si="35"/>
        <v>1.4952542392232433E-45</v>
      </c>
      <c r="T181" s="49">
        <f t="shared" si="35"/>
        <v>3.1955958083490257E-44</v>
      </c>
      <c r="U181" s="49">
        <f t="shared" si="35"/>
        <v>6.3926367168370755E-43</v>
      </c>
      <c r="V181" s="49">
        <f t="shared" si="35"/>
        <v>1.2001660631627886E-41</v>
      </c>
      <c r="W181" s="47">
        <v>0.82199999999999995</v>
      </c>
    </row>
    <row r="182" spans="2:23" x14ac:dyDescent="0.25">
      <c r="B182" s="49">
        <f t="shared" si="34"/>
        <v>1.8927135168397795E-75</v>
      </c>
      <c r="C182" s="49">
        <f t="shared" si="34"/>
        <v>8.7040350610305366E-73</v>
      </c>
      <c r="D182" s="49">
        <f t="shared" si="34"/>
        <v>1.981436950221845E-70</v>
      </c>
      <c r="E182" s="49">
        <f t="shared" si="34"/>
        <v>2.9768633660223631E-68</v>
      </c>
      <c r="F182" s="49">
        <f t="shared" si="34"/>
        <v>3.3202028200491921E-66</v>
      </c>
      <c r="G182" s="49">
        <f t="shared" si="34"/>
        <v>2.9321132736265615E-64</v>
      </c>
      <c r="H182" s="49">
        <f t="shared" si="34"/>
        <v>2.1354517029234763E-62</v>
      </c>
      <c r="I182" s="49">
        <f t="shared" si="34"/>
        <v>1.3191033886856448E-60</v>
      </c>
      <c r="J182" s="49">
        <f t="shared" si="34"/>
        <v>7.0543106850700825E-59</v>
      </c>
      <c r="K182" s="49">
        <f t="shared" si="34"/>
        <v>3.3174711021710159E-57</v>
      </c>
      <c r="L182" s="49">
        <f t="shared" si="35"/>
        <v>1.3889328299543396E-55</v>
      </c>
      <c r="M182" s="49">
        <f t="shared" si="35"/>
        <v>5.2286583713407882E-54</v>
      </c>
      <c r="N182" s="49">
        <f t="shared" si="35"/>
        <v>1.7843737182950516E-52</v>
      </c>
      <c r="O182" s="49">
        <f t="shared" si="35"/>
        <v>5.5582831865857954E-51</v>
      </c>
      <c r="P182" s="49">
        <f t="shared" si="35"/>
        <v>1.5895616256071363E-49</v>
      </c>
      <c r="Q182" s="49">
        <f t="shared" si="35"/>
        <v>4.1943171804248969E-48</v>
      </c>
      <c r="R182" s="49">
        <f t="shared" si="35"/>
        <v>1.0255798630402405E-46</v>
      </c>
      <c r="S182" s="49">
        <f t="shared" si="35"/>
        <v>2.3326151948915184E-45</v>
      </c>
      <c r="T182" s="49">
        <f t="shared" si="35"/>
        <v>4.9513930901748576E-44</v>
      </c>
      <c r="U182" s="49">
        <f t="shared" si="35"/>
        <v>9.837922946183547E-43</v>
      </c>
      <c r="V182" s="49">
        <f t="shared" si="35"/>
        <v>1.8344796556964551E-41</v>
      </c>
      <c r="W182" s="47">
        <v>0.82099999999999995</v>
      </c>
    </row>
    <row r="183" spans="2:23" x14ac:dyDescent="0.25">
      <c r="B183" s="49">
        <f t="shared" ref="B183:K192" si="36">_xlfn.HYPGEOM.DIST(B$2,comau,tongtheN*$W183,tongtheN,TRUE)</f>
        <v>3.3058947441856202E-75</v>
      </c>
      <c r="C183" s="49">
        <f t="shared" si="36"/>
        <v>1.5100066767581802E-72</v>
      </c>
      <c r="D183" s="49">
        <f t="shared" si="36"/>
        <v>3.4142298855732303E-70</v>
      </c>
      <c r="E183" s="49">
        <f t="shared" si="36"/>
        <v>5.0947847964920806E-68</v>
      </c>
      <c r="F183" s="49">
        <f t="shared" si="36"/>
        <v>5.6439892502613111E-66</v>
      </c>
      <c r="G183" s="49">
        <f t="shared" si="36"/>
        <v>4.9505917768103003E-64</v>
      </c>
      <c r="H183" s="49">
        <f t="shared" si="36"/>
        <v>3.5811385842903216E-62</v>
      </c>
      <c r="I183" s="49">
        <f t="shared" si="36"/>
        <v>2.1971788684767098E-60</v>
      </c>
      <c r="J183" s="49">
        <f t="shared" si="36"/>
        <v>1.1670691040663225E-58</v>
      </c>
      <c r="K183" s="49">
        <f t="shared" si="36"/>
        <v>5.4513587780203798E-57</v>
      </c>
      <c r="L183" s="49">
        <f t="shared" ref="L183:V192" si="37">_xlfn.HYPGEOM.DIST(L$2,comau,tongtheN*$W183,tongtheN,TRUE)</f>
        <v>2.2669122719621944E-55</v>
      </c>
      <c r="M183" s="49">
        <f t="shared" si="37"/>
        <v>8.4761732213950693E-54</v>
      </c>
      <c r="N183" s="49">
        <f t="shared" si="37"/>
        <v>2.8731063612898005E-52</v>
      </c>
      <c r="O183" s="49">
        <f t="shared" si="37"/>
        <v>8.8892094068886405E-51</v>
      </c>
      <c r="P183" s="49">
        <f t="shared" si="37"/>
        <v>2.5249726709311696E-49</v>
      </c>
      <c r="Q183" s="49">
        <f t="shared" si="37"/>
        <v>6.6175571419964537E-48</v>
      </c>
      <c r="R183" s="49">
        <f t="shared" si="37"/>
        <v>1.6071755605810778E-46</v>
      </c>
      <c r="S183" s="49">
        <f t="shared" si="37"/>
        <v>3.6307357099027769E-45</v>
      </c>
      <c r="T183" s="49">
        <f t="shared" si="37"/>
        <v>7.6548547598638275E-44</v>
      </c>
      <c r="U183" s="49">
        <f t="shared" si="37"/>
        <v>1.5106759046430336E-42</v>
      </c>
      <c r="V183" s="49">
        <f t="shared" si="37"/>
        <v>2.7979468560185306E-41</v>
      </c>
      <c r="W183" s="47">
        <v>0.82</v>
      </c>
    </row>
    <row r="184" spans="2:23" x14ac:dyDescent="0.25">
      <c r="B184" s="49">
        <f t="shared" si="36"/>
        <v>5.7537354645027877E-75</v>
      </c>
      <c r="C184" s="49">
        <f t="shared" si="36"/>
        <v>2.6104121268095379E-72</v>
      </c>
      <c r="D184" s="49">
        <f t="shared" si="36"/>
        <v>5.8626299341775384E-70</v>
      </c>
      <c r="E184" s="49">
        <f t="shared" si="36"/>
        <v>8.6895092834769739E-68</v>
      </c>
      <c r="F184" s="49">
        <f t="shared" si="36"/>
        <v>9.5614872890965162E-66</v>
      </c>
      <c r="G184" s="49">
        <f t="shared" si="36"/>
        <v>8.3304112986224486E-64</v>
      </c>
      <c r="H184" s="49">
        <f t="shared" si="36"/>
        <v>5.9855037138807966E-62</v>
      </c>
      <c r="I184" s="49">
        <f t="shared" si="36"/>
        <v>3.6476691502071431E-60</v>
      </c>
      <c r="J184" s="49">
        <f t="shared" si="36"/>
        <v>1.9244970852121725E-58</v>
      </c>
      <c r="K184" s="49">
        <f t="shared" si="36"/>
        <v>8.9288664491101592E-57</v>
      </c>
      <c r="L184" s="49">
        <f t="shared" si="37"/>
        <v>3.6880548890119661E-55</v>
      </c>
      <c r="M184" s="49">
        <f t="shared" si="37"/>
        <v>1.369726383435384E-53</v>
      </c>
      <c r="N184" s="49">
        <f t="shared" si="37"/>
        <v>4.6116599897710013E-52</v>
      </c>
      <c r="O184" s="49">
        <f t="shared" si="37"/>
        <v>1.417230680016426E-50</v>
      </c>
      <c r="P184" s="49">
        <f t="shared" si="37"/>
        <v>3.9985836469537567E-49</v>
      </c>
      <c r="Q184" s="49">
        <f t="shared" si="37"/>
        <v>1.0409253228005187E-47</v>
      </c>
      <c r="R184" s="49">
        <f t="shared" si="37"/>
        <v>2.5110643934026E-46</v>
      </c>
      <c r="S184" s="49">
        <f t="shared" si="37"/>
        <v>5.6345874261911859E-45</v>
      </c>
      <c r="T184" s="49">
        <f t="shared" si="37"/>
        <v>1.1799883149184024E-43</v>
      </c>
      <c r="U184" s="49">
        <f t="shared" si="37"/>
        <v>2.3130533296254407E-42</v>
      </c>
      <c r="V184" s="49">
        <f t="shared" si="37"/>
        <v>4.255276032105751E-41</v>
      </c>
      <c r="W184" s="47">
        <v>0.81899999999999995</v>
      </c>
    </row>
    <row r="185" spans="2:23" x14ac:dyDescent="0.25">
      <c r="B185" s="49">
        <f t="shared" si="36"/>
        <v>9.9835386175511282E-75</v>
      </c>
      <c r="C185" s="49">
        <f t="shared" si="36"/>
        <v>4.4991002317536322E-72</v>
      </c>
      <c r="D185" s="49">
        <f t="shared" si="36"/>
        <v>1.0036706388893727E-69</v>
      </c>
      <c r="E185" s="49">
        <f t="shared" si="36"/>
        <v>1.4776661117671296E-67</v>
      </c>
      <c r="F185" s="49">
        <f t="shared" si="36"/>
        <v>1.6150613307170924E-65</v>
      </c>
      <c r="G185" s="49">
        <f t="shared" si="36"/>
        <v>1.3976959423821442E-63</v>
      </c>
      <c r="H185" s="49">
        <f t="shared" si="36"/>
        <v>9.9753892755479433E-62</v>
      </c>
      <c r="I185" s="49">
        <f t="shared" si="36"/>
        <v>6.0384806353433779E-60</v>
      </c>
      <c r="J185" s="49">
        <f t="shared" si="36"/>
        <v>3.1645560695975575E-58</v>
      </c>
      <c r="K185" s="49">
        <f t="shared" si="36"/>
        <v>1.4583957215286009E-56</v>
      </c>
      <c r="L185" s="49">
        <f t="shared" si="37"/>
        <v>5.9835672095062089E-55</v>
      </c>
      <c r="M185" s="49">
        <f t="shared" si="37"/>
        <v>2.2073977560682354E-53</v>
      </c>
      <c r="N185" s="49">
        <f t="shared" si="37"/>
        <v>7.382241999805715E-52</v>
      </c>
      <c r="O185" s="49">
        <f t="shared" si="37"/>
        <v>2.2534919946247602E-50</v>
      </c>
      <c r="P185" s="49">
        <f t="shared" si="37"/>
        <v>6.3154805332795203E-49</v>
      </c>
      <c r="Q185" s="49">
        <f t="shared" si="37"/>
        <v>1.6330700188037788E-47</v>
      </c>
      <c r="R185" s="49">
        <f t="shared" si="37"/>
        <v>3.9131670295716992E-46</v>
      </c>
      <c r="S185" s="49">
        <f t="shared" si="37"/>
        <v>8.722043760766225E-45</v>
      </c>
      <c r="T185" s="49">
        <f t="shared" si="37"/>
        <v>1.8143445422670866E-43</v>
      </c>
      <c r="U185" s="49">
        <f t="shared" si="37"/>
        <v>3.5327584613241388E-42</v>
      </c>
      <c r="V185" s="49">
        <f t="shared" si="37"/>
        <v>6.4556893136829649E-41</v>
      </c>
      <c r="W185" s="47">
        <v>0.81799999999999995</v>
      </c>
    </row>
    <row r="186" spans="2:23" x14ac:dyDescent="0.25">
      <c r="B186" s="49">
        <f t="shared" si="36"/>
        <v>1.7270598736962349E-74</v>
      </c>
      <c r="C186" s="49">
        <f t="shared" si="36"/>
        <v>7.7311309422051995E-72</v>
      </c>
      <c r="D186" s="49">
        <f t="shared" si="36"/>
        <v>1.713180878892299E-69</v>
      </c>
      <c r="E186" s="49">
        <f t="shared" si="36"/>
        <v>2.5054349227946353E-67</v>
      </c>
      <c r="F186" s="49">
        <f t="shared" si="36"/>
        <v>2.7201373167753586E-65</v>
      </c>
      <c r="G186" s="49">
        <f t="shared" si="36"/>
        <v>2.3383509830462932E-63</v>
      </c>
      <c r="H186" s="49">
        <f t="shared" si="36"/>
        <v>1.6577621781613556E-61</v>
      </c>
      <c r="I186" s="49">
        <f t="shared" si="36"/>
        <v>9.9681745777460954E-60</v>
      </c>
      <c r="J186" s="49">
        <f t="shared" si="36"/>
        <v>5.1891538332468247E-58</v>
      </c>
      <c r="K186" s="49">
        <f t="shared" si="36"/>
        <v>2.3755005963665792E-56</v>
      </c>
      <c r="L186" s="49">
        <f t="shared" si="37"/>
        <v>9.6813556402661383E-55</v>
      </c>
      <c r="M186" s="49">
        <f t="shared" si="37"/>
        <v>3.5477505101283675E-53</v>
      </c>
      <c r="N186" s="49">
        <f t="shared" si="37"/>
        <v>1.1785756695944053E-51</v>
      </c>
      <c r="O186" s="49">
        <f t="shared" si="37"/>
        <v>3.5737336967095588E-50</v>
      </c>
      <c r="P186" s="49">
        <f t="shared" si="37"/>
        <v>9.9487795558631789E-49</v>
      </c>
      <c r="Q186" s="49">
        <f t="shared" si="37"/>
        <v>2.5554402389071667E-47</v>
      </c>
      <c r="R186" s="49">
        <f t="shared" si="37"/>
        <v>6.082569972299124E-46</v>
      </c>
      <c r="S186" s="49">
        <f t="shared" si="37"/>
        <v>1.3467131310411485E-44</v>
      </c>
      <c r="T186" s="49">
        <f t="shared" si="37"/>
        <v>2.7827552807869545E-43</v>
      </c>
      <c r="U186" s="49">
        <f t="shared" si="37"/>
        <v>5.3823005559459444E-42</v>
      </c>
      <c r="V186" s="49">
        <f t="shared" si="37"/>
        <v>9.7700258428419225E-41</v>
      </c>
      <c r="W186" s="47">
        <v>0.81699999999999995</v>
      </c>
    </row>
    <row r="187" spans="2:23" x14ac:dyDescent="0.25">
      <c r="B187" s="49">
        <f t="shared" si="36"/>
        <v>2.9787418423675696E-74</v>
      </c>
      <c r="C187" s="49">
        <f t="shared" si="36"/>
        <v>1.3245712209791366E-71</v>
      </c>
      <c r="D187" s="49">
        <f t="shared" si="36"/>
        <v>2.9156976618026394E-69</v>
      </c>
      <c r="E187" s="49">
        <f t="shared" si="36"/>
        <v>4.2357425646327938E-67</v>
      </c>
      <c r="F187" s="49">
        <f t="shared" si="36"/>
        <v>4.5681946608681606E-65</v>
      </c>
      <c r="G187" s="49">
        <f t="shared" si="36"/>
        <v>3.9009555720482295E-63</v>
      </c>
      <c r="H187" s="49">
        <f t="shared" si="36"/>
        <v>2.7472062163529043E-61</v>
      </c>
      <c r="I187" s="49">
        <f t="shared" si="36"/>
        <v>1.6409396171954312E-59</v>
      </c>
      <c r="J187" s="49">
        <f t="shared" si="36"/>
        <v>8.485582355919774E-58</v>
      </c>
      <c r="K187" s="49">
        <f t="shared" si="36"/>
        <v>3.8587675019450819E-56</v>
      </c>
      <c r="L187" s="49">
        <f t="shared" si="37"/>
        <v>1.5622057477419343E-54</v>
      </c>
      <c r="M187" s="49">
        <f t="shared" si="37"/>
        <v>5.6867476100464062E-53</v>
      </c>
      <c r="N187" s="49">
        <f t="shared" si="37"/>
        <v>1.8766246867792702E-51</v>
      </c>
      <c r="O187" s="49">
        <f t="shared" si="37"/>
        <v>5.6526418307296342E-50</v>
      </c>
      <c r="P187" s="49">
        <f t="shared" si="37"/>
        <v>1.5631788935421338E-48</v>
      </c>
      <c r="Q187" s="49">
        <f t="shared" si="37"/>
        <v>3.9885448036032368E-47</v>
      </c>
      <c r="R187" s="49">
        <f t="shared" si="37"/>
        <v>9.4307453943522565E-46</v>
      </c>
      <c r="S187" s="49">
        <f t="shared" si="37"/>
        <v>2.0741705516256588E-44</v>
      </c>
      <c r="T187" s="49">
        <f t="shared" si="37"/>
        <v>4.2575049633252017E-43</v>
      </c>
      <c r="U187" s="49">
        <f t="shared" si="37"/>
        <v>8.1801110697717701E-42</v>
      </c>
      <c r="V187" s="49">
        <f t="shared" si="37"/>
        <v>1.4750217324109387E-40</v>
      </c>
      <c r="W187" s="47">
        <v>0.81599999999999995</v>
      </c>
    </row>
    <row r="188" spans="2:23" x14ac:dyDescent="0.25">
      <c r="B188" s="49">
        <f t="shared" si="36"/>
        <v>5.1224176550364478E-74</v>
      </c>
      <c r="C188" s="49">
        <f t="shared" si="36"/>
        <v>2.2627493629768438E-71</v>
      </c>
      <c r="D188" s="49">
        <f t="shared" si="36"/>
        <v>4.9479216331821842E-69</v>
      </c>
      <c r="E188" s="49">
        <f t="shared" si="36"/>
        <v>7.140510224858084E-67</v>
      </c>
      <c r="F188" s="49">
        <f t="shared" si="36"/>
        <v>7.6500423156372955E-65</v>
      </c>
      <c r="G188" s="49">
        <f t="shared" si="36"/>
        <v>6.4894811712638181E-63</v>
      </c>
      <c r="H188" s="49">
        <f t="shared" si="36"/>
        <v>4.5399405584114896E-61</v>
      </c>
      <c r="I188" s="49">
        <f t="shared" si="36"/>
        <v>2.6938390485598716E-59</v>
      </c>
      <c r="J188" s="49">
        <f t="shared" si="36"/>
        <v>1.3838245963634955E-57</v>
      </c>
      <c r="K188" s="49">
        <f t="shared" si="36"/>
        <v>6.2512745609531616E-56</v>
      </c>
      <c r="L188" s="49">
        <f t="shared" si="37"/>
        <v>2.5140794029684524E-54</v>
      </c>
      <c r="M188" s="49">
        <f t="shared" si="37"/>
        <v>9.0912949278391293E-53</v>
      </c>
      <c r="N188" s="49">
        <f t="shared" si="37"/>
        <v>2.9803035444303691E-51</v>
      </c>
      <c r="O188" s="49">
        <f t="shared" si="37"/>
        <v>8.9177661605635067E-50</v>
      </c>
      <c r="P188" s="49">
        <f t="shared" si="37"/>
        <v>2.4498252131500179E-48</v>
      </c>
      <c r="Q188" s="49">
        <f t="shared" si="37"/>
        <v>6.2095907223145483E-47</v>
      </c>
      <c r="R188" s="49">
        <f t="shared" si="37"/>
        <v>1.4585351386754508E-45</v>
      </c>
      <c r="S188" s="49">
        <f t="shared" si="37"/>
        <v>3.1866767969522395E-44</v>
      </c>
      <c r="T188" s="49">
        <f t="shared" si="37"/>
        <v>6.4978803701895178E-43</v>
      </c>
      <c r="U188" s="49">
        <f t="shared" si="37"/>
        <v>1.2402209813323249E-41</v>
      </c>
      <c r="V188" s="49">
        <f t="shared" si="37"/>
        <v>2.2215800339572737E-40</v>
      </c>
      <c r="W188" s="47">
        <v>0.81499999999999995</v>
      </c>
    </row>
    <row r="189" spans="2:23" x14ac:dyDescent="0.25">
      <c r="B189" s="49">
        <f t="shared" si="36"/>
        <v>8.7830952542342905E-74</v>
      </c>
      <c r="C189" s="49">
        <f t="shared" si="36"/>
        <v>3.8542522803089556E-71</v>
      </c>
      <c r="D189" s="49">
        <f t="shared" si="36"/>
        <v>8.3725500057433339E-69</v>
      </c>
      <c r="E189" s="49">
        <f t="shared" si="36"/>
        <v>1.2003160437974833E-66</v>
      </c>
      <c r="F189" s="49">
        <f t="shared" si="36"/>
        <v>1.2775026649907332E-64</v>
      </c>
      <c r="G189" s="49">
        <f t="shared" si="36"/>
        <v>1.0765637593667527E-62</v>
      </c>
      <c r="H189" s="49">
        <f t="shared" si="36"/>
        <v>7.4819007879314029E-61</v>
      </c>
      <c r="I189" s="49">
        <f t="shared" si="36"/>
        <v>4.4102745480597604E-59</v>
      </c>
      <c r="J189" s="49">
        <f t="shared" si="36"/>
        <v>2.2506473088126664E-57</v>
      </c>
      <c r="K189" s="49">
        <f t="shared" si="36"/>
        <v>1.0100144989830727E-55</v>
      </c>
      <c r="L189" s="49">
        <f t="shared" si="37"/>
        <v>4.0352541214325413E-54</v>
      </c>
      <c r="M189" s="49">
        <f t="shared" si="37"/>
        <v>1.4496085771137719E-52</v>
      </c>
      <c r="N189" s="49">
        <f t="shared" si="37"/>
        <v>4.7208353490633928E-51</v>
      </c>
      <c r="O189" s="49">
        <f t="shared" si="37"/>
        <v>1.4032919805464677E-49</v>
      </c>
      <c r="P189" s="49">
        <f t="shared" si="37"/>
        <v>3.8296663640628818E-48</v>
      </c>
      <c r="Q189" s="49">
        <f t="shared" si="37"/>
        <v>9.6432399626324542E-47</v>
      </c>
      <c r="R189" s="49">
        <f t="shared" si="37"/>
        <v>2.2501493389401173E-45</v>
      </c>
      <c r="S189" s="49">
        <f t="shared" si="37"/>
        <v>4.8839051076304734E-44</v>
      </c>
      <c r="T189" s="49">
        <f t="shared" si="37"/>
        <v>9.8931816042963842E-43</v>
      </c>
      <c r="U189" s="49">
        <f t="shared" si="37"/>
        <v>1.8758527611772523E-41</v>
      </c>
      <c r="V189" s="49">
        <f t="shared" si="37"/>
        <v>3.3380849624728121E-40</v>
      </c>
      <c r="W189" s="47">
        <v>0.81399999999999995</v>
      </c>
    </row>
    <row r="190" spans="2:23" x14ac:dyDescent="0.25">
      <c r="B190" s="49">
        <f t="shared" si="36"/>
        <v>1.5016347310435761E-73</v>
      </c>
      <c r="C190" s="49">
        <f t="shared" si="36"/>
        <v>6.5463595451929475E-71</v>
      </c>
      <c r="D190" s="49">
        <f t="shared" si="36"/>
        <v>1.4127347982990153E-68</v>
      </c>
      <c r="E190" s="49">
        <f t="shared" si="36"/>
        <v>2.0120643112668383E-66</v>
      </c>
      <c r="F190" s="49">
        <f t="shared" si="36"/>
        <v>2.1274119767241968E-64</v>
      </c>
      <c r="G190" s="49">
        <f t="shared" si="36"/>
        <v>1.7810383463773823E-62</v>
      </c>
      <c r="H190" s="49">
        <f t="shared" si="36"/>
        <v>1.2296722883908048E-60</v>
      </c>
      <c r="I190" s="49">
        <f t="shared" si="36"/>
        <v>7.2009069490240618E-59</v>
      </c>
      <c r="J190" s="49">
        <f t="shared" si="36"/>
        <v>3.6506765949628318E-57</v>
      </c>
      <c r="K190" s="49">
        <f t="shared" si="36"/>
        <v>1.6275640643589453E-55</v>
      </c>
      <c r="L190" s="49">
        <f t="shared" si="37"/>
        <v>6.4599055728932789E-54</v>
      </c>
      <c r="M190" s="49">
        <f t="shared" si="37"/>
        <v>2.3054253530046322E-52</v>
      </c>
      <c r="N190" s="49">
        <f t="shared" si="37"/>
        <v>7.458722536306773E-51</v>
      </c>
      <c r="O190" s="49">
        <f t="shared" si="37"/>
        <v>2.2026179973114769E-49</v>
      </c>
      <c r="P190" s="49">
        <f t="shared" si="37"/>
        <v>5.9716987616353069E-48</v>
      </c>
      <c r="Q190" s="49">
        <f t="shared" si="37"/>
        <v>1.4938466500842585E-46</v>
      </c>
      <c r="R190" s="49">
        <f t="shared" si="37"/>
        <v>3.4629065440198203E-45</v>
      </c>
      <c r="S190" s="49">
        <f t="shared" si="37"/>
        <v>7.4669515985683715E-44</v>
      </c>
      <c r="T190" s="49">
        <f t="shared" si="37"/>
        <v>1.5026544084186595E-42</v>
      </c>
      <c r="U190" s="49">
        <f t="shared" si="37"/>
        <v>2.8305394902792544E-41</v>
      </c>
      <c r="V190" s="49">
        <f t="shared" si="37"/>
        <v>5.0039798170734494E-40</v>
      </c>
      <c r="W190" s="47">
        <v>0.81299999999999994</v>
      </c>
    </row>
    <row r="191" spans="2:23" x14ac:dyDescent="0.25">
      <c r="B191" s="49">
        <f t="shared" si="36"/>
        <v>2.5588567367952611E-73</v>
      </c>
      <c r="C191" s="49">
        <f t="shared" si="36"/>
        <v>1.1082524032546781E-70</v>
      </c>
      <c r="D191" s="49">
        <f t="shared" si="36"/>
        <v>2.3760567131154835E-68</v>
      </c>
      <c r="E191" s="49">
        <f t="shared" si="36"/>
        <v>3.3619831147928734E-66</v>
      </c>
      <c r="F191" s="49">
        <f t="shared" si="36"/>
        <v>3.5315305275222556E-64</v>
      </c>
      <c r="G191" s="49">
        <f t="shared" si="36"/>
        <v>2.9372608792255063E-62</v>
      </c>
      <c r="H191" s="49">
        <f t="shared" si="36"/>
        <v>2.014729387660492E-60</v>
      </c>
      <c r="I191" s="49">
        <f t="shared" si="36"/>
        <v>1.1721220182577894E-58</v>
      </c>
      <c r="J191" s="49">
        <f t="shared" si="36"/>
        <v>5.9036076960045526E-57</v>
      </c>
      <c r="K191" s="49">
        <f t="shared" si="36"/>
        <v>2.6148148707576321E-55</v>
      </c>
      <c r="L191" s="49">
        <f t="shared" si="37"/>
        <v>1.0310695924338723E-53</v>
      </c>
      <c r="M191" s="49">
        <f t="shared" si="37"/>
        <v>3.6557127986572194E-52</v>
      </c>
      <c r="N191" s="49">
        <f t="shared" si="37"/>
        <v>1.1750190300959656E-50</v>
      </c>
      <c r="O191" s="49">
        <f t="shared" si="37"/>
        <v>3.4473020338150631E-49</v>
      </c>
      <c r="P191" s="49">
        <f t="shared" si="37"/>
        <v>9.2853444232398387E-48</v>
      </c>
      <c r="Q191" s="49">
        <f t="shared" si="37"/>
        <v>2.3076311815354506E-46</v>
      </c>
      <c r="R191" s="49">
        <f t="shared" si="37"/>
        <v>5.3144913090795089E-45</v>
      </c>
      <c r="S191" s="49">
        <f t="shared" si="37"/>
        <v>1.1384792557093514E-43</v>
      </c>
      <c r="T191" s="49">
        <f t="shared" si="37"/>
        <v>2.276156246350065E-42</v>
      </c>
      <c r="U191" s="49">
        <f t="shared" si="37"/>
        <v>4.2596477747988649E-41</v>
      </c>
      <c r="V191" s="49">
        <f t="shared" si="37"/>
        <v>7.4813828556816021E-40</v>
      </c>
      <c r="W191" s="47">
        <v>0.81200000000000006</v>
      </c>
    </row>
    <row r="192" spans="2:23" x14ac:dyDescent="0.25">
      <c r="B192" s="49">
        <f t="shared" si="36"/>
        <v>4.3500264307371667E-73</v>
      </c>
      <c r="C192" s="49">
        <f t="shared" si="36"/>
        <v>1.8717638103988408E-70</v>
      </c>
      <c r="D192" s="49">
        <f t="shared" si="36"/>
        <v>3.9869040124468543E-68</v>
      </c>
      <c r="E192" s="49">
        <f t="shared" si="36"/>
        <v>5.6045570861215826E-66</v>
      </c>
      <c r="F192" s="49">
        <f t="shared" si="36"/>
        <v>5.8489203998575019E-64</v>
      </c>
      <c r="G192" s="49">
        <f t="shared" si="36"/>
        <v>4.8330627754653483E-62</v>
      </c>
      <c r="H192" s="49">
        <f t="shared" si="36"/>
        <v>3.2935480536568069E-60</v>
      </c>
      <c r="I192" s="49">
        <f t="shared" si="36"/>
        <v>1.9036525356708805E-58</v>
      </c>
      <c r="J192" s="49">
        <f t="shared" si="36"/>
        <v>9.5257709903779624E-57</v>
      </c>
      <c r="K192" s="49">
        <f t="shared" si="36"/>
        <v>4.1917136195761016E-55</v>
      </c>
      <c r="L192" s="49">
        <f t="shared" si="37"/>
        <v>1.6421275199912184E-53</v>
      </c>
      <c r="M192" s="49">
        <f t="shared" si="37"/>
        <v>5.7844151204340243E-52</v>
      </c>
      <c r="N192" s="49">
        <f t="shared" si="37"/>
        <v>1.8471451216109554E-50</v>
      </c>
      <c r="O192" s="49">
        <f t="shared" si="37"/>
        <v>5.3839925042737281E-49</v>
      </c>
      <c r="P192" s="49">
        <f t="shared" si="37"/>
        <v>1.4407624931996393E-47</v>
      </c>
      <c r="Q192" s="49">
        <f t="shared" si="37"/>
        <v>3.5573805262502395E-46</v>
      </c>
      <c r="R192" s="49">
        <f t="shared" si="37"/>
        <v>8.1394576741246619E-45</v>
      </c>
      <c r="S192" s="49">
        <f t="shared" si="37"/>
        <v>1.7323236756383006E-43</v>
      </c>
      <c r="T192" s="49">
        <f t="shared" si="37"/>
        <v>3.4409349530544438E-42</v>
      </c>
      <c r="U192" s="49">
        <f t="shared" si="37"/>
        <v>6.3976266233614562E-41</v>
      </c>
      <c r="V192" s="49">
        <f t="shared" si="37"/>
        <v>1.1163445118022769E-39</v>
      </c>
      <c r="W192" s="47">
        <v>0.81100000000000005</v>
      </c>
    </row>
    <row r="193" spans="2:23" x14ac:dyDescent="0.25">
      <c r="B193" s="49">
        <f t="shared" ref="B193:K202" si="38">_xlfn.HYPGEOM.DIST(B$2,comau,tongtheN*$W193,tongtheN,TRUE)</f>
        <v>7.374311450527555E-73</v>
      </c>
      <c r="C193" s="49">
        <f t="shared" si="38"/>
        <v>3.1525253770066679E-70</v>
      </c>
      <c r="D193" s="49">
        <f t="shared" si="38"/>
        <v>6.6714688559846327E-68</v>
      </c>
      <c r="E193" s="49">
        <f t="shared" si="38"/>
        <v>9.317626499631487E-66</v>
      </c>
      <c r="F193" s="49">
        <f t="shared" si="38"/>
        <v>9.6609139657356665E-64</v>
      </c>
      <c r="G193" s="49">
        <f t="shared" si="38"/>
        <v>7.931286450994341E-62</v>
      </c>
      <c r="H193" s="49">
        <f t="shared" si="38"/>
        <v>5.3698740421967716E-60</v>
      </c>
      <c r="I193" s="49">
        <f t="shared" si="38"/>
        <v>3.0836627784248618E-58</v>
      </c>
      <c r="J193" s="49">
        <f t="shared" si="38"/>
        <v>1.5330582296626067E-56</v>
      </c>
      <c r="K193" s="49">
        <f t="shared" si="38"/>
        <v>6.7023894431476566E-55</v>
      </c>
      <c r="L193" s="49">
        <f t="shared" ref="L193:V202" si="39">_xlfn.HYPGEOM.DIST(L$2,comau,tongtheN*$W193,tongtheN,TRUE)</f>
        <v>2.6087034200021944E-53</v>
      </c>
      <c r="M193" s="49">
        <f t="shared" si="39"/>
        <v>9.129716569668421E-52</v>
      </c>
      <c r="N193" s="49">
        <f t="shared" si="39"/>
        <v>2.8965372980820859E-50</v>
      </c>
      <c r="O193" s="49">
        <f t="shared" si="39"/>
        <v>8.3880899964854715E-49</v>
      </c>
      <c r="P193" s="49">
        <f t="shared" si="39"/>
        <v>2.2301384642963721E-47</v>
      </c>
      <c r="Q193" s="49">
        <f t="shared" si="39"/>
        <v>5.4708000305623822E-46</v>
      </c>
      <c r="R193" s="49">
        <f t="shared" si="39"/>
        <v>1.2436476853367052E-44</v>
      </c>
      <c r="S193" s="49">
        <f t="shared" si="39"/>
        <v>2.6297388732059483E-43</v>
      </c>
      <c r="T193" s="49">
        <f t="shared" si="39"/>
        <v>5.1896976843215118E-42</v>
      </c>
      <c r="U193" s="49">
        <f t="shared" si="39"/>
        <v>9.5866492065298925E-41</v>
      </c>
      <c r="V193" s="49">
        <f t="shared" si="39"/>
        <v>1.6619918482465517E-39</v>
      </c>
      <c r="W193" s="47">
        <v>0.81</v>
      </c>
    </row>
    <row r="194" spans="2:23" x14ac:dyDescent="0.25">
      <c r="B194" s="49">
        <f t="shared" si="38"/>
        <v>1.2466584496148656E-72</v>
      </c>
      <c r="C194" s="49">
        <f t="shared" si="38"/>
        <v>5.2950974891455036E-70</v>
      </c>
      <c r="D194" s="49">
        <f t="shared" si="38"/>
        <v>1.1133362912820434E-67</v>
      </c>
      <c r="E194" s="49">
        <f t="shared" si="38"/>
        <v>1.5448983672336217E-65</v>
      </c>
      <c r="F194" s="49">
        <f t="shared" si="38"/>
        <v>1.5914856645603083E-63</v>
      </c>
      <c r="G194" s="49">
        <f t="shared" si="38"/>
        <v>1.2981301740179453E-61</v>
      </c>
      <c r="H194" s="49">
        <f t="shared" si="38"/>
        <v>8.7323071182186832E-60</v>
      </c>
      <c r="I194" s="49">
        <f t="shared" si="38"/>
        <v>4.9822129065753317E-58</v>
      </c>
      <c r="J194" s="49">
        <f t="shared" si="38"/>
        <v>2.4609612276637227E-56</v>
      </c>
      <c r="K194" s="49">
        <f t="shared" si="38"/>
        <v>1.0689729618815743E-54</v>
      </c>
      <c r="L194" s="49">
        <f t="shared" si="39"/>
        <v>4.1338331430693676E-53</v>
      </c>
      <c r="M194" s="49">
        <f t="shared" si="39"/>
        <v>1.4373977030947131E-51</v>
      </c>
      <c r="N194" s="49">
        <f t="shared" si="39"/>
        <v>4.5309622583245105E-50</v>
      </c>
      <c r="O194" s="49">
        <f t="shared" si="39"/>
        <v>1.303665976579757E-48</v>
      </c>
      <c r="P194" s="49">
        <f t="shared" si="39"/>
        <v>3.4437156327287376E-47</v>
      </c>
      <c r="Q194" s="49">
        <f t="shared" si="39"/>
        <v>8.3934166759009996E-46</v>
      </c>
      <c r="R194" s="49">
        <f t="shared" si="39"/>
        <v>1.8957370364608009E-44</v>
      </c>
      <c r="S194" s="49">
        <f t="shared" si="39"/>
        <v>3.9827812303706457E-43</v>
      </c>
      <c r="T194" s="49">
        <f t="shared" si="39"/>
        <v>7.8092496345758528E-42</v>
      </c>
      <c r="U194" s="49">
        <f t="shared" si="39"/>
        <v>1.4332694433861565E-40</v>
      </c>
      <c r="V194" s="49">
        <f t="shared" si="39"/>
        <v>2.4687892038055585E-39</v>
      </c>
      <c r="W194" s="47">
        <v>0.80900000000000005</v>
      </c>
    </row>
    <row r="195" spans="2:23" x14ac:dyDescent="0.25">
      <c r="B195" s="49">
        <f t="shared" si="38"/>
        <v>2.1017569667225227E-72</v>
      </c>
      <c r="C195" s="49">
        <f t="shared" si="38"/>
        <v>8.8697136453861396E-70</v>
      </c>
      <c r="D195" s="49">
        <f t="shared" si="38"/>
        <v>1.8529461866369594E-67</v>
      </c>
      <c r="E195" s="49">
        <f t="shared" si="38"/>
        <v>2.5546848786556935E-65</v>
      </c>
      <c r="F195" s="49">
        <f t="shared" si="38"/>
        <v>2.614817142770733E-63</v>
      </c>
      <c r="G195" s="49">
        <f t="shared" si="38"/>
        <v>2.1191329309139625E-61</v>
      </c>
      <c r="H195" s="49">
        <f t="shared" si="38"/>
        <v>1.4163497851464084E-59</v>
      </c>
      <c r="I195" s="49">
        <f t="shared" si="38"/>
        <v>8.0290761006399988E-58</v>
      </c>
      <c r="J195" s="49">
        <f t="shared" si="38"/>
        <v>3.940488388167737E-56</v>
      </c>
      <c r="K195" s="49">
        <f t="shared" si="38"/>
        <v>1.7006471466665176E-54</v>
      </c>
      <c r="L195" s="49">
        <f t="shared" si="39"/>
        <v>6.5343573967141452E-53</v>
      </c>
      <c r="M195" s="49">
        <f t="shared" si="39"/>
        <v>2.257509458527184E-51</v>
      </c>
      <c r="N195" s="49">
        <f t="shared" si="39"/>
        <v>7.0704331442827296E-50</v>
      </c>
      <c r="O195" s="49">
        <f t="shared" si="39"/>
        <v>2.0212736458446333E-48</v>
      </c>
      <c r="P195" s="49">
        <f t="shared" si="39"/>
        <v>5.3050507814456611E-47</v>
      </c>
      <c r="Q195" s="49">
        <f t="shared" si="39"/>
        <v>1.2847091404096418E-45</v>
      </c>
      <c r="R195" s="49">
        <f t="shared" si="39"/>
        <v>2.8830235585382622E-44</v>
      </c>
      <c r="S195" s="49">
        <f t="shared" si="39"/>
        <v>6.0181211397865273E-43</v>
      </c>
      <c r="T195" s="49">
        <f t="shared" si="39"/>
        <v>1.1724342112031606E-41</v>
      </c>
      <c r="U195" s="49">
        <f t="shared" si="39"/>
        <v>2.138021468334311E-40</v>
      </c>
      <c r="V195" s="49">
        <f t="shared" si="39"/>
        <v>3.6590945222991982E-39</v>
      </c>
      <c r="W195" s="47">
        <v>0.80800000000000005</v>
      </c>
    </row>
    <row r="196" spans="2:23" x14ac:dyDescent="0.25">
      <c r="B196" s="49">
        <f t="shared" si="38"/>
        <v>3.5337749251060732E-72</v>
      </c>
      <c r="C196" s="49">
        <f t="shared" si="38"/>
        <v>1.4817596303091964E-69</v>
      </c>
      <c r="D196" s="49">
        <f t="shared" si="38"/>
        <v>3.0756924823231473E-67</v>
      </c>
      <c r="E196" s="49">
        <f t="shared" si="38"/>
        <v>4.2133696994806806E-65</v>
      </c>
      <c r="F196" s="49">
        <f t="shared" si="38"/>
        <v>4.2849510708261298E-63</v>
      </c>
      <c r="G196" s="49">
        <f t="shared" si="38"/>
        <v>3.4504461316078211E-61</v>
      </c>
      <c r="H196" s="49">
        <f t="shared" si="38"/>
        <v>2.2913966896034413E-59</v>
      </c>
      <c r="I196" s="49">
        <f t="shared" si="38"/>
        <v>1.2906493078014198E-57</v>
      </c>
      <c r="J196" s="49">
        <f t="shared" si="38"/>
        <v>6.2936975130581917E-56</v>
      </c>
      <c r="K196" s="49">
        <f t="shared" si="38"/>
        <v>2.6988788490332589E-54</v>
      </c>
      <c r="L196" s="49">
        <f t="shared" si="39"/>
        <v>1.0303520869921268E-52</v>
      </c>
      <c r="M196" s="49">
        <f t="shared" si="39"/>
        <v>3.5369277516905746E-51</v>
      </c>
      <c r="N196" s="49">
        <f t="shared" si="39"/>
        <v>1.1006689709724232E-49</v>
      </c>
      <c r="O196" s="49">
        <f t="shared" si="39"/>
        <v>3.1264405474903789E-48</v>
      </c>
      <c r="P196" s="49">
        <f t="shared" si="39"/>
        <v>8.1532214720335324E-47</v>
      </c>
      <c r="Q196" s="49">
        <f t="shared" si="39"/>
        <v>1.9618212230410959E-45</v>
      </c>
      <c r="R196" s="49">
        <f t="shared" si="39"/>
        <v>4.3743952928417129E-44</v>
      </c>
      <c r="S196" s="49">
        <f t="shared" si="39"/>
        <v>9.0729035179984434E-43</v>
      </c>
      <c r="T196" s="49">
        <f t="shared" si="39"/>
        <v>1.7562636359789706E-41</v>
      </c>
      <c r="U196" s="49">
        <f t="shared" si="39"/>
        <v>3.1822147890756301E-40</v>
      </c>
      <c r="V196" s="49">
        <f t="shared" si="39"/>
        <v>5.4113748045437149E-39</v>
      </c>
      <c r="W196" s="47">
        <v>0.80700000000000005</v>
      </c>
    </row>
    <row r="197" spans="2:23" x14ac:dyDescent="0.25">
      <c r="B197" s="49">
        <f t="shared" si="38"/>
        <v>5.9255523195644388E-72</v>
      </c>
      <c r="C197" s="49">
        <f t="shared" si="38"/>
        <v>2.468826100010797E-69</v>
      </c>
      <c r="D197" s="49">
        <f t="shared" si="38"/>
        <v>5.091885357196511E-67</v>
      </c>
      <c r="E197" s="49">
        <f t="shared" si="38"/>
        <v>6.9308806347636895E-65</v>
      </c>
      <c r="F197" s="49">
        <f t="shared" si="38"/>
        <v>7.0037083472203125E-63</v>
      </c>
      <c r="G197" s="49">
        <f t="shared" si="38"/>
        <v>5.6037785659501933E-61</v>
      </c>
      <c r="H197" s="49">
        <f t="shared" si="38"/>
        <v>3.6976834232795986E-59</v>
      </c>
      <c r="I197" s="49">
        <f t="shared" si="38"/>
        <v>2.0694819293477065E-57</v>
      </c>
      <c r="J197" s="49">
        <f t="shared" si="38"/>
        <v>1.0027286188552313E-55</v>
      </c>
      <c r="K197" s="49">
        <f t="shared" si="38"/>
        <v>4.2725319489020084E-54</v>
      </c>
      <c r="L197" s="49">
        <f t="shared" si="39"/>
        <v>1.6207357226318977E-52</v>
      </c>
      <c r="M197" s="49">
        <f t="shared" si="39"/>
        <v>5.5281217984252196E-51</v>
      </c>
      <c r="N197" s="49">
        <f t="shared" si="39"/>
        <v>1.7093589005037194E-49</v>
      </c>
      <c r="O197" s="49">
        <f t="shared" si="39"/>
        <v>4.8244975909390601E-48</v>
      </c>
      <c r="P197" s="49">
        <f t="shared" si="39"/>
        <v>1.2501347300078832E-46</v>
      </c>
      <c r="Q197" s="49">
        <f t="shared" si="39"/>
        <v>2.9889108341175935E-45</v>
      </c>
      <c r="R197" s="49">
        <f t="shared" si="39"/>
        <v>6.6221315992927804E-44</v>
      </c>
      <c r="S197" s="49">
        <f t="shared" si="39"/>
        <v>1.36474854163707E-42</v>
      </c>
      <c r="T197" s="49">
        <f t="shared" si="39"/>
        <v>2.6249615631003143E-41</v>
      </c>
      <c r="U197" s="49">
        <f t="shared" si="39"/>
        <v>4.7259591688310041E-40</v>
      </c>
      <c r="V197" s="49">
        <f t="shared" si="39"/>
        <v>7.9853818014860343E-39</v>
      </c>
      <c r="W197" s="47">
        <v>0.80600000000000005</v>
      </c>
    </row>
    <row r="198" spans="2:23" x14ac:dyDescent="0.25">
      <c r="B198" s="49">
        <f t="shared" si="38"/>
        <v>9.9097876737114157E-72</v>
      </c>
      <c r="C198" s="49">
        <f t="shared" si="38"/>
        <v>4.1026049419505564E-69</v>
      </c>
      <c r="D198" s="49">
        <f t="shared" si="38"/>
        <v>8.4077865561123766E-67</v>
      </c>
      <c r="E198" s="49">
        <f t="shared" si="38"/>
        <v>1.1371703416359744E-64</v>
      </c>
      <c r="F198" s="49">
        <f t="shared" si="38"/>
        <v>1.1418245865029228E-62</v>
      </c>
      <c r="G198" s="49">
        <f t="shared" si="38"/>
        <v>9.0779279512229879E-61</v>
      </c>
      <c r="H198" s="49">
        <f t="shared" si="38"/>
        <v>5.9520986847025802E-59</v>
      </c>
      <c r="I198" s="49">
        <f t="shared" si="38"/>
        <v>3.3100677028174591E-57</v>
      </c>
      <c r="J198" s="49">
        <f t="shared" si="38"/>
        <v>1.593652794545766E-55</v>
      </c>
      <c r="K198" s="49">
        <f t="shared" si="38"/>
        <v>6.7473137371723829E-54</v>
      </c>
      <c r="L198" s="49">
        <f t="shared" si="39"/>
        <v>2.5432749483005749E-52</v>
      </c>
      <c r="M198" s="49">
        <f t="shared" si="39"/>
        <v>8.6197462465822313E-51</v>
      </c>
      <c r="N198" s="49">
        <f t="shared" si="39"/>
        <v>2.6484157397743979E-49</v>
      </c>
      <c r="O198" s="49">
        <f t="shared" si="39"/>
        <v>7.4274765186247586E-48</v>
      </c>
      <c r="P198" s="49">
        <f t="shared" si="39"/>
        <v>1.9124169428300977E-46</v>
      </c>
      <c r="Q198" s="49">
        <f t="shared" si="39"/>
        <v>4.5433435668080743E-45</v>
      </c>
      <c r="R198" s="49">
        <f t="shared" si="39"/>
        <v>1.0002247277963123E-43</v>
      </c>
      <c r="S198" s="49">
        <f t="shared" si="39"/>
        <v>2.0482826869722223E-42</v>
      </c>
      <c r="T198" s="49">
        <f t="shared" si="39"/>
        <v>3.9146956975104751E-41</v>
      </c>
      <c r="U198" s="49">
        <f t="shared" si="39"/>
        <v>7.0033071583097866E-40</v>
      </c>
      <c r="V198" s="49">
        <f t="shared" si="39"/>
        <v>1.1758377662144076E-38</v>
      </c>
      <c r="W198" s="47">
        <v>0.80500000000000005</v>
      </c>
    </row>
    <row r="199" spans="2:23" x14ac:dyDescent="0.25">
      <c r="B199" s="49">
        <f t="shared" si="38"/>
        <v>1.6529405522655713E-71</v>
      </c>
      <c r="C199" s="49">
        <f t="shared" si="38"/>
        <v>6.7998142270495719E-69</v>
      </c>
      <c r="D199" s="49">
        <f t="shared" si="38"/>
        <v>1.3847254270247181E-66</v>
      </c>
      <c r="E199" s="49">
        <f t="shared" si="38"/>
        <v>1.8610255518227165E-64</v>
      </c>
      <c r="F199" s="49">
        <f t="shared" si="38"/>
        <v>1.8568260212489343E-62</v>
      </c>
      <c r="G199" s="49">
        <f t="shared" si="38"/>
        <v>1.466910991500494E-60</v>
      </c>
      <c r="H199" s="49">
        <f t="shared" si="38"/>
        <v>9.5572416179329396E-59</v>
      </c>
      <c r="I199" s="49">
        <f t="shared" si="38"/>
        <v>5.2813499050828635E-57</v>
      </c>
      <c r="J199" s="49">
        <f t="shared" si="38"/>
        <v>2.5266647149771759E-55</v>
      </c>
      <c r="K199" s="49">
        <f t="shared" si="38"/>
        <v>1.0629941661259658E-53</v>
      </c>
      <c r="L199" s="49">
        <f t="shared" si="39"/>
        <v>3.9814346953846501E-52</v>
      </c>
      <c r="M199" s="49">
        <f t="shared" si="39"/>
        <v>1.3408719862839595E-50</v>
      </c>
      <c r="N199" s="49">
        <f t="shared" si="39"/>
        <v>4.0937923176233814E-49</v>
      </c>
      <c r="O199" s="49">
        <f t="shared" si="39"/>
        <v>1.1408485927964621E-47</v>
      </c>
      <c r="P199" s="49">
        <f t="shared" si="39"/>
        <v>2.9188828303351845E-46</v>
      </c>
      <c r="Q199" s="49">
        <f t="shared" si="39"/>
        <v>6.8906042054840246E-45</v>
      </c>
      <c r="R199" s="49">
        <f t="shared" si="39"/>
        <v>1.5073956652768032E-43</v>
      </c>
      <c r="S199" s="49">
        <f t="shared" si="39"/>
        <v>3.0673817915287859E-42</v>
      </c>
      <c r="T199" s="49">
        <f t="shared" si="39"/>
        <v>5.8253838371805419E-41</v>
      </c>
      <c r="U199" s="49">
        <f t="shared" si="39"/>
        <v>1.035568079939366E-39</v>
      </c>
      <c r="V199" s="49">
        <f t="shared" si="39"/>
        <v>1.7277153465018693E-38</v>
      </c>
      <c r="W199" s="47">
        <v>0.80400000000000005</v>
      </c>
    </row>
    <row r="200" spans="2:23" x14ac:dyDescent="0.25">
      <c r="B200" s="49">
        <f t="shared" si="38"/>
        <v>2.7499140799431622E-71</v>
      </c>
      <c r="C200" s="49">
        <f t="shared" si="38"/>
        <v>1.1241235889409409E-68</v>
      </c>
      <c r="D200" s="49">
        <f t="shared" si="38"/>
        <v>2.2747620825287141E-66</v>
      </c>
      <c r="E200" s="49">
        <f t="shared" si="38"/>
        <v>3.0379465780461383E-64</v>
      </c>
      <c r="F200" s="49">
        <f t="shared" si="38"/>
        <v>3.0119980265048058E-62</v>
      </c>
      <c r="G200" s="49">
        <f t="shared" si="38"/>
        <v>2.3645205980209836E-60</v>
      </c>
      <c r="H200" s="49">
        <f t="shared" si="38"/>
        <v>1.530833572690632E-58</v>
      </c>
      <c r="I200" s="49">
        <f t="shared" si="38"/>
        <v>8.4061404096270599E-57</v>
      </c>
      <c r="J200" s="49">
        <f t="shared" si="38"/>
        <v>3.9962791686000469E-55</v>
      </c>
      <c r="K200" s="49">
        <f t="shared" si="38"/>
        <v>1.6706897922201225E-53</v>
      </c>
      <c r="L200" s="49">
        <f t="shared" si="39"/>
        <v>6.2181544756725901E-52</v>
      </c>
      <c r="M200" s="49">
        <f t="shared" si="39"/>
        <v>2.0809730087681844E-50</v>
      </c>
      <c r="N200" s="49">
        <f t="shared" si="39"/>
        <v>6.3133870263729537E-49</v>
      </c>
      <c r="O200" s="49">
        <f t="shared" si="39"/>
        <v>1.7483257868808425E-47</v>
      </c>
      <c r="P200" s="49">
        <f t="shared" si="39"/>
        <v>4.4449720974181646E-46</v>
      </c>
      <c r="Q200" s="49">
        <f t="shared" si="39"/>
        <v>1.0427207084651128E-44</v>
      </c>
      <c r="R200" s="49">
        <f t="shared" si="39"/>
        <v>2.2667132170745402E-43</v>
      </c>
      <c r="S200" s="49">
        <f t="shared" si="39"/>
        <v>4.5834878986818545E-42</v>
      </c>
      <c r="T200" s="49">
        <f t="shared" si="39"/>
        <v>8.6499196152986651E-41</v>
      </c>
      <c r="U200" s="49">
        <f t="shared" si="39"/>
        <v>1.5280086017646396E-39</v>
      </c>
      <c r="V200" s="49">
        <f t="shared" si="39"/>
        <v>2.5332573818433627E-38</v>
      </c>
      <c r="W200" s="47">
        <v>0.80300000000000005</v>
      </c>
    </row>
    <row r="201" spans="2:23" x14ac:dyDescent="0.25">
      <c r="B201" s="49">
        <f t="shared" si="38"/>
        <v>4.5631156452808599E-71</v>
      </c>
      <c r="C201" s="49">
        <f t="shared" si="38"/>
        <v>1.8536258551783399E-68</v>
      </c>
      <c r="D201" s="49">
        <f t="shared" si="38"/>
        <v>3.7274329628937206E-66</v>
      </c>
      <c r="E201" s="49">
        <f t="shared" si="38"/>
        <v>4.9467506661467918E-64</v>
      </c>
      <c r="F201" s="49">
        <f t="shared" si="38"/>
        <v>4.8737224022636973E-62</v>
      </c>
      <c r="G201" s="49">
        <f t="shared" si="38"/>
        <v>3.8020307293617813E-60</v>
      </c>
      <c r="H201" s="49">
        <f t="shared" si="38"/>
        <v>2.44606007465204E-58</v>
      </c>
      <c r="I201" s="49">
        <f t="shared" si="38"/>
        <v>1.3347582475737725E-56</v>
      </c>
      <c r="J201" s="49">
        <f t="shared" si="38"/>
        <v>6.3056352541104172E-55</v>
      </c>
      <c r="K201" s="49">
        <f t="shared" si="38"/>
        <v>2.6196069155052075E-53</v>
      </c>
      <c r="L201" s="49">
        <f t="shared" si="39"/>
        <v>9.688785415081636E-52</v>
      </c>
      <c r="M201" s="49">
        <f t="shared" si="39"/>
        <v>3.2221224982537219E-50</v>
      </c>
      <c r="N201" s="49">
        <f t="shared" si="39"/>
        <v>9.7141776560442472E-49</v>
      </c>
      <c r="O201" s="49">
        <f t="shared" si="39"/>
        <v>2.6732174592054422E-47</v>
      </c>
      <c r="P201" s="49">
        <f t="shared" si="39"/>
        <v>6.7538209500412146E-46</v>
      </c>
      <c r="Q201" s="49">
        <f t="shared" si="39"/>
        <v>1.5744083102881111E-44</v>
      </c>
      <c r="R201" s="49">
        <f t="shared" si="39"/>
        <v>3.4010665358619635E-43</v>
      </c>
      <c r="S201" s="49">
        <f t="shared" si="39"/>
        <v>6.8341441663657395E-42</v>
      </c>
      <c r="T201" s="49">
        <f t="shared" si="39"/>
        <v>1.2816514930278902E-40</v>
      </c>
      <c r="U201" s="49">
        <f t="shared" si="39"/>
        <v>2.2498514989569964E-39</v>
      </c>
      <c r="V201" s="49">
        <f t="shared" si="39"/>
        <v>3.706618719704432E-38</v>
      </c>
      <c r="W201" s="47">
        <v>0.80200000000000005</v>
      </c>
    </row>
    <row r="202" spans="2:23" x14ac:dyDescent="0.25">
      <c r="B202" s="49">
        <f t="shared" si="38"/>
        <v>7.5525840881525848E-71</v>
      </c>
      <c r="C202" s="49">
        <f t="shared" si="38"/>
        <v>3.0488233896284015E-68</v>
      </c>
      <c r="D202" s="49">
        <f t="shared" si="38"/>
        <v>6.0925107398750191E-66</v>
      </c>
      <c r="E202" s="49">
        <f t="shared" si="38"/>
        <v>8.0349455854652728E-64</v>
      </c>
      <c r="F202" s="49">
        <f t="shared" si="38"/>
        <v>7.8668407008824022E-62</v>
      </c>
      <c r="G202" s="49">
        <f t="shared" si="38"/>
        <v>6.0986264884944914E-60</v>
      </c>
      <c r="H202" s="49">
        <f t="shared" si="38"/>
        <v>3.8990659722284943E-58</v>
      </c>
      <c r="I202" s="49">
        <f t="shared" si="38"/>
        <v>2.1143327767152363E-56</v>
      </c>
      <c r="J202" s="49">
        <f t="shared" si="38"/>
        <v>9.9260637748519719E-55</v>
      </c>
      <c r="K202" s="49">
        <f t="shared" si="38"/>
        <v>4.0979066449036966E-53</v>
      </c>
      <c r="L202" s="49">
        <f t="shared" si="39"/>
        <v>1.5061673385699307E-51</v>
      </c>
      <c r="M202" s="49">
        <f t="shared" si="39"/>
        <v>4.9776475320410508E-50</v>
      </c>
      <c r="N202" s="49">
        <f t="shared" si="39"/>
        <v>1.4913054328890565E-48</v>
      </c>
      <c r="O202" s="49">
        <f t="shared" si="39"/>
        <v>4.0782475337508841E-47</v>
      </c>
      <c r="P202" s="49">
        <f t="shared" si="39"/>
        <v>1.0239243074218948E-45</v>
      </c>
      <c r="Q202" s="49">
        <f t="shared" si="39"/>
        <v>2.3720016911906935E-44</v>
      </c>
      <c r="R202" s="49">
        <f t="shared" si="39"/>
        <v>5.0920465672803427E-43</v>
      </c>
      <c r="S202" s="49">
        <f t="shared" si="39"/>
        <v>1.0168135208042858E-41</v>
      </c>
      <c r="T202" s="49">
        <f t="shared" si="39"/>
        <v>1.8949920717036895E-40</v>
      </c>
      <c r="U202" s="49">
        <f t="shared" si="39"/>
        <v>3.30576461362234E-39</v>
      </c>
      <c r="V202" s="49">
        <f t="shared" si="39"/>
        <v>5.4122391429714423E-38</v>
      </c>
      <c r="W202" s="47">
        <v>0.80100000000000005</v>
      </c>
    </row>
    <row r="203" spans="2:23" x14ac:dyDescent="0.25">
      <c r="B203" s="49">
        <f t="shared" ref="B203:K212" si="40">_xlfn.HYPGEOM.DIST(B$2,comau,tongtheN*$W203,tongtheN,TRUE)</f>
        <v>1.2469025665174833E-70</v>
      </c>
      <c r="C203" s="49">
        <f t="shared" si="40"/>
        <v>5.0021375299933206E-68</v>
      </c>
      <c r="D203" s="49">
        <f t="shared" si="40"/>
        <v>9.933590513409542E-66</v>
      </c>
      <c r="E203" s="49">
        <f t="shared" si="40"/>
        <v>1.3019061062576685E-63</v>
      </c>
      <c r="F203" s="49">
        <f t="shared" si="40"/>
        <v>1.2667299694062E-61</v>
      </c>
      <c r="G203" s="49">
        <f t="shared" si="40"/>
        <v>9.7589454287748944E-60</v>
      </c>
      <c r="H203" s="49">
        <f t="shared" si="40"/>
        <v>6.2003871504263757E-58</v>
      </c>
      <c r="I203" s="49">
        <f t="shared" si="40"/>
        <v>3.3413283128302007E-56</v>
      </c>
      <c r="J203" s="49">
        <f t="shared" si="40"/>
        <v>1.5588727888626262E-54</v>
      </c>
      <c r="K203" s="49">
        <f t="shared" si="40"/>
        <v>6.3956356282956353E-53</v>
      </c>
      <c r="L203" s="49">
        <f t="shared" ref="L203:V212" si="41">_xlfn.HYPGEOM.DIST(L$2,comau,tongtheN*$W203,tongtheN,TRUE)</f>
        <v>2.3360554995054183E-51</v>
      </c>
      <c r="M203" s="49">
        <f t="shared" si="41"/>
        <v>7.6722474207502812E-50</v>
      </c>
      <c r="N203" s="49">
        <f t="shared" si="41"/>
        <v>2.2843037227858208E-48</v>
      </c>
      <c r="O203" s="49">
        <f t="shared" si="41"/>
        <v>6.2079740040919019E-47</v>
      </c>
      <c r="P203" s="49">
        <f t="shared" si="41"/>
        <v>1.5489361054326203E-45</v>
      </c>
      <c r="Q203" s="49">
        <f t="shared" si="41"/>
        <v>3.5659092161166464E-44</v>
      </c>
      <c r="R203" s="49">
        <f t="shared" si="41"/>
        <v>7.6074236185216832E-43</v>
      </c>
      <c r="S203" s="49">
        <f t="shared" si="41"/>
        <v>1.5096518865923728E-41</v>
      </c>
      <c r="T203" s="49">
        <f t="shared" si="41"/>
        <v>2.7959764102335753E-40</v>
      </c>
      <c r="U203" s="49">
        <f t="shared" si="41"/>
        <v>4.8471782197706725E-39</v>
      </c>
      <c r="V203" s="49">
        <f t="shared" si="41"/>
        <v>7.8865191786142734E-38</v>
      </c>
      <c r="W203" s="47">
        <v>0.8</v>
      </c>
    </row>
    <row r="204" spans="2:23" x14ac:dyDescent="0.25">
      <c r="B204" s="49">
        <f t="shared" si="40"/>
        <v>2.0534459243885975E-70</v>
      </c>
      <c r="C204" s="49">
        <f t="shared" si="40"/>
        <v>8.1865891512767511E-68</v>
      </c>
      <c r="D204" s="49">
        <f t="shared" si="40"/>
        <v>1.6156616457537243E-65</v>
      </c>
      <c r="E204" s="49">
        <f t="shared" si="40"/>
        <v>2.1043637201075374E-63</v>
      </c>
      <c r="F204" s="49">
        <f t="shared" si="40"/>
        <v>2.0348029538937057E-61</v>
      </c>
      <c r="G204" s="49">
        <f t="shared" si="40"/>
        <v>1.5578964028165368E-59</v>
      </c>
      <c r="H204" s="49">
        <f t="shared" si="40"/>
        <v>9.8367598907717079E-58</v>
      </c>
      <c r="I204" s="49">
        <f t="shared" si="40"/>
        <v>5.2680538608624017E-56</v>
      </c>
      <c r="J204" s="49">
        <f t="shared" si="40"/>
        <v>2.442529107583494E-54</v>
      </c>
      <c r="K204" s="49">
        <f t="shared" si="40"/>
        <v>9.9588922279368634E-53</v>
      </c>
      <c r="L204" s="49">
        <f t="shared" si="41"/>
        <v>3.6150055198723803E-51</v>
      </c>
      <c r="M204" s="49">
        <f t="shared" si="41"/>
        <v>1.1799052896402096E-49</v>
      </c>
      <c r="N204" s="49">
        <f t="shared" si="41"/>
        <v>3.4912214491472299E-48</v>
      </c>
      <c r="O204" s="49">
        <f t="shared" si="41"/>
        <v>9.4291536532837232E-47</v>
      </c>
      <c r="P204" s="49">
        <f t="shared" si="41"/>
        <v>2.3380612494186244E-45</v>
      </c>
      <c r="Q204" s="49">
        <f t="shared" si="41"/>
        <v>5.3492453403301918E-44</v>
      </c>
      <c r="R204" s="49">
        <f t="shared" si="41"/>
        <v>1.134122583171543E-42</v>
      </c>
      <c r="S204" s="49">
        <f t="shared" si="41"/>
        <v>2.236658594926885E-41</v>
      </c>
      <c r="T204" s="49">
        <f t="shared" si="41"/>
        <v>4.1167757537112129E-40</v>
      </c>
      <c r="U204" s="49">
        <f t="shared" si="41"/>
        <v>7.092737279873634E-39</v>
      </c>
      <c r="V204" s="49">
        <f t="shared" si="41"/>
        <v>1.1468636731221281E-37</v>
      </c>
      <c r="W204" s="47">
        <v>0.79900000000000004</v>
      </c>
    </row>
    <row r="205" spans="2:23" x14ac:dyDescent="0.25">
      <c r="B205" s="49">
        <f t="shared" si="40"/>
        <v>3.3733282853532017E-70</v>
      </c>
      <c r="C205" s="49">
        <f t="shared" si="40"/>
        <v>1.3365494877127791E-67</v>
      </c>
      <c r="D205" s="49">
        <f t="shared" si="40"/>
        <v>2.6214365704782326E-65</v>
      </c>
      <c r="E205" s="49">
        <f t="shared" si="40"/>
        <v>3.393257520950412E-63</v>
      </c>
      <c r="F205" s="49">
        <f t="shared" si="40"/>
        <v>3.2608111158070565E-61</v>
      </c>
      <c r="G205" s="49">
        <f t="shared" si="40"/>
        <v>2.4811288958248962E-59</v>
      </c>
      <c r="H205" s="49">
        <f t="shared" si="40"/>
        <v>1.5569350620340472E-57</v>
      </c>
      <c r="I205" s="49">
        <f t="shared" si="40"/>
        <v>8.2866028804003205E-56</v>
      </c>
      <c r="J205" s="49">
        <f t="shared" si="40"/>
        <v>3.8183363637391564E-54</v>
      </c>
      <c r="K205" s="49">
        <f t="shared" si="40"/>
        <v>1.5472262195011284E-52</v>
      </c>
      <c r="L205" s="49">
        <f t="shared" si="41"/>
        <v>5.5816209349558326E-51</v>
      </c>
      <c r="M205" s="49">
        <f t="shared" si="41"/>
        <v>1.8105368332195222E-49</v>
      </c>
      <c r="N205" s="49">
        <f t="shared" si="41"/>
        <v>5.3241063009765435E-48</v>
      </c>
      <c r="O205" s="49">
        <f t="shared" si="41"/>
        <v>1.4290631207585063E-46</v>
      </c>
      <c r="P205" s="49">
        <f t="shared" si="41"/>
        <v>3.5216342248186906E-45</v>
      </c>
      <c r="Q205" s="49">
        <f t="shared" si="41"/>
        <v>8.0073873815560554E-44</v>
      </c>
      <c r="R205" s="49">
        <f t="shared" si="41"/>
        <v>1.6872078666241147E-42</v>
      </c>
      <c r="S205" s="49">
        <f t="shared" si="41"/>
        <v>3.3068834360030091E-41</v>
      </c>
      <c r="T205" s="49">
        <f t="shared" si="41"/>
        <v>6.049052227977619E-40</v>
      </c>
      <c r="U205" s="49">
        <f t="shared" si="41"/>
        <v>1.0357508210912742E-38</v>
      </c>
      <c r="V205" s="49">
        <f t="shared" si="41"/>
        <v>1.6644274531039568E-37</v>
      </c>
      <c r="W205" s="47">
        <v>0.79800000000000004</v>
      </c>
    </row>
    <row r="206" spans="2:23" x14ac:dyDescent="0.25">
      <c r="B206" s="49">
        <f t="shared" si="40"/>
        <v>5.5280142558998843E-70</v>
      </c>
      <c r="C206" s="49">
        <f t="shared" si="40"/>
        <v>2.1767687214162684E-67</v>
      </c>
      <c r="D206" s="49">
        <f t="shared" si="40"/>
        <v>4.2431020431467345E-65</v>
      </c>
      <c r="E206" s="49">
        <f t="shared" si="40"/>
        <v>5.4585589813987048E-63</v>
      </c>
      <c r="F206" s="49">
        <f t="shared" si="40"/>
        <v>5.2131964108690422E-61</v>
      </c>
      <c r="G206" s="49">
        <f t="shared" si="40"/>
        <v>3.9422596942344212E-59</v>
      </c>
      <c r="H206" s="49">
        <f t="shared" si="40"/>
        <v>2.4585784390509552E-57</v>
      </c>
      <c r="I206" s="49">
        <f t="shared" si="40"/>
        <v>1.3004928803496738E-55</v>
      </c>
      <c r="J206" s="49">
        <f t="shared" si="40"/>
        <v>5.9555756165326719E-54</v>
      </c>
      <c r="K206" s="49">
        <f t="shared" si="40"/>
        <v>2.3984005601015993E-52</v>
      </c>
      <c r="L206" s="49">
        <f t="shared" si="41"/>
        <v>8.5989777095032517E-51</v>
      </c>
      <c r="M206" s="49">
        <f t="shared" si="41"/>
        <v>2.7721242076030943E-49</v>
      </c>
      <c r="N206" s="49">
        <f t="shared" si="41"/>
        <v>8.1016063775764281E-48</v>
      </c>
      <c r="O206" s="49">
        <f t="shared" si="41"/>
        <v>2.1612012344499636E-46</v>
      </c>
      <c r="P206" s="49">
        <f t="shared" si="41"/>
        <v>5.2930707818939653E-45</v>
      </c>
      <c r="Q206" s="49">
        <f t="shared" si="41"/>
        <v>1.1961186285879757E-43</v>
      </c>
      <c r="R206" s="49">
        <f t="shared" si="41"/>
        <v>2.5047955177931765E-42</v>
      </c>
      <c r="S206" s="49">
        <f t="shared" si="41"/>
        <v>4.8791387590437684E-41</v>
      </c>
      <c r="T206" s="49">
        <f t="shared" si="41"/>
        <v>8.8701824744739161E-40</v>
      </c>
      <c r="U206" s="49">
        <f t="shared" si="41"/>
        <v>1.5094606635355692E-38</v>
      </c>
      <c r="V206" s="49">
        <f t="shared" si="41"/>
        <v>2.4107548598638972E-37</v>
      </c>
      <c r="W206" s="47">
        <v>0.79700000000000004</v>
      </c>
    </row>
    <row r="207" spans="2:23" x14ac:dyDescent="0.25">
      <c r="B207" s="49">
        <f t="shared" si="40"/>
        <v>9.0370227779040685E-70</v>
      </c>
      <c r="C207" s="49">
        <f t="shared" si="40"/>
        <v>3.5366744895043299E-67</v>
      </c>
      <c r="D207" s="49">
        <f t="shared" si="40"/>
        <v>6.8516163521190266E-65</v>
      </c>
      <c r="E207" s="49">
        <f t="shared" si="40"/>
        <v>8.7602099480607084E-63</v>
      </c>
      <c r="F207" s="49">
        <f t="shared" si="40"/>
        <v>8.3151049530032972E-61</v>
      </c>
      <c r="G207" s="49">
        <f t="shared" si="40"/>
        <v>6.2493697234815861E-59</v>
      </c>
      <c r="H207" s="49">
        <f t="shared" si="40"/>
        <v>3.8734915095427874E-57</v>
      </c>
      <c r="I207" s="49">
        <f t="shared" si="40"/>
        <v>2.0363587262362697E-55</v>
      </c>
      <c r="J207" s="49">
        <f t="shared" si="40"/>
        <v>9.2682564682038455E-54</v>
      </c>
      <c r="K207" s="49">
        <f t="shared" si="40"/>
        <v>3.7095757497662304E-52</v>
      </c>
      <c r="L207" s="49">
        <f t="shared" si="41"/>
        <v>1.3218367467101591E-50</v>
      </c>
      <c r="M207" s="49">
        <f t="shared" si="41"/>
        <v>4.2351852150308367E-49</v>
      </c>
      <c r="N207" s="49">
        <f t="shared" si="41"/>
        <v>1.2301550402237288E-47</v>
      </c>
      <c r="O207" s="49">
        <f t="shared" si="41"/>
        <v>3.2614684591681542E-46</v>
      </c>
      <c r="P207" s="49">
        <f t="shared" si="41"/>
        <v>7.9388067342941395E-45</v>
      </c>
      <c r="Q207" s="49">
        <f t="shared" si="41"/>
        <v>1.7830011921071019E-43</v>
      </c>
      <c r="R207" s="49">
        <f t="shared" si="41"/>
        <v>3.710904871227393E-42</v>
      </c>
      <c r="S207" s="49">
        <f t="shared" si="41"/>
        <v>7.1842461669685302E-41</v>
      </c>
      <c r="T207" s="49">
        <f t="shared" si="41"/>
        <v>1.2980798950160728E-39</v>
      </c>
      <c r="U207" s="49">
        <f t="shared" si="41"/>
        <v>2.1954414576795037E-38</v>
      </c>
      <c r="V207" s="49">
        <f t="shared" si="41"/>
        <v>3.4848547289482192E-37</v>
      </c>
      <c r="W207" s="47">
        <v>0.79600000000000004</v>
      </c>
    </row>
    <row r="208" spans="2:23" x14ac:dyDescent="0.25">
      <c r="B208" s="49">
        <f t="shared" si="40"/>
        <v>1.4737967314003635E-69</v>
      </c>
      <c r="C208" s="49">
        <f t="shared" si="40"/>
        <v>5.7324946326220181E-67</v>
      </c>
      <c r="D208" s="49">
        <f t="shared" si="40"/>
        <v>1.103768866751981E-64</v>
      </c>
      <c r="E208" s="49">
        <f t="shared" si="40"/>
        <v>1.4026080949801746E-62</v>
      </c>
      <c r="F208" s="49">
        <f t="shared" si="40"/>
        <v>1.3232030088604551E-60</v>
      </c>
      <c r="G208" s="49">
        <f t="shared" si="40"/>
        <v>9.883985134201932E-59</v>
      </c>
      <c r="H208" s="49">
        <f t="shared" si="40"/>
        <v>6.0888573905821363E-57</v>
      </c>
      <c r="I208" s="49">
        <f t="shared" si="40"/>
        <v>3.1814494507472597E-55</v>
      </c>
      <c r="J208" s="49">
        <f t="shared" si="40"/>
        <v>1.4391516420890496E-53</v>
      </c>
      <c r="K208" s="49">
        <f t="shared" si="40"/>
        <v>5.7249377271533227E-52</v>
      </c>
      <c r="L208" s="49">
        <f t="shared" si="41"/>
        <v>2.0275080976244469E-50</v>
      </c>
      <c r="M208" s="49">
        <f t="shared" si="41"/>
        <v>6.456478248353432E-49</v>
      </c>
      <c r="N208" s="49">
        <f t="shared" si="41"/>
        <v>1.8638969944870879E-47</v>
      </c>
      <c r="O208" s="49">
        <f t="shared" si="41"/>
        <v>4.9115016063582848E-46</v>
      </c>
      <c r="P208" s="49">
        <f t="shared" si="41"/>
        <v>1.1882167634459992E-44</v>
      </c>
      <c r="Q208" s="49">
        <f t="shared" si="41"/>
        <v>2.6523554118152145E-43</v>
      </c>
      <c r="R208" s="49">
        <f t="shared" si="41"/>
        <v>5.4865565500271749E-42</v>
      </c>
      <c r="S208" s="49">
        <f t="shared" si="41"/>
        <v>1.0557024401833061E-40</v>
      </c>
      <c r="T208" s="49">
        <f t="shared" si="41"/>
        <v>1.895843000481762E-39</v>
      </c>
      <c r="U208" s="49">
        <f t="shared" si="41"/>
        <v>3.1868659199490423E-38</v>
      </c>
      <c r="V208" s="49">
        <f t="shared" si="41"/>
        <v>5.0276839708135493E-37</v>
      </c>
      <c r="W208" s="47">
        <v>0.79500000000000004</v>
      </c>
    </row>
    <row r="209" spans="2:23" x14ac:dyDescent="0.25">
      <c r="B209" s="49">
        <f t="shared" si="40"/>
        <v>2.3978165497398674E-69</v>
      </c>
      <c r="C209" s="49">
        <f t="shared" si="40"/>
        <v>9.2697505767465557E-67</v>
      </c>
      <c r="D209" s="49">
        <f t="shared" si="40"/>
        <v>1.7739800889368415E-64</v>
      </c>
      <c r="E209" s="49">
        <f t="shared" si="40"/>
        <v>2.240543289514914E-62</v>
      </c>
      <c r="F209" s="49">
        <f t="shared" si="40"/>
        <v>2.1008259366964853E-60</v>
      </c>
      <c r="G209" s="49">
        <f t="shared" si="40"/>
        <v>1.559705017948435E-58</v>
      </c>
      <c r="H209" s="49">
        <f t="shared" si="40"/>
        <v>9.5497761910403876E-57</v>
      </c>
      <c r="I209" s="49">
        <f t="shared" si="40"/>
        <v>4.9594057601263108E-55</v>
      </c>
      <c r="J209" s="49">
        <f t="shared" si="40"/>
        <v>2.2297625814906377E-53</v>
      </c>
      <c r="K209" s="49">
        <f t="shared" si="40"/>
        <v>8.8159784373786292E-52</v>
      </c>
      <c r="L209" s="49">
        <f t="shared" si="41"/>
        <v>3.1032036825604048E-50</v>
      </c>
      <c r="M209" s="49">
        <f t="shared" si="41"/>
        <v>9.8218108179946065E-49</v>
      </c>
      <c r="N209" s="49">
        <f t="shared" si="41"/>
        <v>2.8181638183448818E-47</v>
      </c>
      <c r="O209" s="49">
        <f t="shared" si="41"/>
        <v>7.3808664809981326E-46</v>
      </c>
      <c r="P209" s="49">
        <f t="shared" si="41"/>
        <v>1.7747523307015453E-44</v>
      </c>
      <c r="Q209" s="49">
        <f t="shared" si="41"/>
        <v>3.9375231676190079E-43</v>
      </c>
      <c r="R209" s="49">
        <f t="shared" si="41"/>
        <v>8.0954482829816958E-42</v>
      </c>
      <c r="S209" s="49">
        <f t="shared" si="41"/>
        <v>1.5482195147454089E-40</v>
      </c>
      <c r="T209" s="49">
        <f t="shared" si="41"/>
        <v>2.7633996316156594E-39</v>
      </c>
      <c r="U209" s="49">
        <f t="shared" si="41"/>
        <v>4.6169566074268854E-38</v>
      </c>
      <c r="V209" s="49">
        <f t="shared" si="41"/>
        <v>7.2395408861822271E-37</v>
      </c>
      <c r="W209" s="47">
        <v>0.79400000000000004</v>
      </c>
    </row>
    <row r="210" spans="2:23" x14ac:dyDescent="0.25">
      <c r="B210" s="49">
        <f t="shared" si="40"/>
        <v>3.8919789719319504E-69</v>
      </c>
      <c r="C210" s="49">
        <f t="shared" si="40"/>
        <v>1.4954716301575993E-66</v>
      </c>
      <c r="D210" s="49">
        <f t="shared" si="40"/>
        <v>2.8445570703780262E-64</v>
      </c>
      <c r="E210" s="49">
        <f t="shared" si="40"/>
        <v>3.5708796963695807E-62</v>
      </c>
      <c r="F210" s="49">
        <f t="shared" si="40"/>
        <v>3.3278835062725576E-60</v>
      </c>
      <c r="G210" s="49">
        <f t="shared" si="40"/>
        <v>2.455708889465397E-58</v>
      </c>
      <c r="H210" s="49">
        <f t="shared" si="40"/>
        <v>1.4944596226220565E-56</v>
      </c>
      <c r="I210" s="49">
        <f t="shared" si="40"/>
        <v>7.713960890378386E-55</v>
      </c>
      <c r="J210" s="49">
        <f t="shared" si="40"/>
        <v>3.4471758603593329E-53</v>
      </c>
      <c r="K210" s="49">
        <f t="shared" si="40"/>
        <v>1.3546671485175928E-51</v>
      </c>
      <c r="L210" s="49">
        <f t="shared" si="41"/>
        <v>4.7394710105636292E-50</v>
      </c>
      <c r="M210" s="49">
        <f t="shared" si="41"/>
        <v>1.4909700516515846E-48</v>
      </c>
      <c r="N210" s="49">
        <f t="shared" si="41"/>
        <v>4.2520819258860153E-47</v>
      </c>
      <c r="O210" s="49">
        <f t="shared" si="41"/>
        <v>1.106881298842852E-45</v>
      </c>
      <c r="P210" s="49">
        <f t="shared" si="41"/>
        <v>2.6453921401487369E-44</v>
      </c>
      <c r="Q210" s="49">
        <f t="shared" si="41"/>
        <v>5.833568904174397E-43</v>
      </c>
      <c r="R210" s="49">
        <f t="shared" si="41"/>
        <v>1.1920962879494519E-41</v>
      </c>
      <c r="S210" s="49">
        <f t="shared" si="41"/>
        <v>2.2660136651697447E-40</v>
      </c>
      <c r="T210" s="49">
        <f t="shared" si="41"/>
        <v>4.0200697037942763E-39</v>
      </c>
      <c r="U210" s="49">
        <f t="shared" si="41"/>
        <v>6.6758403811915346E-38</v>
      </c>
      <c r="V210" s="49">
        <f t="shared" si="41"/>
        <v>1.0404514497655624E-36</v>
      </c>
      <c r="W210" s="47">
        <v>0.79300000000000004</v>
      </c>
    </row>
    <row r="211" spans="2:23" x14ac:dyDescent="0.25">
      <c r="B211" s="49">
        <f t="shared" si="40"/>
        <v>6.3024738820017675E-69</v>
      </c>
      <c r="C211" s="49">
        <f t="shared" si="40"/>
        <v>2.4070428225998218E-66</v>
      </c>
      <c r="D211" s="49">
        <f t="shared" si="40"/>
        <v>4.5507768562592443E-64</v>
      </c>
      <c r="E211" s="49">
        <f t="shared" si="40"/>
        <v>5.6782112912645466E-62</v>
      </c>
      <c r="F211" s="49">
        <f t="shared" si="40"/>
        <v>5.2598103148344947E-60</v>
      </c>
      <c r="G211" s="49">
        <f t="shared" si="40"/>
        <v>3.8578442532086443E-58</v>
      </c>
      <c r="H211" s="49">
        <f t="shared" si="40"/>
        <v>2.3335550289651807E-56</v>
      </c>
      <c r="I211" s="49">
        <f t="shared" si="40"/>
        <v>1.1972299324187808E-54</v>
      </c>
      <c r="J211" s="49">
        <f t="shared" si="40"/>
        <v>5.3177764287469114E-53</v>
      </c>
      <c r="K211" s="49">
        <f t="shared" si="40"/>
        <v>2.0771409740859424E-51</v>
      </c>
      <c r="L211" s="49">
        <f t="shared" si="41"/>
        <v>7.223209833933768E-50</v>
      </c>
      <c r="M211" s="49">
        <f t="shared" si="41"/>
        <v>2.2585854395594215E-48</v>
      </c>
      <c r="N211" s="49">
        <f t="shared" si="41"/>
        <v>6.4023106030143852E-47</v>
      </c>
      <c r="O211" s="49">
        <f t="shared" si="41"/>
        <v>1.6565477468502098E-45</v>
      </c>
      <c r="P211" s="49">
        <f t="shared" si="41"/>
        <v>3.9351478199051222E-44</v>
      </c>
      <c r="Q211" s="49">
        <f t="shared" si="41"/>
        <v>8.625290129781412E-43</v>
      </c>
      <c r="R211" s="49">
        <f t="shared" si="41"/>
        <v>1.7519407834936787E-41</v>
      </c>
      <c r="S211" s="49">
        <f t="shared" si="41"/>
        <v>3.3100888462777902E-40</v>
      </c>
      <c r="T211" s="49">
        <f t="shared" si="41"/>
        <v>5.836871022851041E-39</v>
      </c>
      <c r="U211" s="49">
        <f t="shared" si="41"/>
        <v>9.6343453306785045E-38</v>
      </c>
      <c r="V211" s="49">
        <f t="shared" si="41"/>
        <v>1.4924789595557021E-36</v>
      </c>
      <c r="W211" s="47">
        <v>0.79200000000000004</v>
      </c>
    </row>
    <row r="212" spans="2:23" x14ac:dyDescent="0.25">
      <c r="B212" s="49">
        <f t="shared" si="40"/>
        <v>1.0182335204080648E-68</v>
      </c>
      <c r="C212" s="49">
        <f t="shared" si="40"/>
        <v>3.8654013314240579E-66</v>
      </c>
      <c r="D212" s="49">
        <f t="shared" si="40"/>
        <v>7.2639181034155434E-64</v>
      </c>
      <c r="E212" s="49">
        <f t="shared" si="40"/>
        <v>9.0088998817035364E-62</v>
      </c>
      <c r="F212" s="49">
        <f t="shared" si="40"/>
        <v>8.2947882585462426E-60</v>
      </c>
      <c r="G212" s="49">
        <f t="shared" si="40"/>
        <v>6.0472110682390318E-58</v>
      </c>
      <c r="H212" s="49">
        <f t="shared" si="40"/>
        <v>3.6358328617754524E-56</v>
      </c>
      <c r="I212" s="49">
        <f t="shared" si="40"/>
        <v>1.8541252918780405E-54</v>
      </c>
      <c r="J212" s="49">
        <f t="shared" si="40"/>
        <v>8.1859193925349281E-53</v>
      </c>
      <c r="K212" s="49">
        <f t="shared" si="40"/>
        <v>3.178187226196375E-51</v>
      </c>
      <c r="L212" s="49">
        <f t="shared" si="41"/>
        <v>1.0985506880906855E-49</v>
      </c>
      <c r="M212" s="49">
        <f t="shared" si="41"/>
        <v>3.4143105177551434E-48</v>
      </c>
      <c r="N212" s="49">
        <f t="shared" si="41"/>
        <v>9.6201118993397138E-47</v>
      </c>
      <c r="O212" s="49">
        <f t="shared" si="41"/>
        <v>2.4741413916057936E-45</v>
      </c>
      <c r="P212" s="49">
        <f t="shared" si="41"/>
        <v>5.8419666525536803E-44</v>
      </c>
      <c r="Q212" s="49">
        <f t="shared" si="41"/>
        <v>1.2727687595596546E-42</v>
      </c>
      <c r="R212" s="49">
        <f t="shared" si="41"/>
        <v>2.5696460613361395E-41</v>
      </c>
      <c r="S212" s="49">
        <f t="shared" si="41"/>
        <v>4.8258293664690115E-40</v>
      </c>
      <c r="T212" s="49">
        <f t="shared" si="41"/>
        <v>8.458457714599904E-39</v>
      </c>
      <c r="U212" s="49">
        <f t="shared" si="41"/>
        <v>1.3877538316876521E-37</v>
      </c>
      <c r="V212" s="49">
        <f t="shared" si="41"/>
        <v>2.1368693364195826E-36</v>
      </c>
      <c r="W212" s="47">
        <v>0.79100000000000004</v>
      </c>
    </row>
    <row r="213" spans="2:23" x14ac:dyDescent="0.25">
      <c r="B213" s="49">
        <f t="shared" ref="B213:K222" si="42">_xlfn.HYPGEOM.DIST(B$2,comau,tongtheN*$W213,tongtheN,TRUE)</f>
        <v>1.6413041975711451E-68</v>
      </c>
      <c r="C213" s="49">
        <f t="shared" si="42"/>
        <v>6.1932697408278158E-66</v>
      </c>
      <c r="D213" s="49">
        <f t="shared" si="42"/>
        <v>1.1568584954870358E-63</v>
      </c>
      <c r="E213" s="49">
        <f t="shared" si="42"/>
        <v>1.4261498140038675E-61</v>
      </c>
      <c r="F213" s="49">
        <f t="shared" si="42"/>
        <v>1.3052177736982887E-59</v>
      </c>
      <c r="G213" s="49">
        <f t="shared" si="42"/>
        <v>9.4583916488528325E-58</v>
      </c>
      <c r="H213" s="49">
        <f t="shared" si="42"/>
        <v>5.6526328837461735E-56</v>
      </c>
      <c r="I213" s="49">
        <f t="shared" si="42"/>
        <v>2.8653051062130398E-54</v>
      </c>
      <c r="J213" s="49">
        <f t="shared" si="42"/>
        <v>1.2574317302503324E-52</v>
      </c>
      <c r="K213" s="49">
        <f t="shared" si="42"/>
        <v>4.8526819089695037E-51</v>
      </c>
      <c r="L213" s="49">
        <f t="shared" ref="L213:V222" si="43">_xlfn.HYPGEOM.DIST(L$2,comau,tongtheN*$W213,tongtheN,TRUE)</f>
        <v>1.6672782759973945E-49</v>
      </c>
      <c r="M213" s="49">
        <f t="shared" si="43"/>
        <v>5.1508263756457579E-48</v>
      </c>
      <c r="N213" s="49">
        <f t="shared" si="43"/>
        <v>1.4425809507240848E-46</v>
      </c>
      <c r="O213" s="49">
        <f t="shared" si="43"/>
        <v>3.6878312537187486E-45</v>
      </c>
      <c r="P213" s="49">
        <f t="shared" si="43"/>
        <v>8.6555037650483107E-44</v>
      </c>
      <c r="Q213" s="49">
        <f t="shared" si="43"/>
        <v>1.8744326500723412E-42</v>
      </c>
      <c r="R213" s="49">
        <f t="shared" si="43"/>
        <v>3.7616728312363978E-41</v>
      </c>
      <c r="S213" s="49">
        <f t="shared" si="43"/>
        <v>7.0221061078261745E-40</v>
      </c>
      <c r="T213" s="49">
        <f t="shared" si="43"/>
        <v>1.2234174562526996E-38</v>
      </c>
      <c r="U213" s="49">
        <f t="shared" si="43"/>
        <v>1.9951904506998728E-37</v>
      </c>
      <c r="V213" s="49">
        <f t="shared" si="43"/>
        <v>3.053786750117537E-36</v>
      </c>
      <c r="W213" s="47">
        <v>0.79</v>
      </c>
    </row>
    <row r="214" spans="2:23" x14ac:dyDescent="0.25">
      <c r="B214" s="49">
        <f t="shared" si="42"/>
        <v>2.6396453279072795E-68</v>
      </c>
      <c r="C214" s="49">
        <f t="shared" si="42"/>
        <v>9.9007793931432961E-66</v>
      </c>
      <c r="D214" s="49">
        <f t="shared" si="42"/>
        <v>1.8383267369418566E-63</v>
      </c>
      <c r="E214" s="49">
        <f t="shared" si="42"/>
        <v>2.252687139653471E-61</v>
      </c>
      <c r="F214" s="49">
        <f t="shared" si="42"/>
        <v>2.0493313048170724E-59</v>
      </c>
      <c r="G214" s="49">
        <f t="shared" si="42"/>
        <v>1.4761828625481998E-57</v>
      </c>
      <c r="H214" s="49">
        <f t="shared" si="42"/>
        <v>8.7693525772102597E-56</v>
      </c>
      <c r="I214" s="49">
        <f t="shared" si="42"/>
        <v>4.4185699188133621E-54</v>
      </c>
      <c r="J214" s="49">
        <f t="shared" si="42"/>
        <v>1.9274788048490417E-52</v>
      </c>
      <c r="K214" s="49">
        <f t="shared" si="42"/>
        <v>7.3940366463145993E-51</v>
      </c>
      <c r="L214" s="49">
        <f t="shared" si="43"/>
        <v>2.5252401991915074E-49</v>
      </c>
      <c r="M214" s="49">
        <f t="shared" si="43"/>
        <v>7.7547285926378655E-48</v>
      </c>
      <c r="N214" s="49">
        <f t="shared" si="43"/>
        <v>2.1588638049072617E-46</v>
      </c>
      <c r="O214" s="49">
        <f t="shared" si="43"/>
        <v>5.4859486234360406E-45</v>
      </c>
      <c r="P214" s="49">
        <f t="shared" si="43"/>
        <v>1.2798792080383972E-43</v>
      </c>
      <c r="Q214" s="49">
        <f t="shared" si="43"/>
        <v>2.7551339722088772E-42</v>
      </c>
      <c r="R214" s="49">
        <f t="shared" si="43"/>
        <v>5.4960474190172609E-41</v>
      </c>
      <c r="S214" s="49">
        <f t="shared" si="43"/>
        <v>1.0198439981698111E-39</v>
      </c>
      <c r="T214" s="49">
        <f t="shared" si="43"/>
        <v>1.7661935247480182E-38</v>
      </c>
      <c r="U214" s="49">
        <f t="shared" si="43"/>
        <v>2.8631598830277115E-37</v>
      </c>
      <c r="V214" s="49">
        <f t="shared" si="43"/>
        <v>4.3561012272143297E-36</v>
      </c>
      <c r="W214" s="47">
        <v>0.78900000000000003</v>
      </c>
    </row>
    <row r="215" spans="2:23" x14ac:dyDescent="0.25">
      <c r="B215" s="49">
        <f t="shared" si="42"/>
        <v>4.2357098205185654E-68</v>
      </c>
      <c r="C215" s="49">
        <f t="shared" si="42"/>
        <v>1.5792539780469504E-65</v>
      </c>
      <c r="D215" s="49">
        <f t="shared" si="42"/>
        <v>2.9147912547384219E-63</v>
      </c>
      <c r="E215" s="49">
        <f t="shared" si="42"/>
        <v>3.5504874682866314E-61</v>
      </c>
      <c r="F215" s="49">
        <f t="shared" si="42"/>
        <v>3.2107155244284981E-59</v>
      </c>
      <c r="G215" s="49">
        <f t="shared" si="42"/>
        <v>2.2989661080566064E-57</v>
      </c>
      <c r="H215" s="49">
        <f t="shared" si="42"/>
        <v>1.3575721240126386E-55</v>
      </c>
      <c r="I215" s="49">
        <f t="shared" si="42"/>
        <v>6.7995520929788086E-54</v>
      </c>
      <c r="J215" s="49">
        <f t="shared" si="42"/>
        <v>2.9484353552224206E-52</v>
      </c>
      <c r="K215" s="49">
        <f t="shared" si="42"/>
        <v>1.1243130832058523E-50</v>
      </c>
      <c r="L215" s="49">
        <f t="shared" si="43"/>
        <v>3.8169131450738802E-49</v>
      </c>
      <c r="M215" s="49">
        <f t="shared" si="43"/>
        <v>1.1651460441192466E-47</v>
      </c>
      <c r="N215" s="49">
        <f t="shared" si="43"/>
        <v>3.2243595120031482E-46</v>
      </c>
      <c r="O215" s="49">
        <f t="shared" si="43"/>
        <v>8.1446923784614647E-45</v>
      </c>
      <c r="P215" s="49">
        <f t="shared" si="43"/>
        <v>1.8888478055425951E-43</v>
      </c>
      <c r="Q215" s="49">
        <f t="shared" si="43"/>
        <v>4.041811411839746E-42</v>
      </c>
      <c r="R215" s="49">
        <f t="shared" si="43"/>
        <v>8.0147404068894676E-41</v>
      </c>
      <c r="S215" s="49">
        <f t="shared" si="43"/>
        <v>1.4783550095076827E-39</v>
      </c>
      <c r="T215" s="49">
        <f t="shared" si="43"/>
        <v>2.5450108527284585E-38</v>
      </c>
      <c r="U215" s="49">
        <f t="shared" si="43"/>
        <v>4.1011313493722756E-37</v>
      </c>
      <c r="V215" s="49">
        <f t="shared" si="43"/>
        <v>6.2024483785740439E-36</v>
      </c>
      <c r="W215" s="47">
        <v>0.78800000000000003</v>
      </c>
    </row>
    <row r="216" spans="2:23" x14ac:dyDescent="0.25">
      <c r="B216" s="49">
        <f t="shared" si="42"/>
        <v>6.7817243580255625E-68</v>
      </c>
      <c r="C216" s="49">
        <f t="shared" si="42"/>
        <v>2.513488345357305E-65</v>
      </c>
      <c r="D216" s="49">
        <f t="shared" si="42"/>
        <v>4.6115136865617002E-63</v>
      </c>
      <c r="E216" s="49">
        <f t="shared" si="42"/>
        <v>5.5838708964456489E-61</v>
      </c>
      <c r="F216" s="49">
        <f t="shared" si="42"/>
        <v>5.0195033955225954E-59</v>
      </c>
      <c r="G216" s="49">
        <f t="shared" si="42"/>
        <v>3.5727550404628719E-57</v>
      </c>
      <c r="H216" s="49">
        <f t="shared" si="42"/>
        <v>2.0972275115788217E-55</v>
      </c>
      <c r="I216" s="49">
        <f t="shared" si="42"/>
        <v>1.0441794126743021E-53</v>
      </c>
      <c r="J216" s="49">
        <f t="shared" si="42"/>
        <v>4.5008946767417819E-52</v>
      </c>
      <c r="K216" s="49">
        <f t="shared" si="42"/>
        <v>1.7061105390116958E-50</v>
      </c>
      <c r="L216" s="49">
        <f t="shared" si="43"/>
        <v>5.7576477583708486E-49</v>
      </c>
      <c r="M216" s="49">
        <f t="shared" si="43"/>
        <v>1.7471345624342349E-47</v>
      </c>
      <c r="N216" s="49">
        <f t="shared" si="43"/>
        <v>4.8062117240109852E-46</v>
      </c>
      <c r="O216" s="49">
        <f t="shared" si="43"/>
        <v>1.2068348967580064E-44</v>
      </c>
      <c r="P216" s="49">
        <f t="shared" si="43"/>
        <v>2.7821732586724723E-43</v>
      </c>
      <c r="Q216" s="49">
        <f t="shared" si="43"/>
        <v>5.9180358941337517E-42</v>
      </c>
      <c r="R216" s="49">
        <f t="shared" si="43"/>
        <v>1.1665562301695051E-40</v>
      </c>
      <c r="S216" s="49">
        <f t="shared" si="43"/>
        <v>2.1389959485025319E-39</v>
      </c>
      <c r="T216" s="49">
        <f t="shared" si="43"/>
        <v>3.6604647283146246E-38</v>
      </c>
      <c r="U216" s="49">
        <f t="shared" si="43"/>
        <v>5.8636224911240633E-37</v>
      </c>
      <c r="V216" s="49">
        <f t="shared" si="43"/>
        <v>8.815391549289182E-36</v>
      </c>
      <c r="W216" s="47">
        <v>0.78700000000000003</v>
      </c>
    </row>
    <row r="217" spans="2:23" x14ac:dyDescent="0.25">
      <c r="B217" s="49">
        <f t="shared" si="42"/>
        <v>1.0834189741849651E-67</v>
      </c>
      <c r="C217" s="49">
        <f t="shared" si="42"/>
        <v>3.9916553647713097E-65</v>
      </c>
      <c r="D217" s="49">
        <f t="shared" si="42"/>
        <v>7.280139625443359E-63</v>
      </c>
      <c r="E217" s="49">
        <f t="shared" si="42"/>
        <v>8.7629798546987085E-61</v>
      </c>
      <c r="F217" s="49">
        <f t="shared" si="42"/>
        <v>7.83064679859845E-59</v>
      </c>
      <c r="G217" s="49">
        <f t="shared" si="42"/>
        <v>5.5406506809037414E-57</v>
      </c>
      <c r="H217" s="49">
        <f t="shared" si="42"/>
        <v>3.2331357394772227E-55</v>
      </c>
      <c r="I217" s="49">
        <f t="shared" si="42"/>
        <v>1.6002012508223157E-53</v>
      </c>
      <c r="J217" s="49">
        <f t="shared" si="42"/>
        <v>6.8567710775463834E-52</v>
      </c>
      <c r="K217" s="49">
        <f t="shared" si="42"/>
        <v>2.5837442857247977E-50</v>
      </c>
      <c r="L217" s="49">
        <f t="shared" si="43"/>
        <v>8.6678077856750082E-49</v>
      </c>
      <c r="M217" s="49">
        <f t="shared" si="43"/>
        <v>2.6146442992557326E-47</v>
      </c>
      <c r="N217" s="49">
        <f t="shared" si="43"/>
        <v>7.1500900747196067E-46</v>
      </c>
      <c r="O217" s="49">
        <f t="shared" si="43"/>
        <v>1.7847570869588605E-44</v>
      </c>
      <c r="P217" s="49">
        <f t="shared" si="43"/>
        <v>4.0901418245702809E-43</v>
      </c>
      <c r="Q217" s="49">
        <f t="shared" si="43"/>
        <v>8.6487838278192829E-42</v>
      </c>
      <c r="R217" s="49">
        <f t="shared" si="43"/>
        <v>1.694754138152577E-40</v>
      </c>
      <c r="S217" s="49">
        <f t="shared" si="43"/>
        <v>3.089120908306482E-39</v>
      </c>
      <c r="T217" s="49">
        <f t="shared" si="43"/>
        <v>5.2551540048665939E-38</v>
      </c>
      <c r="U217" s="49">
        <f t="shared" si="43"/>
        <v>8.3683507258418003E-37</v>
      </c>
      <c r="V217" s="49">
        <f t="shared" si="43"/>
        <v>1.2506636304769233E-35</v>
      </c>
      <c r="W217" s="47">
        <v>0.78600000000000003</v>
      </c>
    </row>
    <row r="218" spans="2:23" x14ac:dyDescent="0.25">
      <c r="B218" s="49">
        <f t="shared" si="42"/>
        <v>1.7270465373941666E-67</v>
      </c>
      <c r="C218" s="49">
        <f t="shared" si="42"/>
        <v>6.3254190891687613E-65</v>
      </c>
      <c r="D218" s="49">
        <f t="shared" si="42"/>
        <v>1.1468452674252506E-62</v>
      </c>
      <c r="E218" s="49">
        <f t="shared" si="42"/>
        <v>1.3722902445508108E-60</v>
      </c>
      <c r="F218" s="49">
        <f t="shared" si="42"/>
        <v>1.2190486671853652E-58</v>
      </c>
      <c r="G218" s="49">
        <f t="shared" si="42"/>
        <v>8.5745953311813655E-57</v>
      </c>
      <c r="H218" s="49">
        <f t="shared" si="42"/>
        <v>4.9740079210882136E-55</v>
      </c>
      <c r="I218" s="49">
        <f t="shared" si="42"/>
        <v>2.4472990206838347E-53</v>
      </c>
      <c r="J218" s="49">
        <f t="shared" si="42"/>
        <v>1.0424667506553377E-51</v>
      </c>
      <c r="K218" s="49">
        <f t="shared" si="42"/>
        <v>3.9050128372950718E-50</v>
      </c>
      <c r="L218" s="49">
        <f t="shared" si="43"/>
        <v>1.3023053884681675E-48</v>
      </c>
      <c r="M218" s="49">
        <f t="shared" si="43"/>
        <v>3.9052341084762242E-47</v>
      </c>
      <c r="N218" s="49">
        <f t="shared" si="43"/>
        <v>1.0616396755958484E-45</v>
      </c>
      <c r="O218" s="49">
        <f t="shared" si="43"/>
        <v>2.6343665257091835E-44</v>
      </c>
      <c r="P218" s="49">
        <f t="shared" si="43"/>
        <v>6.0016022275161374E-43</v>
      </c>
      <c r="Q218" s="49">
        <f t="shared" si="43"/>
        <v>1.2615833624352911E-41</v>
      </c>
      <c r="R218" s="49">
        <f t="shared" si="43"/>
        <v>2.4575366950953688E-40</v>
      </c>
      <c r="S218" s="49">
        <f t="shared" si="43"/>
        <v>4.4530846965845523E-39</v>
      </c>
      <c r="T218" s="49">
        <f t="shared" si="43"/>
        <v>7.5308603620947683E-38</v>
      </c>
      <c r="U218" s="49">
        <f t="shared" si="43"/>
        <v>1.1921543699779456E-36</v>
      </c>
      <c r="V218" s="49">
        <f t="shared" si="43"/>
        <v>1.7711975795019973E-35</v>
      </c>
      <c r="W218" s="47">
        <v>0.78500000000000003</v>
      </c>
    </row>
    <row r="219" spans="2:23" x14ac:dyDescent="0.25">
      <c r="B219" s="49">
        <f t="shared" si="42"/>
        <v>2.7470827996066116E-67</v>
      </c>
      <c r="C219" s="49">
        <f t="shared" si="42"/>
        <v>1.0002173734854753E-64</v>
      </c>
      <c r="D219" s="49">
        <f t="shared" si="42"/>
        <v>1.8027997235161944E-62</v>
      </c>
      <c r="E219" s="49">
        <f t="shared" si="42"/>
        <v>2.144501693351393E-60</v>
      </c>
      <c r="F219" s="49">
        <f t="shared" si="42"/>
        <v>1.8938231659282157E-58</v>
      </c>
      <c r="G219" s="49">
        <f t="shared" si="42"/>
        <v>1.3242506248120253E-56</v>
      </c>
      <c r="H219" s="49">
        <f t="shared" si="42"/>
        <v>7.6366241436183754E-55</v>
      </c>
      <c r="I219" s="49">
        <f t="shared" si="42"/>
        <v>3.7352579304842722E-53</v>
      </c>
      <c r="J219" s="49">
        <f t="shared" si="42"/>
        <v>1.5817382749402235E-51</v>
      </c>
      <c r="K219" s="49">
        <f t="shared" si="42"/>
        <v>5.890253337484486E-50</v>
      </c>
      <c r="L219" s="49">
        <f t="shared" si="43"/>
        <v>1.9528266663678272E-48</v>
      </c>
      <c r="M219" s="49">
        <f t="shared" si="43"/>
        <v>5.8215354960508588E-47</v>
      </c>
      <c r="N219" s="49">
        <f t="shared" si="43"/>
        <v>1.5732853916265296E-45</v>
      </c>
      <c r="O219" s="49">
        <f t="shared" si="43"/>
        <v>3.8810277761049433E-44</v>
      </c>
      <c r="P219" s="49">
        <f t="shared" si="43"/>
        <v>8.7897848160785846E-43</v>
      </c>
      <c r="Q219" s="49">
        <f t="shared" si="43"/>
        <v>1.8368250197225921E-41</v>
      </c>
      <c r="R219" s="49">
        <f t="shared" si="43"/>
        <v>3.5570745873053112E-40</v>
      </c>
      <c r="S219" s="49">
        <f t="shared" si="43"/>
        <v>6.4075999190085516E-39</v>
      </c>
      <c r="T219" s="49">
        <f t="shared" si="43"/>
        <v>1.0772608034319598E-37</v>
      </c>
      <c r="U219" s="49">
        <f t="shared" si="43"/>
        <v>1.6953171947153831E-36</v>
      </c>
      <c r="V219" s="49">
        <f t="shared" si="43"/>
        <v>2.5039640297869036E-35</v>
      </c>
      <c r="W219" s="47">
        <v>0.78400000000000003</v>
      </c>
    </row>
    <row r="220" spans="2:23" x14ac:dyDescent="0.25">
      <c r="B220" s="49">
        <f t="shared" si="42"/>
        <v>4.360218462689488E-67</v>
      </c>
      <c r="C220" s="49">
        <f t="shared" si="42"/>
        <v>1.5782540058639363E-64</v>
      </c>
      <c r="D220" s="49">
        <f t="shared" si="42"/>
        <v>2.8279790242594486E-62</v>
      </c>
      <c r="E220" s="49">
        <f t="shared" si="42"/>
        <v>3.3442711648058498E-60</v>
      </c>
      <c r="F220" s="49">
        <f t="shared" si="42"/>
        <v>2.9360341827152984E-58</v>
      </c>
      <c r="G220" s="49">
        <f t="shared" si="42"/>
        <v>2.0409796364351937E-56</v>
      </c>
      <c r="H220" s="49">
        <f t="shared" si="42"/>
        <v>1.1700836798972199E-54</v>
      </c>
      <c r="I220" s="49">
        <f t="shared" si="42"/>
        <v>5.6896211562346177E-53</v>
      </c>
      <c r="J220" s="49">
        <f t="shared" si="42"/>
        <v>2.3952169747626533E-51</v>
      </c>
      <c r="K220" s="49">
        <f t="shared" si="42"/>
        <v>8.867310995468321E-50</v>
      </c>
      <c r="L220" s="49">
        <f t="shared" si="43"/>
        <v>2.9226018059723627E-48</v>
      </c>
      <c r="M220" s="49">
        <f t="shared" si="43"/>
        <v>8.6614729409356511E-47</v>
      </c>
      <c r="N220" s="49">
        <f t="shared" si="43"/>
        <v>2.327074261612961E-45</v>
      </c>
      <c r="O220" s="49">
        <f t="shared" si="43"/>
        <v>5.7068742473187796E-44</v>
      </c>
      <c r="P220" s="49">
        <f t="shared" si="43"/>
        <v>1.2849283668010799E-42</v>
      </c>
      <c r="Q220" s="49">
        <f t="shared" si="43"/>
        <v>2.6694260731206839E-41</v>
      </c>
      <c r="R220" s="49">
        <f t="shared" si="43"/>
        <v>5.1391684350485484E-40</v>
      </c>
      <c r="S220" s="49">
        <f t="shared" si="43"/>
        <v>9.2033381870012124E-39</v>
      </c>
      <c r="T220" s="49">
        <f t="shared" si="43"/>
        <v>1.5382301780480761E-37</v>
      </c>
      <c r="U220" s="49">
        <f t="shared" si="43"/>
        <v>2.4065910125388259E-36</v>
      </c>
      <c r="V220" s="49">
        <f t="shared" si="43"/>
        <v>3.5337080107896057E-35</v>
      </c>
      <c r="W220" s="47">
        <v>0.78300000000000003</v>
      </c>
    </row>
    <row r="221" spans="2:23" x14ac:dyDescent="0.25">
      <c r="B221" s="49">
        <f t="shared" si="42"/>
        <v>6.9059289274840371E-67</v>
      </c>
      <c r="C221" s="49">
        <f t="shared" si="42"/>
        <v>2.4851081941391616E-64</v>
      </c>
      <c r="D221" s="49">
        <f t="shared" si="42"/>
        <v>4.4268960035818819E-62</v>
      </c>
      <c r="E221" s="49">
        <f t="shared" si="42"/>
        <v>5.204506442805269E-60</v>
      </c>
      <c r="F221" s="49">
        <f t="shared" si="42"/>
        <v>4.5424934246107749E-58</v>
      </c>
      <c r="G221" s="49">
        <f t="shared" si="42"/>
        <v>3.1392594905458946E-56</v>
      </c>
      <c r="H221" s="49">
        <f t="shared" si="42"/>
        <v>1.7892088174369864E-54</v>
      </c>
      <c r="I221" s="49">
        <f t="shared" si="42"/>
        <v>8.6493455715320227E-53</v>
      </c>
      <c r="J221" s="49">
        <f t="shared" si="42"/>
        <v>3.6199351331257079E-51</v>
      </c>
      <c r="K221" s="49">
        <f t="shared" si="42"/>
        <v>1.3323064877945861E-49</v>
      </c>
      <c r="L221" s="49">
        <f t="shared" si="43"/>
        <v>4.3655441259795264E-48</v>
      </c>
      <c r="M221" s="49">
        <f t="shared" si="43"/>
        <v>1.2862260056416602E-46</v>
      </c>
      <c r="N221" s="49">
        <f t="shared" si="43"/>
        <v>3.4355229496635802E-45</v>
      </c>
      <c r="O221" s="49">
        <f t="shared" si="43"/>
        <v>8.3760311398648964E-44</v>
      </c>
      <c r="P221" s="49">
        <f t="shared" si="43"/>
        <v>1.8748933568488239E-42</v>
      </c>
      <c r="Q221" s="49">
        <f t="shared" si="43"/>
        <v>3.8723405287447657E-41</v>
      </c>
      <c r="R221" s="49">
        <f t="shared" si="43"/>
        <v>7.4115120219555137E-40</v>
      </c>
      <c r="S221" s="49">
        <f t="shared" si="43"/>
        <v>1.3195261931472219E-38</v>
      </c>
      <c r="T221" s="49">
        <f t="shared" si="43"/>
        <v>2.1925676108535589E-37</v>
      </c>
      <c r="U221" s="49">
        <f t="shared" si="43"/>
        <v>3.4103061664360107E-36</v>
      </c>
      <c r="V221" s="49">
        <f t="shared" si="43"/>
        <v>4.9783055993491733E-35</v>
      </c>
      <c r="W221" s="47">
        <v>0.78200000000000003</v>
      </c>
    </row>
    <row r="222" spans="2:23" x14ac:dyDescent="0.25">
      <c r="B222" s="49">
        <f t="shared" si="42"/>
        <v>1.0914950271523622E-66</v>
      </c>
      <c r="C222" s="49">
        <f t="shared" si="42"/>
        <v>3.9048823864334256E-64</v>
      </c>
      <c r="D222" s="49">
        <f t="shared" si="42"/>
        <v>6.9155251417673325E-62</v>
      </c>
      <c r="E222" s="49">
        <f t="shared" si="42"/>
        <v>8.0829293044261314E-60</v>
      </c>
      <c r="F222" s="49">
        <f t="shared" si="42"/>
        <v>7.0136990353422429E-58</v>
      </c>
      <c r="G222" s="49">
        <f t="shared" si="42"/>
        <v>4.8188547379124018E-56</v>
      </c>
      <c r="H222" s="49">
        <f t="shared" si="42"/>
        <v>2.7304967822832833E-54</v>
      </c>
      <c r="I222" s="49">
        <f t="shared" si="42"/>
        <v>1.3122849171681901E-52</v>
      </c>
      <c r="J222" s="49">
        <f t="shared" si="42"/>
        <v>5.4602202749423189E-51</v>
      </c>
      <c r="K222" s="49">
        <f t="shared" si="42"/>
        <v>1.9979207245614963E-49</v>
      </c>
      <c r="L222" s="49">
        <f t="shared" si="43"/>
        <v>6.5084486602744528E-48</v>
      </c>
      <c r="M222" s="49">
        <f t="shared" si="43"/>
        <v>1.9064334423974507E-46</v>
      </c>
      <c r="N222" s="49">
        <f t="shared" si="43"/>
        <v>5.0624734218333738E-45</v>
      </c>
      <c r="O222" s="49">
        <f t="shared" si="43"/>
        <v>1.2270832223634148E-43</v>
      </c>
      <c r="P222" s="49">
        <f t="shared" si="43"/>
        <v>2.7307279964894146E-42</v>
      </c>
      <c r="Q222" s="49">
        <f t="shared" si="43"/>
        <v>5.6071460799049936E-41</v>
      </c>
      <c r="R222" s="49">
        <f t="shared" si="43"/>
        <v>1.0669447629302257E-39</v>
      </c>
      <c r="S222" s="49">
        <f t="shared" si="43"/>
        <v>1.888514276617241E-38</v>
      </c>
      <c r="T222" s="49">
        <f t="shared" si="43"/>
        <v>3.1197712680304733E-37</v>
      </c>
      <c r="U222" s="49">
        <f t="shared" si="43"/>
        <v>4.8242634391665392E-36</v>
      </c>
      <c r="V222" s="49">
        <f t="shared" si="43"/>
        <v>7.0014418143620494E-35</v>
      </c>
      <c r="W222" s="47">
        <v>0.78100000000000003</v>
      </c>
    </row>
    <row r="223" spans="2:23" x14ac:dyDescent="0.25">
      <c r="B223" s="49">
        <f t="shared" ref="B223:K232" si="44">_xlfn.HYPGEOM.DIST(B$2,comau,tongtheN*$W223,tongtheN,TRUE)</f>
        <v>1.7215337913402086E-66</v>
      </c>
      <c r="C223" s="49">
        <f t="shared" si="44"/>
        <v>6.1231248596446553E-64</v>
      </c>
      <c r="D223" s="49">
        <f t="shared" si="44"/>
        <v>1.0781070344864708E-61</v>
      </c>
      <c r="E223" s="49">
        <f t="shared" si="44"/>
        <v>1.2527870340689094E-59</v>
      </c>
      <c r="F223" s="49">
        <f t="shared" si="44"/>
        <v>1.0807557489887833E-57</v>
      </c>
      <c r="G223" s="49">
        <f t="shared" si="44"/>
        <v>7.3823806516725598E-56</v>
      </c>
      <c r="H223" s="49">
        <f t="shared" si="44"/>
        <v>4.158786837114908E-54</v>
      </c>
      <c r="I223" s="49">
        <f t="shared" si="44"/>
        <v>1.9871275761631098E-52</v>
      </c>
      <c r="J223" s="49">
        <f t="shared" si="44"/>
        <v>8.2201669167140112E-51</v>
      </c>
      <c r="K223" s="49">
        <f t="shared" si="44"/>
        <v>2.990348697785044E-49</v>
      </c>
      <c r="L223" s="49">
        <f t="shared" ref="L223:V232" si="45">_xlfn.HYPGEOM.DIST(L$2,comau,tongtheN*$W223,tongtheN,TRUE)</f>
        <v>9.6848841948188398E-48</v>
      </c>
      <c r="M223" s="49">
        <f t="shared" si="45"/>
        <v>2.8204099180720568E-46</v>
      </c>
      <c r="N223" s="49">
        <f t="shared" si="45"/>
        <v>7.446072484600271E-45</v>
      </c>
      <c r="O223" s="49">
        <f t="shared" si="45"/>
        <v>1.7943730292246829E-43</v>
      </c>
      <c r="P223" s="49">
        <f t="shared" si="45"/>
        <v>3.9700106809748868E-42</v>
      </c>
      <c r="Q223" s="49">
        <f t="shared" si="45"/>
        <v>8.1045693076029227E-41</v>
      </c>
      <c r="R223" s="49">
        <f t="shared" si="45"/>
        <v>1.5332224794056821E-39</v>
      </c>
      <c r="S223" s="49">
        <f t="shared" si="45"/>
        <v>2.6981061789576909E-38</v>
      </c>
      <c r="T223" s="49">
        <f t="shared" si="45"/>
        <v>4.4313638137690404E-37</v>
      </c>
      <c r="U223" s="49">
        <f t="shared" si="45"/>
        <v>6.8127419768167246E-36</v>
      </c>
      <c r="V223" s="49">
        <f t="shared" si="45"/>
        <v>9.8300354700530563E-35</v>
      </c>
      <c r="W223" s="47">
        <v>0.78</v>
      </c>
    </row>
    <row r="224" spans="2:23" x14ac:dyDescent="0.25">
      <c r="B224" s="49">
        <f t="shared" si="44"/>
        <v>2.7096406159495828E-66</v>
      </c>
      <c r="C224" s="49">
        <f t="shared" si="44"/>
        <v>9.5818398729504944E-64</v>
      </c>
      <c r="D224" s="49">
        <f t="shared" si="44"/>
        <v>1.6773261404879743E-61</v>
      </c>
      <c r="E224" s="49">
        <f t="shared" si="44"/>
        <v>1.9378177309026224E-59</v>
      </c>
      <c r="F224" s="49">
        <f t="shared" si="44"/>
        <v>1.6620476662119612E-57</v>
      </c>
      <c r="G224" s="49">
        <f t="shared" si="44"/>
        <v>1.1287371344743249E-55</v>
      </c>
      <c r="H224" s="49">
        <f t="shared" si="44"/>
        <v>6.321843185926464E-54</v>
      </c>
      <c r="I224" s="49">
        <f t="shared" si="44"/>
        <v>3.0031962868994881E-52</v>
      </c>
      <c r="J224" s="49">
        <f t="shared" si="44"/>
        <v>1.2351501452293051E-50</v>
      </c>
      <c r="K224" s="49">
        <f t="shared" si="44"/>
        <v>4.4672715199223194E-49</v>
      </c>
      <c r="L224" s="49">
        <f t="shared" si="45"/>
        <v>1.4384560819410736E-47</v>
      </c>
      <c r="M224" s="49">
        <f t="shared" si="45"/>
        <v>4.1648209665671112E-46</v>
      </c>
      <c r="N224" s="49">
        <f t="shared" si="45"/>
        <v>1.0931847758174084E-44</v>
      </c>
      <c r="O224" s="49">
        <f t="shared" si="45"/>
        <v>2.6191571326454365E-43</v>
      </c>
      <c r="P224" s="49">
        <f t="shared" si="45"/>
        <v>5.7613374061438476E-42</v>
      </c>
      <c r="Q224" s="49">
        <f t="shared" si="45"/>
        <v>1.1693505119515217E-40</v>
      </c>
      <c r="R224" s="49">
        <f t="shared" si="45"/>
        <v>2.1993959371286112E-39</v>
      </c>
      <c r="S224" s="49">
        <f t="shared" si="45"/>
        <v>3.8480534810751852E-38</v>
      </c>
      <c r="T224" s="49">
        <f t="shared" si="45"/>
        <v>6.2835295277291748E-37</v>
      </c>
      <c r="U224" s="49">
        <f t="shared" si="45"/>
        <v>9.604455982934907E-36</v>
      </c>
      <c r="V224" s="49">
        <f t="shared" si="45"/>
        <v>1.3778149579465226E-34</v>
      </c>
      <c r="W224" s="47">
        <v>0.77900000000000003</v>
      </c>
    </row>
    <row r="225" spans="2:23" x14ac:dyDescent="0.25">
      <c r="B225" s="49">
        <f t="shared" si="44"/>
        <v>4.256163406930695E-66</v>
      </c>
      <c r="C225" s="49">
        <f t="shared" si="44"/>
        <v>1.4963850539144798E-63</v>
      </c>
      <c r="D225" s="49">
        <f t="shared" si="44"/>
        <v>2.6043539783799159E-61</v>
      </c>
      <c r="E225" s="49">
        <f t="shared" si="44"/>
        <v>2.9914632004465928E-59</v>
      </c>
      <c r="F225" s="49">
        <f t="shared" si="44"/>
        <v>2.5509542070463028E-57</v>
      </c>
      <c r="G225" s="49">
        <f t="shared" si="44"/>
        <v>1.7224263589358127E-55</v>
      </c>
      <c r="H225" s="49">
        <f t="shared" si="44"/>
        <v>9.5913657678005794E-54</v>
      </c>
      <c r="I225" s="49">
        <f t="shared" si="44"/>
        <v>4.5301185580035489E-52</v>
      </c>
      <c r="J225" s="49">
        <f t="shared" si="44"/>
        <v>1.8524007984455486E-50</v>
      </c>
      <c r="K225" s="49">
        <f t="shared" si="44"/>
        <v>6.6611185286157436E-49</v>
      </c>
      <c r="L225" s="49">
        <f t="shared" si="45"/>
        <v>2.1325110281567376E-47</v>
      </c>
      <c r="M225" s="49">
        <f t="shared" si="45"/>
        <v>6.1387670695377119E-46</v>
      </c>
      <c r="N225" s="49">
        <f t="shared" si="45"/>
        <v>1.6020232497692176E-44</v>
      </c>
      <c r="O225" s="49">
        <f t="shared" si="45"/>
        <v>3.8161682295179124E-43</v>
      </c>
      <c r="P225" s="49">
        <f t="shared" si="45"/>
        <v>8.3460367762043322E-42</v>
      </c>
      <c r="Q225" s="49">
        <f t="shared" si="45"/>
        <v>1.6841975977766805E-40</v>
      </c>
      <c r="R225" s="49">
        <f t="shared" si="45"/>
        <v>3.1495132418881327E-39</v>
      </c>
      <c r="S225" s="49">
        <f t="shared" si="45"/>
        <v>5.4786449873978011E-38</v>
      </c>
      <c r="T225" s="49">
        <f t="shared" si="45"/>
        <v>8.8946349752609374E-37</v>
      </c>
      <c r="U225" s="49">
        <f t="shared" si="45"/>
        <v>1.3517302635255E-35</v>
      </c>
      <c r="V225" s="49">
        <f t="shared" si="45"/>
        <v>1.9279748547793292E-34</v>
      </c>
      <c r="W225" s="47">
        <v>0.77800000000000002</v>
      </c>
    </row>
    <row r="226" spans="2:23" x14ac:dyDescent="0.25">
      <c r="B226" s="49">
        <f t="shared" si="44"/>
        <v>6.6718050700634889E-66</v>
      </c>
      <c r="C226" s="49">
        <f t="shared" si="44"/>
        <v>2.3321924750216435E-63</v>
      </c>
      <c r="D226" s="49">
        <f t="shared" si="44"/>
        <v>4.0356844784334929E-61</v>
      </c>
      <c r="E226" s="49">
        <f t="shared" si="44"/>
        <v>4.6088993083862167E-59</v>
      </c>
      <c r="F226" s="49">
        <f t="shared" si="44"/>
        <v>3.9076241746250306E-57</v>
      </c>
      <c r="G226" s="49">
        <f t="shared" si="44"/>
        <v>2.6232976647798675E-55</v>
      </c>
      <c r="H226" s="49">
        <f t="shared" si="44"/>
        <v>1.4523937462772798E-53</v>
      </c>
      <c r="I226" s="49">
        <f t="shared" si="44"/>
        <v>6.8204138024243672E-52</v>
      </c>
      <c r="J226" s="49">
        <f t="shared" si="44"/>
        <v>2.7728960988901973E-50</v>
      </c>
      <c r="K226" s="49">
        <f t="shared" si="44"/>
        <v>9.9138771017891917E-49</v>
      </c>
      <c r="L226" s="49">
        <f t="shared" si="45"/>
        <v>3.1556268940135448E-47</v>
      </c>
      <c r="M226" s="49">
        <f t="shared" si="45"/>
        <v>9.0317890226600077E-46</v>
      </c>
      <c r="N226" s="49">
        <f t="shared" si="45"/>
        <v>2.3434732202149434E-44</v>
      </c>
      <c r="O226" s="49">
        <f t="shared" si="45"/>
        <v>5.550313829469839E-43</v>
      </c>
      <c r="P226" s="49">
        <f t="shared" si="45"/>
        <v>1.2068949788453265E-41</v>
      </c>
      <c r="Q226" s="49">
        <f t="shared" si="45"/>
        <v>2.4214846036382121E-40</v>
      </c>
      <c r="R226" s="49">
        <f t="shared" si="45"/>
        <v>4.5022740649454204E-39</v>
      </c>
      <c r="S226" s="49">
        <f t="shared" si="45"/>
        <v>7.7868502784658035E-38</v>
      </c>
      <c r="T226" s="49">
        <f t="shared" si="45"/>
        <v>1.2569480886830691E-36</v>
      </c>
      <c r="U226" s="49">
        <f t="shared" si="45"/>
        <v>1.8992414740564608E-35</v>
      </c>
      <c r="V226" s="49">
        <f t="shared" si="45"/>
        <v>2.6933504009945256E-34</v>
      </c>
      <c r="W226" s="47">
        <v>0.77700000000000002</v>
      </c>
    </row>
    <row r="227" spans="2:23" x14ac:dyDescent="0.25">
      <c r="B227" s="49">
        <f t="shared" si="44"/>
        <v>1.0437458224336711E-65</v>
      </c>
      <c r="C227" s="49">
        <f t="shared" si="44"/>
        <v>3.62760341536727E-63</v>
      </c>
      <c r="D227" s="49">
        <f t="shared" si="44"/>
        <v>6.2413253246396639E-61</v>
      </c>
      <c r="E227" s="49">
        <f t="shared" si="44"/>
        <v>7.0869805256843548E-59</v>
      </c>
      <c r="F227" s="49">
        <f t="shared" si="44"/>
        <v>5.9742228361763362E-57</v>
      </c>
      <c r="G227" s="49">
        <f t="shared" si="44"/>
        <v>3.98768668776589E-55</v>
      </c>
      <c r="H227" s="49">
        <f t="shared" si="44"/>
        <v>2.195143297369855E-53</v>
      </c>
      <c r="I227" s="49">
        <f t="shared" si="44"/>
        <v>1.0249307260684206E-51</v>
      </c>
      <c r="J227" s="49">
        <f t="shared" si="44"/>
        <v>4.1430760943886583E-50</v>
      </c>
      <c r="K227" s="49">
        <f t="shared" si="44"/>
        <v>1.4727825199931688E-48</v>
      </c>
      <c r="L227" s="49">
        <f t="shared" si="45"/>
        <v>4.6610823792494184E-47</v>
      </c>
      <c r="M227" s="49">
        <f t="shared" si="45"/>
        <v>1.326420507372357E-45</v>
      </c>
      <c r="N227" s="49">
        <f t="shared" si="45"/>
        <v>3.4219529812263176E-44</v>
      </c>
      <c r="O227" s="49">
        <f t="shared" si="45"/>
        <v>8.0582081294605377E-43</v>
      </c>
      <c r="P227" s="49">
        <f t="shared" si="45"/>
        <v>1.7421984761887707E-41</v>
      </c>
      <c r="Q227" s="49">
        <f t="shared" si="45"/>
        <v>3.4755008203830165E-40</v>
      </c>
      <c r="R227" s="49">
        <f t="shared" si="45"/>
        <v>6.4250348248286895E-39</v>
      </c>
      <c r="S227" s="49">
        <f t="shared" si="45"/>
        <v>1.1048761858162374E-37</v>
      </c>
      <c r="T227" s="49">
        <f t="shared" si="45"/>
        <v>1.7732817086321355E-36</v>
      </c>
      <c r="U227" s="49">
        <f t="shared" si="45"/>
        <v>2.6640941735734226E-35</v>
      </c>
      <c r="V227" s="49">
        <f t="shared" si="45"/>
        <v>3.7563984302099113E-34</v>
      </c>
      <c r="W227" s="47">
        <v>0.77600000000000002</v>
      </c>
    </row>
    <row r="228" spans="2:23" x14ac:dyDescent="0.25">
      <c r="B228" s="49">
        <f t="shared" si="44"/>
        <v>1.6295972445442109E-65</v>
      </c>
      <c r="C228" s="49">
        <f t="shared" si="44"/>
        <v>5.6314120239832962E-63</v>
      </c>
      <c r="D228" s="49">
        <f t="shared" si="44"/>
        <v>9.6335528766885092E-61</v>
      </c>
      <c r="E228" s="49">
        <f t="shared" si="44"/>
        <v>1.0876352338805639E-58</v>
      </c>
      <c r="F228" s="49">
        <f t="shared" si="44"/>
        <v>9.1162456230300243E-57</v>
      </c>
      <c r="G228" s="49">
        <f t="shared" si="44"/>
        <v>6.0501816887963323E-55</v>
      </c>
      <c r="H228" s="49">
        <f t="shared" si="44"/>
        <v>3.3114886954251748E-53</v>
      </c>
      <c r="I228" s="49">
        <f t="shared" si="44"/>
        <v>1.5373337441644615E-51</v>
      </c>
      <c r="J228" s="49">
        <f t="shared" si="44"/>
        <v>6.1788840606517814E-50</v>
      </c>
      <c r="K228" s="49">
        <f t="shared" si="44"/>
        <v>2.1839339512566322E-48</v>
      </c>
      <c r="L228" s="49">
        <f t="shared" si="45"/>
        <v>6.8722929422883539E-47</v>
      </c>
      <c r="M228" s="49">
        <f t="shared" si="45"/>
        <v>1.9445109537849149E-45</v>
      </c>
      <c r="N228" s="49">
        <f t="shared" si="45"/>
        <v>4.9879003918148699E-44</v>
      </c>
      <c r="O228" s="49">
        <f t="shared" si="45"/>
        <v>1.1678769358383986E-42</v>
      </c>
      <c r="P228" s="49">
        <f t="shared" si="45"/>
        <v>2.5105646589454315E-41</v>
      </c>
      <c r="Q228" s="49">
        <f t="shared" si="45"/>
        <v>4.9797401769924921E-40</v>
      </c>
      <c r="R228" s="49">
        <f t="shared" si="45"/>
        <v>9.1533616728068782E-39</v>
      </c>
      <c r="S228" s="49">
        <f t="shared" si="45"/>
        <v>1.5650742863674674E-37</v>
      </c>
      <c r="T228" s="49">
        <f t="shared" si="45"/>
        <v>2.4975584376176406E-36</v>
      </c>
      <c r="U228" s="49">
        <f t="shared" si="45"/>
        <v>3.7308214997859928E-35</v>
      </c>
      <c r="V228" s="49">
        <f t="shared" si="45"/>
        <v>5.2305087672773348E-34</v>
      </c>
      <c r="W228" s="47">
        <v>0.77500000000000002</v>
      </c>
    </row>
    <row r="229" spans="2:23" x14ac:dyDescent="0.25">
      <c r="B229" s="49">
        <f t="shared" si="44"/>
        <v>2.539262647615668E-65</v>
      </c>
      <c r="C229" s="49">
        <f t="shared" si="44"/>
        <v>8.7249811455352547E-63</v>
      </c>
      <c r="D229" s="49">
        <f t="shared" si="44"/>
        <v>1.4840677351172295E-60</v>
      </c>
      <c r="E229" s="49">
        <f t="shared" si="44"/>
        <v>1.6659837130477256E-58</v>
      </c>
      <c r="F229" s="49">
        <f t="shared" si="44"/>
        <v>1.3884298932547198E-56</v>
      </c>
      <c r="G229" s="49">
        <f t="shared" si="44"/>
        <v>9.1621421494744733E-55</v>
      </c>
      <c r="H229" s="49">
        <f t="shared" si="44"/>
        <v>4.9862354508645688E-53</v>
      </c>
      <c r="I229" s="49">
        <f t="shared" si="44"/>
        <v>2.3016474189333452E-51</v>
      </c>
      <c r="J229" s="49">
        <f t="shared" si="44"/>
        <v>9.1981832574304938E-50</v>
      </c>
      <c r="K229" s="49">
        <f t="shared" si="44"/>
        <v>3.2326087246839332E-48</v>
      </c>
      <c r="L229" s="49">
        <f t="shared" si="45"/>
        <v>1.0114331849163903E-46</v>
      </c>
      <c r="M229" s="49">
        <f t="shared" si="45"/>
        <v>2.8455623039391281E-45</v>
      </c>
      <c r="N229" s="49">
        <f t="shared" si="45"/>
        <v>7.2576819955039181E-44</v>
      </c>
      <c r="O229" s="49">
        <f t="shared" si="45"/>
        <v>1.689662647394612E-42</v>
      </c>
      <c r="P229" s="49">
        <f t="shared" si="45"/>
        <v>3.6115813800909491E-41</v>
      </c>
      <c r="Q229" s="49">
        <f t="shared" si="45"/>
        <v>7.122887395269249E-40</v>
      </c>
      <c r="R229" s="49">
        <f t="shared" si="45"/>
        <v>1.3018284609315173E-38</v>
      </c>
      <c r="S229" s="49">
        <f t="shared" si="45"/>
        <v>2.2132587955167153E-37</v>
      </c>
      <c r="T229" s="49">
        <f t="shared" si="45"/>
        <v>3.5118615083855939E-36</v>
      </c>
      <c r="U229" s="49">
        <f t="shared" si="45"/>
        <v>5.2161619600317536E-35</v>
      </c>
      <c r="V229" s="49">
        <f t="shared" si="45"/>
        <v>7.2713628923019878E-34</v>
      </c>
      <c r="W229" s="47">
        <v>0.77400000000000002</v>
      </c>
    </row>
    <row r="230" spans="2:23" x14ac:dyDescent="0.25">
      <c r="B230" s="49">
        <f t="shared" si="44"/>
        <v>3.948974754637E-65</v>
      </c>
      <c r="C230" s="49">
        <f t="shared" si="44"/>
        <v>1.3491768594856401E-62</v>
      </c>
      <c r="D230" s="49">
        <f t="shared" si="44"/>
        <v>2.2818440396800332E-60</v>
      </c>
      <c r="E230" s="49">
        <f t="shared" si="44"/>
        <v>2.5470122604611787E-58</v>
      </c>
      <c r="F230" s="49">
        <f t="shared" si="44"/>
        <v>2.1106319054493099E-56</v>
      </c>
      <c r="G230" s="49">
        <f t="shared" si="44"/>
        <v>1.3848860659961868E-54</v>
      </c>
      <c r="H230" s="49">
        <f t="shared" si="44"/>
        <v>7.494083113308023E-53</v>
      </c>
      <c r="I230" s="49">
        <f t="shared" si="44"/>
        <v>3.4396437011627842E-51</v>
      </c>
      <c r="J230" s="49">
        <f t="shared" si="44"/>
        <v>1.3668029359333553E-49</v>
      </c>
      <c r="K230" s="49">
        <f t="shared" si="44"/>
        <v>4.7762431122050462E-48</v>
      </c>
      <c r="L230" s="49">
        <f t="shared" si="45"/>
        <v>1.4859362808431964E-46</v>
      </c>
      <c r="M230" s="49">
        <f t="shared" si="45"/>
        <v>4.1568185591927901E-45</v>
      </c>
      <c r="N230" s="49">
        <f t="shared" si="45"/>
        <v>1.0541955414996959E-43</v>
      </c>
      <c r="O230" s="49">
        <f t="shared" si="45"/>
        <v>2.4403595390891385E-42</v>
      </c>
      <c r="P230" s="49">
        <f t="shared" si="45"/>
        <v>5.1865922333575795E-41</v>
      </c>
      <c r="Q230" s="49">
        <f t="shared" si="45"/>
        <v>1.0171195361667307E-39</v>
      </c>
      <c r="R230" s="49">
        <f t="shared" si="45"/>
        <v>1.8484224787495316E-38</v>
      </c>
      <c r="S230" s="49">
        <f t="shared" si="45"/>
        <v>3.1247235540811842E-37</v>
      </c>
      <c r="T230" s="49">
        <f t="shared" si="45"/>
        <v>4.9300245777963293E-36</v>
      </c>
      <c r="U230" s="49">
        <f t="shared" si="45"/>
        <v>7.2810743938251621E-35</v>
      </c>
      <c r="V230" s="49">
        <f t="shared" si="45"/>
        <v>1.0092373944142395E-33</v>
      </c>
      <c r="W230" s="47">
        <v>0.77300000000000002</v>
      </c>
    </row>
    <row r="231" spans="2:23" x14ac:dyDescent="0.25">
      <c r="B231" s="49">
        <f t="shared" si="44"/>
        <v>6.1293999456824069E-65</v>
      </c>
      <c r="C231" s="49">
        <f t="shared" si="44"/>
        <v>2.0822739514026102E-62</v>
      </c>
      <c r="D231" s="49">
        <f t="shared" si="44"/>
        <v>3.5017933612314377E-60</v>
      </c>
      <c r="E231" s="49">
        <f t="shared" si="44"/>
        <v>3.8866136352771113E-58</v>
      </c>
      <c r="F231" s="49">
        <f t="shared" si="44"/>
        <v>3.2024976574075328E-56</v>
      </c>
      <c r="G231" s="49">
        <f t="shared" si="44"/>
        <v>2.0894239733864446E-54</v>
      </c>
      <c r="H231" s="49">
        <f t="shared" si="44"/>
        <v>1.1242618297619786E-52</v>
      </c>
      <c r="I231" s="49">
        <f t="shared" si="44"/>
        <v>5.1309654226858324E-51</v>
      </c>
      <c r="J231" s="49">
        <f t="shared" si="44"/>
        <v>2.0273486770159938E-49</v>
      </c>
      <c r="K231" s="49">
        <f t="shared" si="44"/>
        <v>7.044434584297065E-48</v>
      </c>
      <c r="L231" s="49">
        <f t="shared" si="45"/>
        <v>2.1792012572402317E-46</v>
      </c>
      <c r="M231" s="49">
        <f t="shared" si="45"/>
        <v>6.0617209355780211E-45</v>
      </c>
      <c r="N231" s="49">
        <f t="shared" si="45"/>
        <v>1.5286006926251102E-43</v>
      </c>
      <c r="O231" s="49">
        <f t="shared" si="45"/>
        <v>3.5185603330581374E-42</v>
      </c>
      <c r="P231" s="49">
        <f t="shared" si="45"/>
        <v>7.4358722187946048E-41</v>
      </c>
      <c r="Q231" s="49">
        <f t="shared" si="45"/>
        <v>1.4499758399545401E-39</v>
      </c>
      <c r="R231" s="49">
        <f t="shared" si="45"/>
        <v>2.6201690641278672E-38</v>
      </c>
      <c r="S231" s="49">
        <f t="shared" si="45"/>
        <v>4.4043248163390687E-37</v>
      </c>
      <c r="T231" s="49">
        <f t="shared" si="45"/>
        <v>6.9096630495848323E-36</v>
      </c>
      <c r="U231" s="49">
        <f t="shared" si="45"/>
        <v>1.0147141054753778E-34</v>
      </c>
      <c r="V231" s="49">
        <f t="shared" si="45"/>
        <v>1.3985642562116636E-33</v>
      </c>
      <c r="W231" s="47">
        <v>0.77200000000000002</v>
      </c>
    </row>
    <row r="232" spans="2:23" x14ac:dyDescent="0.25">
      <c r="B232" s="49">
        <f t="shared" si="44"/>
        <v>9.4954557393521079E-65</v>
      </c>
      <c r="C232" s="49">
        <f t="shared" si="44"/>
        <v>3.2075892559252098E-62</v>
      </c>
      <c r="D232" s="49">
        <f t="shared" si="44"/>
        <v>5.3638253046124792E-60</v>
      </c>
      <c r="E232" s="49">
        <f t="shared" si="44"/>
        <v>5.9196892422751044E-58</v>
      </c>
      <c r="F232" s="49">
        <f t="shared" si="44"/>
        <v>4.8502039343380292E-56</v>
      </c>
      <c r="G232" s="49">
        <f t="shared" si="44"/>
        <v>3.146600529800942E-54</v>
      </c>
      <c r="H232" s="49">
        <f t="shared" si="44"/>
        <v>1.6835522182159126E-52</v>
      </c>
      <c r="I232" s="49">
        <f t="shared" si="44"/>
        <v>7.6401614765578883E-51</v>
      </c>
      <c r="J232" s="49">
        <f t="shared" si="44"/>
        <v>3.0017634740587012E-49</v>
      </c>
      <c r="K232" s="49">
        <f t="shared" si="44"/>
        <v>1.0371438334038653E-47</v>
      </c>
      <c r="L232" s="49">
        <f t="shared" si="45"/>
        <v>3.1903276348760357E-46</v>
      </c>
      <c r="M232" s="49">
        <f t="shared" si="45"/>
        <v>8.8242795758221848E-45</v>
      </c>
      <c r="N232" s="49">
        <f t="shared" si="45"/>
        <v>2.212702565086587E-43</v>
      </c>
      <c r="O232" s="49">
        <f t="shared" si="45"/>
        <v>5.0645394777785376E-42</v>
      </c>
      <c r="P232" s="49">
        <f t="shared" si="45"/>
        <v>1.0642732969613714E-40</v>
      </c>
      <c r="Q232" s="49">
        <f t="shared" si="45"/>
        <v>2.0636148054589134E-39</v>
      </c>
      <c r="R232" s="49">
        <f t="shared" si="45"/>
        <v>3.7080378038877368E-38</v>
      </c>
      <c r="S232" s="49">
        <f t="shared" si="45"/>
        <v>6.1978564378489582E-37</v>
      </c>
      <c r="T232" s="49">
        <f t="shared" si="45"/>
        <v>9.6686704169242655E-36</v>
      </c>
      <c r="U232" s="49">
        <f t="shared" si="45"/>
        <v>1.4118927215695502E-34</v>
      </c>
      <c r="V232" s="49">
        <f t="shared" si="45"/>
        <v>1.9350356082289873E-33</v>
      </c>
      <c r="W232" s="47">
        <v>0.77100000000000002</v>
      </c>
    </row>
    <row r="233" spans="2:23" x14ac:dyDescent="0.25">
      <c r="B233" s="49">
        <f t="shared" ref="B233:K242" si="46">_xlfn.HYPGEOM.DIST(B$2,comau,tongtheN*$W233,tongtheN,TRUE)</f>
        <v>1.4681999425078393E-64</v>
      </c>
      <c r="C233" s="49">
        <f t="shared" si="46"/>
        <v>4.9317237893326829E-62</v>
      </c>
      <c r="D233" s="49">
        <f t="shared" si="46"/>
        <v>8.2005960975323233E-60</v>
      </c>
      <c r="E233" s="49">
        <f t="shared" si="46"/>
        <v>8.999548305535944E-58</v>
      </c>
      <c r="F233" s="49">
        <f t="shared" si="46"/>
        <v>7.3321783641794872E-56</v>
      </c>
      <c r="G233" s="49">
        <f t="shared" si="46"/>
        <v>4.7300536970829143E-54</v>
      </c>
      <c r="H233" s="49">
        <f t="shared" si="46"/>
        <v>2.5165335089141766E-52</v>
      </c>
      <c r="I233" s="49">
        <f t="shared" si="46"/>
        <v>1.1356135573613304E-50</v>
      </c>
      <c r="J233" s="49">
        <f t="shared" si="46"/>
        <v>4.4366651500489084E-49</v>
      </c>
      <c r="K233" s="49">
        <f t="shared" si="46"/>
        <v>1.5243039800421728E-47</v>
      </c>
      <c r="L233" s="49">
        <f t="shared" ref="L233:V242" si="47">_xlfn.HYPGEOM.DIST(L$2,comau,tongtheN*$W233,tongtheN,TRUE)</f>
        <v>4.6625184072981966E-46</v>
      </c>
      <c r="M233" s="49">
        <f t="shared" si="47"/>
        <v>1.2823822341021851E-44</v>
      </c>
      <c r="N233" s="49">
        <f t="shared" si="47"/>
        <v>3.1975292461532423E-43</v>
      </c>
      <c r="O233" s="49">
        <f t="shared" si="47"/>
        <v>7.2775467684934045E-42</v>
      </c>
      <c r="P233" s="49">
        <f t="shared" si="47"/>
        <v>1.5207299086050187E-40</v>
      </c>
      <c r="Q233" s="49">
        <f t="shared" si="47"/>
        <v>2.9321201879109073E-39</v>
      </c>
      <c r="R233" s="49">
        <f t="shared" si="47"/>
        <v>5.2390415986307673E-38</v>
      </c>
      <c r="S233" s="49">
        <f t="shared" si="47"/>
        <v>8.7077135167237066E-37</v>
      </c>
      <c r="T233" s="49">
        <f t="shared" si="47"/>
        <v>1.3507801996069892E-35</v>
      </c>
      <c r="U233" s="49">
        <f t="shared" si="47"/>
        <v>1.9614414122824924E-34</v>
      </c>
      <c r="V233" s="49">
        <f t="shared" si="47"/>
        <v>2.673121724616077E-33</v>
      </c>
      <c r="W233" s="47">
        <v>0.77</v>
      </c>
    </row>
    <row r="234" spans="2:23" x14ac:dyDescent="0.25">
      <c r="B234" s="49">
        <f t="shared" si="46"/>
        <v>2.2658612733054253E-64</v>
      </c>
      <c r="C234" s="49">
        <f t="shared" si="46"/>
        <v>7.5684155136691214E-62</v>
      </c>
      <c r="D234" s="49">
        <f t="shared" si="46"/>
        <v>1.2514397613001523E-59</v>
      </c>
      <c r="E234" s="49">
        <f t="shared" si="46"/>
        <v>1.3656636481878175E-57</v>
      </c>
      <c r="F234" s="49">
        <f t="shared" si="46"/>
        <v>1.1064066571538711E-55</v>
      </c>
      <c r="G234" s="49">
        <f t="shared" si="46"/>
        <v>7.0975224192241498E-54</v>
      </c>
      <c r="H234" s="49">
        <f t="shared" si="46"/>
        <v>3.7549364582463385E-52</v>
      </c>
      <c r="I234" s="49">
        <f t="shared" si="46"/>
        <v>1.684961005798154E-50</v>
      </c>
      <c r="J234" s="49">
        <f t="shared" si="46"/>
        <v>6.5459939330498636E-49</v>
      </c>
      <c r="K234" s="49">
        <f t="shared" si="46"/>
        <v>2.2364049711631866E-47</v>
      </c>
      <c r="L234" s="49">
        <f t="shared" si="47"/>
        <v>6.8023600256488684E-46</v>
      </c>
      <c r="M234" s="49">
        <f t="shared" si="47"/>
        <v>1.8604457817062571E-44</v>
      </c>
      <c r="N234" s="49">
        <f t="shared" si="47"/>
        <v>4.612908236288605E-43</v>
      </c>
      <c r="O234" s="49">
        <f t="shared" si="47"/>
        <v>1.0440141056582162E-41</v>
      </c>
      <c r="P234" s="49">
        <f t="shared" si="47"/>
        <v>2.1693760483443545E-40</v>
      </c>
      <c r="Q234" s="49">
        <f t="shared" si="47"/>
        <v>4.1593574907868206E-39</v>
      </c>
      <c r="R234" s="49">
        <f t="shared" si="47"/>
        <v>7.3902376756405967E-38</v>
      </c>
      <c r="S234" s="49">
        <f t="shared" si="47"/>
        <v>1.2214428087889388E-36</v>
      </c>
      <c r="T234" s="49">
        <f t="shared" si="47"/>
        <v>1.8841545397829956E-35</v>
      </c>
      <c r="U234" s="49">
        <f t="shared" si="47"/>
        <v>2.7206358084873872E-34</v>
      </c>
      <c r="V234" s="49">
        <f t="shared" si="47"/>
        <v>3.6870367207753164E-33</v>
      </c>
      <c r="W234" s="47">
        <v>0.76900000000000002</v>
      </c>
    </row>
    <row r="235" spans="2:23" x14ac:dyDescent="0.25">
      <c r="B235" s="49">
        <f t="shared" si="46"/>
        <v>3.4903361270458485E-64</v>
      </c>
      <c r="C235" s="49">
        <f t="shared" si="46"/>
        <v>1.1593229686671742E-61</v>
      </c>
      <c r="D235" s="49">
        <f t="shared" si="46"/>
        <v>1.9062293737554001E-59</v>
      </c>
      <c r="E235" s="49">
        <f t="shared" si="46"/>
        <v>2.0685922706324774E-57</v>
      </c>
      <c r="F235" s="49">
        <f t="shared" si="46"/>
        <v>1.666525955344152E-55</v>
      </c>
      <c r="G235" s="49">
        <f t="shared" si="46"/>
        <v>1.0630910205639603E-53</v>
      </c>
      <c r="H235" s="49">
        <f t="shared" si="46"/>
        <v>5.5928461737062595E-52</v>
      </c>
      <c r="I235" s="49">
        <f t="shared" si="46"/>
        <v>2.495668988385438E-50</v>
      </c>
      <c r="J235" s="49">
        <f t="shared" si="46"/>
        <v>9.641393785746285E-49</v>
      </c>
      <c r="K235" s="49">
        <f t="shared" si="46"/>
        <v>3.2755333588409351E-47</v>
      </c>
      <c r="L235" s="49">
        <f t="shared" si="47"/>
        <v>9.9073799326152536E-46</v>
      </c>
      <c r="M235" s="49">
        <f t="shared" si="47"/>
        <v>2.6945368715246341E-44</v>
      </c>
      <c r="N235" s="49">
        <f t="shared" si="47"/>
        <v>6.6437018131990565E-43</v>
      </c>
      <c r="O235" s="49">
        <f t="shared" si="47"/>
        <v>1.495237550169538E-41</v>
      </c>
      <c r="P235" s="49">
        <f t="shared" si="47"/>
        <v>3.0896373277888503E-40</v>
      </c>
      <c r="Q235" s="49">
        <f t="shared" si="47"/>
        <v>5.8907159585803223E-39</v>
      </c>
      <c r="R235" s="49">
        <f t="shared" si="47"/>
        <v>1.0408059401676828E-37</v>
      </c>
      <c r="S235" s="49">
        <f t="shared" si="47"/>
        <v>1.7106233087992304E-36</v>
      </c>
      <c r="T235" s="49">
        <f t="shared" si="47"/>
        <v>2.6240254829725041E-35</v>
      </c>
      <c r="U235" s="49">
        <f t="shared" si="47"/>
        <v>3.7678414678900931E-34</v>
      </c>
      <c r="V235" s="49">
        <f t="shared" si="47"/>
        <v>5.0777438029678593E-33</v>
      </c>
      <c r="W235" s="47">
        <v>0.76800000000000002</v>
      </c>
    </row>
    <row r="236" spans="2:23" x14ac:dyDescent="0.25">
      <c r="B236" s="49">
        <f t="shared" si="46"/>
        <v>5.3665356012188887E-64</v>
      </c>
      <c r="C236" s="49">
        <f t="shared" si="46"/>
        <v>1.7725728666561989E-61</v>
      </c>
      <c r="D236" s="49">
        <f t="shared" si="46"/>
        <v>2.8983305016158264E-59</v>
      </c>
      <c r="E236" s="49">
        <f t="shared" si="46"/>
        <v>3.1276701579618311E-57</v>
      </c>
      <c r="F236" s="49">
        <f t="shared" si="46"/>
        <v>2.5057148320616353E-55</v>
      </c>
      <c r="G236" s="49">
        <f t="shared" si="46"/>
        <v>1.5895117657630778E-53</v>
      </c>
      <c r="H236" s="49">
        <f t="shared" si="46"/>
        <v>8.3157253736712773E-52</v>
      </c>
      <c r="I236" s="49">
        <f t="shared" si="46"/>
        <v>3.6900177354008918E-50</v>
      </c>
      <c r="J236" s="49">
        <f t="shared" si="46"/>
        <v>1.4176066775030333E-48</v>
      </c>
      <c r="K236" s="49">
        <f t="shared" si="46"/>
        <v>4.7893069789935713E-47</v>
      </c>
      <c r="L236" s="49">
        <f t="shared" si="47"/>
        <v>1.4405371309060845E-45</v>
      </c>
      <c r="M236" s="49">
        <f t="shared" si="47"/>
        <v>3.8960546936005738E-44</v>
      </c>
      <c r="N236" s="49">
        <f t="shared" si="47"/>
        <v>9.5527105212031713E-43</v>
      </c>
      <c r="O236" s="49">
        <f t="shared" si="47"/>
        <v>2.1379746975935237E-41</v>
      </c>
      <c r="P236" s="49">
        <f t="shared" si="47"/>
        <v>4.3931504196806382E-40</v>
      </c>
      <c r="Q236" s="49">
        <f t="shared" si="47"/>
        <v>8.329389950250622E-39</v>
      </c>
      <c r="R236" s="49">
        <f t="shared" si="47"/>
        <v>1.4634967781594479E-37</v>
      </c>
      <c r="S236" s="49">
        <f t="shared" si="47"/>
        <v>2.3919586113494748E-36</v>
      </c>
      <c r="T236" s="49">
        <f t="shared" si="47"/>
        <v>3.6487573170659816E-35</v>
      </c>
      <c r="U236" s="49">
        <f t="shared" si="47"/>
        <v>5.2101186657333695E-34</v>
      </c>
      <c r="V236" s="49">
        <f t="shared" si="47"/>
        <v>6.982392670914155E-33</v>
      </c>
      <c r="W236" s="47">
        <v>0.76700000000000002</v>
      </c>
    </row>
    <row r="237" spans="2:23" x14ac:dyDescent="0.25">
      <c r="B237" s="49">
        <f t="shared" si="46"/>
        <v>8.2360792831974242E-64</v>
      </c>
      <c r="C237" s="49">
        <f t="shared" si="46"/>
        <v>2.7052710300368891E-61</v>
      </c>
      <c r="D237" s="49">
        <f t="shared" si="46"/>
        <v>4.3988076521974166E-59</v>
      </c>
      <c r="E237" s="49">
        <f t="shared" si="46"/>
        <v>4.7205064739032216E-57</v>
      </c>
      <c r="F237" s="49">
        <f t="shared" si="46"/>
        <v>3.7607987709901573E-55</v>
      </c>
      <c r="G237" s="49">
        <f t="shared" si="46"/>
        <v>2.3724289999432227E-53</v>
      </c>
      <c r="H237" s="49">
        <f t="shared" si="46"/>
        <v>1.2342719865947129E-51</v>
      </c>
      <c r="I237" s="49">
        <f t="shared" si="46"/>
        <v>5.4465398527729222E-50</v>
      </c>
      <c r="J237" s="49">
        <f t="shared" si="46"/>
        <v>2.080797092664217E-48</v>
      </c>
      <c r="K237" s="49">
        <f t="shared" si="46"/>
        <v>6.9908288353445154E-47</v>
      </c>
      <c r="L237" s="49">
        <f t="shared" si="47"/>
        <v>2.0910419053507557E-45</v>
      </c>
      <c r="M237" s="49">
        <f t="shared" si="47"/>
        <v>5.6240075429866556E-44</v>
      </c>
      <c r="N237" s="49">
        <f t="shared" si="47"/>
        <v>1.3712932384274419E-42</v>
      </c>
      <c r="O237" s="49">
        <f t="shared" si="47"/>
        <v>3.0520346278220153E-41</v>
      </c>
      <c r="P237" s="49">
        <f t="shared" si="47"/>
        <v>6.2365796362806357E-40</v>
      </c>
      <c r="Q237" s="49">
        <f t="shared" si="47"/>
        <v>1.1758920009702213E-38</v>
      </c>
      <c r="R237" s="49">
        <f t="shared" si="47"/>
        <v>2.0546138458348984E-37</v>
      </c>
      <c r="S237" s="49">
        <f t="shared" si="47"/>
        <v>3.3394632693644794E-36</v>
      </c>
      <c r="T237" s="49">
        <f t="shared" si="47"/>
        <v>5.0658572782997126E-35</v>
      </c>
      <c r="U237" s="49">
        <f t="shared" si="47"/>
        <v>7.1935117344111079E-34</v>
      </c>
      <c r="V237" s="49">
        <f t="shared" si="47"/>
        <v>9.5870150738771336E-33</v>
      </c>
      <c r="W237" s="47">
        <v>0.76600000000000001</v>
      </c>
    </row>
    <row r="238" spans="2:23" x14ac:dyDescent="0.25">
      <c r="B238" s="49">
        <f t="shared" si="46"/>
        <v>1.2616927005388769E-63</v>
      </c>
      <c r="C238" s="49">
        <f t="shared" si="46"/>
        <v>4.1212717352350621E-61</v>
      </c>
      <c r="D238" s="49">
        <f t="shared" si="46"/>
        <v>6.6641235077102412E-59</v>
      </c>
      <c r="E238" s="49">
        <f t="shared" si="46"/>
        <v>7.1118807708185509E-57</v>
      </c>
      <c r="F238" s="49">
        <f t="shared" si="46"/>
        <v>5.6346116060980952E-55</v>
      </c>
      <c r="G238" s="49">
        <f t="shared" si="46"/>
        <v>3.5348041565731167E-53</v>
      </c>
      <c r="H238" s="49">
        <f t="shared" si="46"/>
        <v>1.8288221868806751E-51</v>
      </c>
      <c r="I238" s="49">
        <f t="shared" si="46"/>
        <v>8.0254614800403644E-50</v>
      </c>
      <c r="J238" s="49">
        <f t="shared" si="46"/>
        <v>3.0490744795238509E-48</v>
      </c>
      <c r="K238" s="49">
        <f t="shared" si="46"/>
        <v>1.0187232179363636E-46</v>
      </c>
      <c r="L238" s="49">
        <f t="shared" si="47"/>
        <v>3.0302592175713112E-45</v>
      </c>
      <c r="M238" s="49">
        <f t="shared" si="47"/>
        <v>8.1049946856238659E-44</v>
      </c>
      <c r="N238" s="49">
        <f t="shared" si="47"/>
        <v>1.9652928247105539E-42</v>
      </c>
      <c r="O238" s="49">
        <f t="shared" si="47"/>
        <v>4.3498751969936938E-41</v>
      </c>
      <c r="P238" s="49">
        <f t="shared" si="47"/>
        <v>8.8394357702557693E-40</v>
      </c>
      <c r="Q238" s="49">
        <f t="shared" si="47"/>
        <v>1.6574352897310848E-38</v>
      </c>
      <c r="R238" s="49">
        <f t="shared" si="47"/>
        <v>2.8799887163471867E-37</v>
      </c>
      <c r="S238" s="49">
        <f t="shared" si="47"/>
        <v>4.6551003890662275E-36</v>
      </c>
      <c r="T238" s="49">
        <f t="shared" si="47"/>
        <v>7.0225934429646669E-35</v>
      </c>
      <c r="U238" s="49">
        <f t="shared" si="47"/>
        <v>9.9169503887893026E-34</v>
      </c>
      <c r="V238" s="49">
        <f t="shared" si="47"/>
        <v>1.3143578822875976E-32</v>
      </c>
      <c r="W238" s="47">
        <v>0.76500000000000001</v>
      </c>
    </row>
    <row r="239" spans="2:23" x14ac:dyDescent="0.25">
      <c r="B239" s="49">
        <f t="shared" si="46"/>
        <v>1.9293009130006805E-63</v>
      </c>
      <c r="C239" s="49">
        <f t="shared" si="46"/>
        <v>6.2671800778408427E-61</v>
      </c>
      <c r="D239" s="49">
        <f t="shared" si="46"/>
        <v>1.0078100958007444E-58</v>
      </c>
      <c r="E239" s="49">
        <f t="shared" si="46"/>
        <v>1.0695844657886466E-56</v>
      </c>
      <c r="F239" s="49">
        <f t="shared" si="46"/>
        <v>8.4273256001244111E-55</v>
      </c>
      <c r="G239" s="49">
        <f t="shared" si="46"/>
        <v>5.257587857937462E-53</v>
      </c>
      <c r="H239" s="49">
        <f t="shared" si="46"/>
        <v>2.7051309359654541E-51</v>
      </c>
      <c r="I239" s="49">
        <f t="shared" si="46"/>
        <v>1.1805454035180572E-49</v>
      </c>
      <c r="J239" s="49">
        <f t="shared" si="46"/>
        <v>4.4604311214231141E-48</v>
      </c>
      <c r="K239" s="49">
        <f t="shared" si="46"/>
        <v>1.4820450227707723E-46</v>
      </c>
      <c r="L239" s="49">
        <f t="shared" si="47"/>
        <v>4.3841119718954029E-45</v>
      </c>
      <c r="M239" s="49">
        <f t="shared" si="47"/>
        <v>1.1661422820848281E-43</v>
      </c>
      <c r="N239" s="49">
        <f t="shared" si="47"/>
        <v>2.8120518721631338E-42</v>
      </c>
      <c r="O239" s="49">
        <f t="shared" si="47"/>
        <v>6.1897116854882581E-41</v>
      </c>
      <c r="P239" s="49">
        <f t="shared" si="47"/>
        <v>1.2508811843323145E-39</v>
      </c>
      <c r="Q239" s="49">
        <f t="shared" si="47"/>
        <v>2.3325251308752427E-38</v>
      </c>
      <c r="R239" s="49">
        <f t="shared" si="47"/>
        <v>4.0306875093300472E-37</v>
      </c>
      <c r="S239" s="49">
        <f t="shared" si="47"/>
        <v>6.4791250691583585E-36</v>
      </c>
      <c r="T239" s="49">
        <f t="shared" si="47"/>
        <v>9.7204014531443377E-35</v>
      </c>
      <c r="U239" s="49">
        <f t="shared" si="47"/>
        <v>1.3651003928821005E-33</v>
      </c>
      <c r="V239" s="49">
        <f t="shared" si="47"/>
        <v>1.7992863899681158E-32</v>
      </c>
      <c r="W239" s="47">
        <v>0.76400000000000001</v>
      </c>
    </row>
    <row r="240" spans="2:23" x14ac:dyDescent="0.25">
      <c r="B240" s="49">
        <f t="shared" si="46"/>
        <v>2.944871239801712E-63</v>
      </c>
      <c r="C240" s="49">
        <f t="shared" si="46"/>
        <v>9.5134959270137419E-61</v>
      </c>
      <c r="D240" s="49">
        <f t="shared" si="46"/>
        <v>1.5214177920977372E-58</v>
      </c>
      <c r="E240" s="49">
        <f t="shared" si="46"/>
        <v>1.6057831820820088E-56</v>
      </c>
      <c r="F240" s="49">
        <f t="shared" si="46"/>
        <v>1.258241025029243E-54</v>
      </c>
      <c r="G240" s="49">
        <f t="shared" si="46"/>
        <v>7.8066207430833588E-53</v>
      </c>
      <c r="H240" s="49">
        <f t="shared" si="46"/>
        <v>3.9945470708467237E-51</v>
      </c>
      <c r="I240" s="49">
        <f t="shared" si="46"/>
        <v>1.7336638791687731E-49</v>
      </c>
      <c r="J240" s="49">
        <f t="shared" si="46"/>
        <v>6.5142174563196302E-48</v>
      </c>
      <c r="K240" s="49">
        <f t="shared" si="46"/>
        <v>2.1525353162613043E-46</v>
      </c>
      <c r="L240" s="49">
        <f t="shared" si="47"/>
        <v>6.3324865531183687E-45</v>
      </c>
      <c r="M240" s="49">
        <f t="shared" si="47"/>
        <v>1.6751288548032432E-43</v>
      </c>
      <c r="N240" s="49">
        <f t="shared" si="47"/>
        <v>4.0172082390383375E-42</v>
      </c>
      <c r="O240" s="49">
        <f t="shared" si="47"/>
        <v>8.7937900332410728E-41</v>
      </c>
      <c r="P240" s="49">
        <f t="shared" si="47"/>
        <v>1.7673668917989531E-39</v>
      </c>
      <c r="Q240" s="49">
        <f t="shared" si="47"/>
        <v>3.2774970862032821E-38</v>
      </c>
      <c r="R240" s="49">
        <f t="shared" si="47"/>
        <v>5.6324948071471015E-37</v>
      </c>
      <c r="S240" s="49">
        <f t="shared" si="47"/>
        <v>9.0041785648072472E-36</v>
      </c>
      <c r="T240" s="49">
        <f t="shared" si="47"/>
        <v>1.3434403812129113E-34</v>
      </c>
      <c r="U240" s="49">
        <f t="shared" si="47"/>
        <v>1.87631462712065E-33</v>
      </c>
      <c r="V240" s="49">
        <f t="shared" si="47"/>
        <v>2.4595104912991733E-32</v>
      </c>
      <c r="W240" s="47">
        <v>0.76300000000000001</v>
      </c>
    </row>
    <row r="241" spans="2:23" x14ac:dyDescent="0.25">
      <c r="B241" s="49">
        <f t="shared" si="46"/>
        <v>4.4870321660834185E-63</v>
      </c>
      <c r="C241" s="49">
        <f t="shared" si="46"/>
        <v>1.44158960366905E-60</v>
      </c>
      <c r="D241" s="49">
        <f t="shared" si="46"/>
        <v>2.2927612364143727E-58</v>
      </c>
      <c r="E241" s="49">
        <f t="shared" si="46"/>
        <v>2.4066131709508891E-56</v>
      </c>
      <c r="F241" s="49">
        <f t="shared" si="46"/>
        <v>1.8753938504136888E-54</v>
      </c>
      <c r="G241" s="49">
        <f t="shared" si="46"/>
        <v>1.1571807921461109E-52</v>
      </c>
      <c r="H241" s="49">
        <f t="shared" si="46"/>
        <v>5.8886453947769477E-51</v>
      </c>
      <c r="I241" s="49">
        <f t="shared" si="46"/>
        <v>2.5416908754550724E-49</v>
      </c>
      <c r="J241" s="49">
        <f t="shared" si="46"/>
        <v>9.4979593427998049E-48</v>
      </c>
      <c r="K241" s="49">
        <f t="shared" si="46"/>
        <v>3.1212519819441872E-46</v>
      </c>
      <c r="L241" s="49">
        <f t="shared" si="47"/>
        <v>9.1319513843282183E-45</v>
      </c>
      <c r="M241" s="49">
        <f t="shared" si="47"/>
        <v>2.4024181085813469E-43</v>
      </c>
      <c r="N241" s="49">
        <f t="shared" si="47"/>
        <v>5.729755352379146E-42</v>
      </c>
      <c r="O241" s="49">
        <f t="shared" si="47"/>
        <v>1.2473820872523698E-40</v>
      </c>
      <c r="P241" s="49">
        <f t="shared" si="47"/>
        <v>2.4932287933549611E-39</v>
      </c>
      <c r="Q241" s="49">
        <f t="shared" si="47"/>
        <v>4.5982235985662396E-38</v>
      </c>
      <c r="R241" s="49">
        <f t="shared" si="47"/>
        <v>7.8588913842959087E-37</v>
      </c>
      <c r="S241" s="49">
        <f t="shared" si="47"/>
        <v>1.2494465423694504E-35</v>
      </c>
      <c r="T241" s="49">
        <f t="shared" si="47"/>
        <v>1.8539818157085644E-34</v>
      </c>
      <c r="U241" s="49">
        <f t="shared" si="47"/>
        <v>2.575174390362589E-33</v>
      </c>
      <c r="V241" s="49">
        <f t="shared" si="47"/>
        <v>3.3570979014428805E-32</v>
      </c>
      <c r="W241" s="47">
        <v>0.76200000000000001</v>
      </c>
    </row>
    <row r="242" spans="2:23" x14ac:dyDescent="0.25">
      <c r="B242" s="49">
        <f t="shared" si="46"/>
        <v>6.8247237022136712E-63</v>
      </c>
      <c r="C242" s="49">
        <f t="shared" si="46"/>
        <v>2.1806356573444748E-60</v>
      </c>
      <c r="D242" s="49">
        <f t="shared" si="46"/>
        <v>3.4491817342883799E-58</v>
      </c>
      <c r="E242" s="49">
        <f t="shared" si="46"/>
        <v>3.600638542205603E-56</v>
      </c>
      <c r="F242" s="49">
        <f t="shared" si="46"/>
        <v>2.7904993956200424E-54</v>
      </c>
      <c r="G242" s="49">
        <f t="shared" si="46"/>
        <v>1.7124074051336599E-52</v>
      </c>
      <c r="H242" s="49">
        <f t="shared" si="46"/>
        <v>8.6663845487261402E-51</v>
      </c>
      <c r="I242" s="49">
        <f t="shared" si="46"/>
        <v>3.7201649925064758E-49</v>
      </c>
      <c r="J242" s="49">
        <f t="shared" si="46"/>
        <v>1.3825694396463936E-47</v>
      </c>
      <c r="K242" s="49">
        <f t="shared" si="46"/>
        <v>4.5185898266697871E-46</v>
      </c>
      <c r="L242" s="49">
        <f t="shared" si="47"/>
        <v>1.3147869985408807E-44</v>
      </c>
      <c r="M242" s="49">
        <f t="shared" si="47"/>
        <v>3.4399997791526149E-43</v>
      </c>
      <c r="N242" s="49">
        <f t="shared" si="47"/>
        <v>8.1595125821324496E-42</v>
      </c>
      <c r="O242" s="49">
        <f t="shared" si="47"/>
        <v>1.7666327351641425E-40</v>
      </c>
      <c r="P242" s="49">
        <f t="shared" si="47"/>
        <v>3.5117845896456305E-39</v>
      </c>
      <c r="Q242" s="49">
        <f t="shared" si="47"/>
        <v>6.4413238205118732E-38</v>
      </c>
      <c r="R242" s="49">
        <f t="shared" si="47"/>
        <v>1.0948787038546888E-36</v>
      </c>
      <c r="S242" s="49">
        <f t="shared" si="47"/>
        <v>1.7311809226211081E-35</v>
      </c>
      <c r="T242" s="49">
        <f t="shared" si="47"/>
        <v>2.5547635050047972E-34</v>
      </c>
      <c r="U242" s="49">
        <f t="shared" si="47"/>
        <v>3.5291714124092636E-33</v>
      </c>
      <c r="V242" s="49">
        <f t="shared" si="47"/>
        <v>4.5756355870529588E-32</v>
      </c>
      <c r="W242" s="47">
        <v>0.76100000000000001</v>
      </c>
    </row>
    <row r="243" spans="2:23" x14ac:dyDescent="0.25">
      <c r="B243" s="49">
        <f t="shared" ref="B243:K252" si="48">_xlfn.HYPGEOM.DIST(B$2,comau,tongtheN*$W243,tongtheN,TRUE)</f>
        <v>1.0362162275820612E-62</v>
      </c>
      <c r="C243" s="49">
        <f t="shared" si="48"/>
        <v>3.2928419020297799E-60</v>
      </c>
      <c r="D243" s="49">
        <f t="shared" si="48"/>
        <v>5.1799611901960417E-58</v>
      </c>
      <c r="E243" s="49">
        <f t="shared" si="48"/>
        <v>5.3779012519006294E-56</v>
      </c>
      <c r="F243" s="49">
        <f t="shared" si="48"/>
        <v>4.1451315604626408E-54</v>
      </c>
      <c r="G243" s="49">
        <f t="shared" si="48"/>
        <v>2.5298035651188078E-52</v>
      </c>
      <c r="H243" s="49">
        <f t="shared" si="48"/>
        <v>1.2733307091081895E-50</v>
      </c>
      <c r="I243" s="49">
        <f t="shared" si="48"/>
        <v>5.4361228209588442E-49</v>
      </c>
      <c r="J243" s="49">
        <f t="shared" si="48"/>
        <v>2.0092689392576825E-47</v>
      </c>
      <c r="K243" s="49">
        <f t="shared" si="48"/>
        <v>6.5309801698529243E-46</v>
      </c>
      <c r="L243" s="49">
        <f t="shared" ref="L243:V252" si="49">_xlfn.HYPGEOM.DIST(L$2,comau,tongtheN*$W243,tongtheN,TRUE)</f>
        <v>1.8899723600053568E-44</v>
      </c>
      <c r="M243" s="49">
        <f t="shared" si="49"/>
        <v>4.9179415843177069E-43</v>
      </c>
      <c r="N243" s="49">
        <f t="shared" si="49"/>
        <v>1.160150607352224E-41</v>
      </c>
      <c r="O243" s="49">
        <f t="shared" si="49"/>
        <v>2.4981697864328516E-40</v>
      </c>
      <c r="P243" s="49">
        <f t="shared" si="49"/>
        <v>4.9388905596122836E-39</v>
      </c>
      <c r="Q243" s="49">
        <f t="shared" si="49"/>
        <v>9.0095452613917198E-38</v>
      </c>
      <c r="R243" s="49">
        <f t="shared" si="49"/>
        <v>1.5230715888465754E-36</v>
      </c>
      <c r="S243" s="49">
        <f t="shared" si="49"/>
        <v>2.3951003724636378E-35</v>
      </c>
      <c r="T243" s="49">
        <f t="shared" si="49"/>
        <v>3.5152750990936511E-34</v>
      </c>
      <c r="U243" s="49">
        <f t="shared" si="49"/>
        <v>4.8295775198803433E-33</v>
      </c>
      <c r="V243" s="49">
        <f t="shared" si="49"/>
        <v>6.2275329572118532E-32</v>
      </c>
      <c r="W243" s="47">
        <v>0.76</v>
      </c>
    </row>
    <row r="244" spans="2:23" x14ac:dyDescent="0.25">
      <c r="B244" s="49">
        <f t="shared" si="48"/>
        <v>1.570585036452008E-62</v>
      </c>
      <c r="C244" s="49">
        <f t="shared" si="48"/>
        <v>4.9637650103137424E-60</v>
      </c>
      <c r="D244" s="49">
        <f t="shared" si="48"/>
        <v>7.7659807772250696E-58</v>
      </c>
      <c r="E244" s="49">
        <f t="shared" si="48"/>
        <v>8.0188541107785415E-56</v>
      </c>
      <c r="F244" s="49">
        <f t="shared" si="48"/>
        <v>6.1470636700990764E-54</v>
      </c>
      <c r="G244" s="49">
        <f t="shared" si="48"/>
        <v>3.731181071308151E-52</v>
      </c>
      <c r="H244" s="49">
        <f t="shared" si="48"/>
        <v>1.8678031757738597E-50</v>
      </c>
      <c r="I244" s="49">
        <f t="shared" si="48"/>
        <v>7.9306681179331119E-49</v>
      </c>
      <c r="J244" s="49">
        <f t="shared" si="48"/>
        <v>2.9153416945889928E-47</v>
      </c>
      <c r="K244" s="49">
        <f t="shared" si="48"/>
        <v>9.4245561314900695E-46</v>
      </c>
      <c r="L244" s="49">
        <f t="shared" si="49"/>
        <v>2.7124979660385726E-44</v>
      </c>
      <c r="M244" s="49">
        <f t="shared" si="49"/>
        <v>7.0198697727894379E-43</v>
      </c>
      <c r="N244" s="49">
        <f t="shared" si="49"/>
        <v>1.6469942726682922E-41</v>
      </c>
      <c r="O244" s="49">
        <f t="shared" si="49"/>
        <v>3.5272156793252516E-40</v>
      </c>
      <c r="P244" s="49">
        <f t="shared" si="49"/>
        <v>6.9354101514949189E-39</v>
      </c>
      <c r="Q244" s="49">
        <f t="shared" si="49"/>
        <v>1.2582839321292343E-37</v>
      </c>
      <c r="R244" s="49">
        <f t="shared" si="49"/>
        <v>2.1155802086815559E-36</v>
      </c>
      <c r="S244" s="49">
        <f t="shared" si="49"/>
        <v>3.3087707688516015E-35</v>
      </c>
      <c r="T244" s="49">
        <f t="shared" si="49"/>
        <v>4.8298813975828355E-34</v>
      </c>
      <c r="U244" s="49">
        <f t="shared" si="49"/>
        <v>6.5996499288762087E-33</v>
      </c>
      <c r="V244" s="49">
        <f t="shared" si="49"/>
        <v>8.4637503867953874E-32</v>
      </c>
      <c r="W244" s="47">
        <v>0.75900000000000001</v>
      </c>
    </row>
    <row r="245" spans="2:23" x14ac:dyDescent="0.25">
      <c r="B245" s="49">
        <f t="shared" si="48"/>
        <v>2.3764272288431288E-62</v>
      </c>
      <c r="C245" s="49">
        <f t="shared" si="48"/>
        <v>7.4698226990789315E-60</v>
      </c>
      <c r="D245" s="49">
        <f t="shared" si="48"/>
        <v>1.1623357943356428E-57</v>
      </c>
      <c r="E245" s="49">
        <f t="shared" si="48"/>
        <v>1.1936693610358974E-55</v>
      </c>
      <c r="F245" s="49">
        <f t="shared" si="48"/>
        <v>9.1007272801456512E-54</v>
      </c>
      <c r="G245" s="49">
        <f t="shared" si="48"/>
        <v>5.494037234916527E-52</v>
      </c>
      <c r="H245" s="49">
        <f t="shared" si="48"/>
        <v>2.7353537904152832E-50</v>
      </c>
      <c r="I245" s="49">
        <f t="shared" si="48"/>
        <v>1.1551264939408174E-48</v>
      </c>
      <c r="J245" s="49">
        <f t="shared" si="48"/>
        <v>4.2232507213393335E-47</v>
      </c>
      <c r="K245" s="49">
        <f t="shared" si="48"/>
        <v>1.3578637955876406E-45</v>
      </c>
      <c r="L245" s="49">
        <f t="shared" si="49"/>
        <v>3.8868959007379447E-44</v>
      </c>
      <c r="M245" s="49">
        <f t="shared" si="49"/>
        <v>1.0004629794739865E-42</v>
      </c>
      <c r="N245" s="49">
        <f t="shared" si="49"/>
        <v>2.3345481893009009E-41</v>
      </c>
      <c r="O245" s="49">
        <f t="shared" si="49"/>
        <v>4.9725811401238596E-40</v>
      </c>
      <c r="P245" s="49">
        <f t="shared" si="49"/>
        <v>9.7243695790632518E-39</v>
      </c>
      <c r="Q245" s="49">
        <f t="shared" si="49"/>
        <v>1.754719704443948E-37</v>
      </c>
      <c r="R245" s="49">
        <f t="shared" si="49"/>
        <v>2.9342611390383972E-36</v>
      </c>
      <c r="S245" s="49">
        <f t="shared" si="49"/>
        <v>4.5643243332462498E-35</v>
      </c>
      <c r="T245" s="49">
        <f t="shared" si="49"/>
        <v>6.6265463246948053E-34</v>
      </c>
      <c r="U245" s="49">
        <f t="shared" si="49"/>
        <v>9.005608268230457E-33</v>
      </c>
      <c r="V245" s="49">
        <f t="shared" si="49"/>
        <v>1.1486740921003533E-31</v>
      </c>
      <c r="W245" s="47">
        <v>0.75800000000000001</v>
      </c>
    </row>
    <row r="246" spans="2:23" x14ac:dyDescent="0.25">
      <c r="B246" s="49">
        <f t="shared" si="48"/>
        <v>3.5895974874948804E-62</v>
      </c>
      <c r="C246" s="49">
        <f t="shared" si="48"/>
        <v>1.1222102394888133E-59</v>
      </c>
      <c r="D246" s="49">
        <f t="shared" si="48"/>
        <v>1.7367545753241529E-57</v>
      </c>
      <c r="E246" s="49">
        <f t="shared" si="48"/>
        <v>1.7739198995850627E-55</v>
      </c>
      <c r="F246" s="49">
        <f t="shared" si="48"/>
        <v>1.345145925753342E-53</v>
      </c>
      <c r="G246" s="49">
        <f t="shared" si="48"/>
        <v>8.0765980732786092E-52</v>
      </c>
      <c r="H246" s="49">
        <f t="shared" si="48"/>
        <v>3.9993940005567655E-50</v>
      </c>
      <c r="I246" s="49">
        <f t="shared" si="48"/>
        <v>1.67978729490839E-48</v>
      </c>
      <c r="J246" s="49">
        <f t="shared" si="48"/>
        <v>6.1082377819328054E-47</v>
      </c>
      <c r="K246" s="49">
        <f t="shared" si="48"/>
        <v>1.9533041529704329E-45</v>
      </c>
      <c r="L246" s="49">
        <f t="shared" si="49"/>
        <v>5.5611095645598754E-44</v>
      </c>
      <c r="M246" s="49">
        <f t="shared" si="49"/>
        <v>1.4236549365794507E-42</v>
      </c>
      <c r="N246" s="49">
        <f t="shared" si="49"/>
        <v>3.3040913093866221E-41</v>
      </c>
      <c r="O246" s="49">
        <f t="shared" si="49"/>
        <v>6.9996589663789377E-40</v>
      </c>
      <c r="P246" s="49">
        <f t="shared" si="49"/>
        <v>1.3614528367373135E-38</v>
      </c>
      <c r="Q246" s="49">
        <f t="shared" si="49"/>
        <v>2.4434046380364448E-37</v>
      </c>
      <c r="R246" s="49">
        <f t="shared" si="49"/>
        <v>4.0638088212883936E-36</v>
      </c>
      <c r="S246" s="49">
        <f t="shared" si="49"/>
        <v>6.2872142132778815E-35</v>
      </c>
      <c r="T246" s="49">
        <f t="shared" si="49"/>
        <v>9.0785535448916009E-34</v>
      </c>
      <c r="U246" s="49">
        <f t="shared" si="49"/>
        <v>1.2271299628203792E-32</v>
      </c>
      <c r="V246" s="49">
        <f t="shared" si="49"/>
        <v>1.5567643250020082E-31</v>
      </c>
      <c r="W246" s="47">
        <v>0.75700000000000001</v>
      </c>
    </row>
    <row r="247" spans="2:23" x14ac:dyDescent="0.25">
      <c r="B247" s="49">
        <f t="shared" si="48"/>
        <v>5.4129155033203407E-62</v>
      </c>
      <c r="C247" s="49">
        <f t="shared" si="48"/>
        <v>1.6830966079445555E-59</v>
      </c>
      <c r="D247" s="49">
        <f t="shared" si="48"/>
        <v>2.5907338407061339E-57</v>
      </c>
      <c r="E247" s="49">
        <f t="shared" si="48"/>
        <v>2.6318921868194468E-55</v>
      </c>
      <c r="F247" s="49">
        <f t="shared" si="48"/>
        <v>1.9849677509151176E-53</v>
      </c>
      <c r="G247" s="49">
        <f t="shared" si="48"/>
        <v>1.1853939953659768E-51</v>
      </c>
      <c r="H247" s="49">
        <f t="shared" si="48"/>
        <v>5.8381988221097167E-50</v>
      </c>
      <c r="I247" s="49">
        <f t="shared" si="48"/>
        <v>2.4388757279821872E-48</v>
      </c>
      <c r="J247" s="49">
        <f t="shared" si="48"/>
        <v>8.8206840271451922E-47</v>
      </c>
      <c r="K247" s="49">
        <f t="shared" si="48"/>
        <v>2.8054816151392396E-45</v>
      </c>
      <c r="L247" s="49">
        <f t="shared" si="49"/>
        <v>7.9442062888797531E-44</v>
      </c>
      <c r="M247" s="49">
        <f t="shared" si="49"/>
        <v>2.0227658112923698E-42</v>
      </c>
      <c r="N247" s="49">
        <f t="shared" si="49"/>
        <v>4.6692273607110909E-41</v>
      </c>
      <c r="O247" s="49">
        <f t="shared" si="49"/>
        <v>9.8383507391056334E-40</v>
      </c>
      <c r="P247" s="49">
        <f t="shared" si="49"/>
        <v>1.9032717406973589E-38</v>
      </c>
      <c r="Q247" s="49">
        <f t="shared" si="49"/>
        <v>3.3974003332072291E-37</v>
      </c>
      <c r="R247" s="49">
        <f t="shared" si="49"/>
        <v>5.6200231496589783E-36</v>
      </c>
      <c r="S247" s="49">
        <f t="shared" si="49"/>
        <v>8.6480260195203327E-35</v>
      </c>
      <c r="T247" s="49">
        <f t="shared" si="49"/>
        <v>1.2420231549429667E-33</v>
      </c>
      <c r="U247" s="49">
        <f t="shared" si="49"/>
        <v>1.66977642682784E-32</v>
      </c>
      <c r="V247" s="49">
        <f t="shared" si="49"/>
        <v>2.1069091967171489E-31</v>
      </c>
      <c r="W247" s="47">
        <v>0.75600000000000001</v>
      </c>
    </row>
    <row r="248" spans="2:23" x14ac:dyDescent="0.25">
      <c r="B248" s="49">
        <f t="shared" si="48"/>
        <v>8.1486755228091578E-62</v>
      </c>
      <c r="C248" s="49">
        <f t="shared" si="48"/>
        <v>2.5201169994363571E-59</v>
      </c>
      <c r="D248" s="49">
        <f t="shared" si="48"/>
        <v>3.8582516113018497E-57</v>
      </c>
      <c r="E248" s="49">
        <f t="shared" si="48"/>
        <v>3.8984516033621681E-55</v>
      </c>
      <c r="F248" s="49">
        <f t="shared" si="48"/>
        <v>2.9243815496205219E-53</v>
      </c>
      <c r="G248" s="49">
        <f t="shared" si="48"/>
        <v>1.7370009778498873E-51</v>
      </c>
      <c r="H248" s="49">
        <f t="shared" si="48"/>
        <v>8.5088961456783609E-50</v>
      </c>
      <c r="I248" s="49">
        <f t="shared" si="48"/>
        <v>3.5354220608591259E-48</v>
      </c>
      <c r="J248" s="49">
        <f t="shared" si="48"/>
        <v>1.2717782041451087E-46</v>
      </c>
      <c r="K248" s="49">
        <f t="shared" si="48"/>
        <v>4.0232250802308485E-45</v>
      </c>
      <c r="L248" s="49">
        <f t="shared" si="49"/>
        <v>1.133118921960529E-43</v>
      </c>
      <c r="M248" s="49">
        <f t="shared" si="49"/>
        <v>2.8696501766748223E-42</v>
      </c>
      <c r="N248" s="49">
        <f t="shared" si="49"/>
        <v>6.5885077349739711E-41</v>
      </c>
      <c r="O248" s="49">
        <f t="shared" si="49"/>
        <v>1.3807763843699528E-39</v>
      </c>
      <c r="P248" s="49">
        <f t="shared" si="49"/>
        <v>2.6568143014423889E-38</v>
      </c>
      <c r="Q248" s="49">
        <f t="shared" si="49"/>
        <v>4.7170104033912755E-37</v>
      </c>
      <c r="R248" s="49">
        <f t="shared" si="49"/>
        <v>7.7610109278861075E-36</v>
      </c>
      <c r="S248" s="49">
        <f t="shared" si="49"/>
        <v>1.187839193258689E-34</v>
      </c>
      <c r="T248" s="49">
        <f t="shared" si="49"/>
        <v>1.6968022805293852E-33</v>
      </c>
      <c r="U248" s="49">
        <f t="shared" si="49"/>
        <v>2.2689304678778627E-32</v>
      </c>
      <c r="V248" s="49">
        <f t="shared" si="49"/>
        <v>2.8475440292604604E-31</v>
      </c>
      <c r="W248" s="47">
        <v>0.755</v>
      </c>
    </row>
    <row r="249" spans="2:23" x14ac:dyDescent="0.25">
      <c r="B249" s="49">
        <f t="shared" si="48"/>
        <v>1.2246698588596913E-61</v>
      </c>
      <c r="C249" s="49">
        <f t="shared" si="48"/>
        <v>3.7671688720011672E-59</v>
      </c>
      <c r="D249" s="49">
        <f t="shared" si="48"/>
        <v>5.7365068868986404E-57</v>
      </c>
      <c r="E249" s="49">
        <f t="shared" si="48"/>
        <v>5.765167424711709E-55</v>
      </c>
      <c r="F249" s="49">
        <f t="shared" si="48"/>
        <v>4.3014694255438956E-53</v>
      </c>
      <c r="G249" s="49">
        <f t="shared" si="48"/>
        <v>2.5412426152043496E-51</v>
      </c>
      <c r="H249" s="49">
        <f t="shared" si="48"/>
        <v>1.2381771757382157E-49</v>
      </c>
      <c r="I249" s="49">
        <f t="shared" si="48"/>
        <v>5.1169903281224251E-48</v>
      </c>
      <c r="J249" s="49">
        <f t="shared" si="48"/>
        <v>1.8308329808702663E-46</v>
      </c>
      <c r="K249" s="49">
        <f t="shared" si="48"/>
        <v>5.7607095012640949E-45</v>
      </c>
      <c r="L249" s="49">
        <f t="shared" si="49"/>
        <v>1.613770305645609E-43</v>
      </c>
      <c r="M249" s="49">
        <f t="shared" si="49"/>
        <v>4.0649954848033229E-42</v>
      </c>
      <c r="N249" s="49">
        <f t="shared" si="49"/>
        <v>9.2828934358210447E-41</v>
      </c>
      <c r="O249" s="49">
        <f t="shared" si="49"/>
        <v>1.9350187479171423E-39</v>
      </c>
      <c r="P249" s="49">
        <f t="shared" si="49"/>
        <v>3.7032999613211608E-38</v>
      </c>
      <c r="Q249" s="49">
        <f t="shared" si="49"/>
        <v>6.5397439703591307E-37</v>
      </c>
      <c r="R249" s="49">
        <f t="shared" si="49"/>
        <v>1.0702341478264997E-35</v>
      </c>
      <c r="S249" s="49">
        <f t="shared" si="49"/>
        <v>1.6292403220604924E-34</v>
      </c>
      <c r="T249" s="49">
        <f t="shared" si="49"/>
        <v>2.3148675173630353E-33</v>
      </c>
      <c r="U249" s="49">
        <f t="shared" si="49"/>
        <v>3.0788173449039633E-32</v>
      </c>
      <c r="V249" s="49">
        <f t="shared" si="49"/>
        <v>3.843275139457225E-31</v>
      </c>
      <c r="W249" s="47">
        <v>0.754</v>
      </c>
    </row>
    <row r="250" spans="2:23" x14ac:dyDescent="0.25">
      <c r="B250" s="49">
        <f t="shared" si="48"/>
        <v>1.837524485239342E-61</v>
      </c>
      <c r="C250" s="49">
        <f t="shared" si="48"/>
        <v>5.62209283224601E-59</v>
      </c>
      <c r="D250" s="49">
        <f t="shared" si="48"/>
        <v>8.5152905130178088E-57</v>
      </c>
      <c r="E250" s="49">
        <f t="shared" si="48"/>
        <v>8.5120294373955333E-55</v>
      </c>
      <c r="F250" s="49">
        <f t="shared" si="48"/>
        <v>6.3169509001941859E-53</v>
      </c>
      <c r="G250" s="49">
        <f t="shared" si="48"/>
        <v>3.7119873958233068E-51</v>
      </c>
      <c r="H250" s="49">
        <f t="shared" si="48"/>
        <v>1.7989251915016635E-49</v>
      </c>
      <c r="I250" s="49">
        <f t="shared" si="48"/>
        <v>7.3946071382749452E-48</v>
      </c>
      <c r="J250" s="49">
        <f t="shared" si="48"/>
        <v>2.6315989329997791E-46</v>
      </c>
      <c r="K250" s="49">
        <f t="shared" si="48"/>
        <v>8.2360256493237007E-45</v>
      </c>
      <c r="L250" s="49">
        <f t="shared" si="49"/>
        <v>2.2948508456160668E-43</v>
      </c>
      <c r="M250" s="49">
        <f t="shared" si="49"/>
        <v>5.7496861702234181E-42</v>
      </c>
      <c r="N250" s="49">
        <f t="shared" si="49"/>
        <v>1.3059876841925516E-40</v>
      </c>
      <c r="O250" s="49">
        <f t="shared" si="49"/>
        <v>2.7077768155281938E-39</v>
      </c>
      <c r="P250" s="49">
        <f t="shared" si="49"/>
        <v>5.154527894035356E-38</v>
      </c>
      <c r="Q250" s="49">
        <f t="shared" si="49"/>
        <v>9.053852701134115E-37</v>
      </c>
      <c r="R250" s="49">
        <f t="shared" si="49"/>
        <v>1.4737524294847559E-35</v>
      </c>
      <c r="S250" s="49">
        <f t="shared" si="49"/>
        <v>2.2315382065713327E-34</v>
      </c>
      <c r="T250" s="49">
        <f t="shared" si="49"/>
        <v>3.1536912935787716E-33</v>
      </c>
      <c r="U250" s="49">
        <f t="shared" si="49"/>
        <v>4.1720668576828913E-32</v>
      </c>
      <c r="V250" s="49">
        <f t="shared" si="49"/>
        <v>5.1801646702896694E-31</v>
      </c>
      <c r="W250" s="47">
        <v>0.753</v>
      </c>
    </row>
    <row r="251" spans="2:23" x14ac:dyDescent="0.25">
      <c r="B251" s="49">
        <f t="shared" si="48"/>
        <v>2.7525495366055698E-61</v>
      </c>
      <c r="C251" s="49">
        <f t="shared" si="48"/>
        <v>8.3767434873490215E-59</v>
      </c>
      <c r="D251" s="49">
        <f t="shared" si="48"/>
        <v>1.261978854915171E-56</v>
      </c>
      <c r="E251" s="49">
        <f t="shared" si="48"/>
        <v>1.2547619713005411E-54</v>
      </c>
      <c r="F251" s="49">
        <f t="shared" si="48"/>
        <v>9.2621450983017519E-53</v>
      </c>
      <c r="G251" s="49">
        <f t="shared" si="48"/>
        <v>5.4136061275108391E-51</v>
      </c>
      <c r="H251" s="49">
        <f t="shared" si="48"/>
        <v>2.6095738613063134E-49</v>
      </c>
      <c r="I251" s="49">
        <f t="shared" si="48"/>
        <v>1.0669600994680398E-47</v>
      </c>
      <c r="J251" s="49">
        <f t="shared" si="48"/>
        <v>3.7768490111350944E-46</v>
      </c>
      <c r="K251" s="49">
        <f t="shared" si="48"/>
        <v>1.1757222515417139E-44</v>
      </c>
      <c r="L251" s="49">
        <f t="shared" si="49"/>
        <v>3.2585090063887952E-43</v>
      </c>
      <c r="M251" s="49">
        <f t="shared" si="49"/>
        <v>8.1205663529216216E-42</v>
      </c>
      <c r="N251" s="49">
        <f t="shared" si="49"/>
        <v>1.834675629788378E-40</v>
      </c>
      <c r="O251" s="49">
        <f t="shared" si="49"/>
        <v>3.7836542004680888E-39</v>
      </c>
      <c r="P251" s="49">
        <f t="shared" si="49"/>
        <v>7.1641748003071435E-38</v>
      </c>
      <c r="Q251" s="49">
        <f t="shared" si="49"/>
        <v>1.2516697958297876E-36</v>
      </c>
      <c r="R251" s="49">
        <f t="shared" si="49"/>
        <v>2.0265640230347783E-35</v>
      </c>
      <c r="S251" s="49">
        <f t="shared" si="49"/>
        <v>3.0522490336151929E-34</v>
      </c>
      <c r="T251" s="49">
        <f t="shared" si="49"/>
        <v>4.2905708438859741E-33</v>
      </c>
      <c r="U251" s="49">
        <f t="shared" si="49"/>
        <v>5.6458307521153413E-32</v>
      </c>
      <c r="V251" s="49">
        <f t="shared" si="49"/>
        <v>6.9727054293996502E-31</v>
      </c>
      <c r="W251" s="47">
        <v>0.752</v>
      </c>
    </row>
    <row r="252" spans="2:23" x14ac:dyDescent="0.25">
      <c r="B252" s="49">
        <f t="shared" si="48"/>
        <v>4.1165252874824176E-61</v>
      </c>
      <c r="C252" s="49">
        <f t="shared" si="48"/>
        <v>1.2460985036133873E-58</v>
      </c>
      <c r="D252" s="49">
        <f t="shared" si="48"/>
        <v>1.8672865096668255E-56</v>
      </c>
      <c r="E252" s="49">
        <f t="shared" si="48"/>
        <v>1.8467247561983658E-54</v>
      </c>
      <c r="F252" s="49">
        <f t="shared" si="48"/>
        <v>1.3559215783560409E-52</v>
      </c>
      <c r="G252" s="49">
        <f t="shared" si="48"/>
        <v>7.8830095319704499E-51</v>
      </c>
      <c r="H252" s="49">
        <f t="shared" si="48"/>
        <v>3.7797026982912781E-49</v>
      </c>
      <c r="I252" s="49">
        <f t="shared" si="48"/>
        <v>1.5371602029803585E-47</v>
      </c>
      <c r="J252" s="49">
        <f t="shared" si="48"/>
        <v>5.4123235348271863E-46</v>
      </c>
      <c r="K252" s="49">
        <f t="shared" si="48"/>
        <v>1.6758776746836109E-44</v>
      </c>
      <c r="L252" s="49">
        <f t="shared" si="49"/>
        <v>4.6199815925648466E-43</v>
      </c>
      <c r="M252" s="49">
        <f t="shared" si="49"/>
        <v>1.1452272772860918E-41</v>
      </c>
      <c r="N252" s="49">
        <f t="shared" si="49"/>
        <v>2.5736472311510961E-40</v>
      </c>
      <c r="O252" s="49">
        <f t="shared" si="49"/>
        <v>5.2794156648125402E-39</v>
      </c>
      <c r="P252" s="49">
        <f t="shared" si="49"/>
        <v>9.9431875617814143E-38</v>
      </c>
      <c r="Q252" s="49">
        <f t="shared" si="49"/>
        <v>1.7279637704936665E-36</v>
      </c>
      <c r="R252" s="49">
        <f t="shared" si="49"/>
        <v>2.782857518591711E-35</v>
      </c>
      <c r="S252" s="49">
        <f t="shared" si="49"/>
        <v>4.1690469768055938E-34</v>
      </c>
      <c r="T252" s="49">
        <f t="shared" si="49"/>
        <v>5.829328110349295E-33</v>
      </c>
      <c r="U252" s="49">
        <f t="shared" si="49"/>
        <v>7.6298907174674699E-32</v>
      </c>
      <c r="V252" s="49">
        <f t="shared" si="49"/>
        <v>9.373014353268422E-31</v>
      </c>
      <c r="W252" s="47">
        <v>0.751</v>
      </c>
    </row>
    <row r="253" spans="2:23" x14ac:dyDescent="0.25">
      <c r="B253" s="49">
        <f t="shared" ref="B253:K262" si="50">_xlfn.HYPGEOM.DIST(B$2,comau,tongtheN*$W253,tongtheN,TRUE)</f>
        <v>6.1464694892699687E-61</v>
      </c>
      <c r="C253" s="49">
        <f t="shared" si="50"/>
        <v>1.8506960176211595E-58</v>
      </c>
      <c r="D253" s="49">
        <f t="shared" si="50"/>
        <v>2.7585550780304457E-56</v>
      </c>
      <c r="E253" s="49">
        <f t="shared" si="50"/>
        <v>2.7136952478636755E-54</v>
      </c>
      <c r="F253" s="49">
        <f t="shared" si="50"/>
        <v>1.9819007677116766E-52</v>
      </c>
      <c r="G253" s="49">
        <f t="shared" si="50"/>
        <v>1.1461146213336562E-50</v>
      </c>
      <c r="H253" s="49">
        <f t="shared" si="50"/>
        <v>5.4661627247074812E-49</v>
      </c>
      <c r="I253" s="49">
        <f t="shared" si="50"/>
        <v>2.2112264410958414E-47</v>
      </c>
      <c r="J253" s="49">
        <f t="shared" si="50"/>
        <v>7.7443910712376152E-46</v>
      </c>
      <c r="K253" s="49">
        <f t="shared" si="50"/>
        <v>2.3852590910972139E-44</v>
      </c>
      <c r="L253" s="49">
        <f t="shared" ref="L253:V262" si="51">_xlfn.HYPGEOM.DIST(L$2,comau,tongtheN*$W253,tongtheN,TRUE)</f>
        <v>6.5406889971322579E-43</v>
      </c>
      <c r="M253" s="49">
        <f t="shared" si="51"/>
        <v>1.612743321546216E-41</v>
      </c>
      <c r="N253" s="49">
        <f t="shared" si="51"/>
        <v>3.6050659923411105E-40</v>
      </c>
      <c r="O253" s="49">
        <f t="shared" si="51"/>
        <v>7.3559881822976527E-39</v>
      </c>
      <c r="P253" s="49">
        <f t="shared" si="51"/>
        <v>1.3780726423005007E-37</v>
      </c>
      <c r="Q253" s="49">
        <f t="shared" si="51"/>
        <v>2.3821702121230281E-36</v>
      </c>
      <c r="R253" s="49">
        <f t="shared" si="51"/>
        <v>3.8161126643059118E-35</v>
      </c>
      <c r="S253" s="49">
        <f t="shared" si="51"/>
        <v>5.6866888462499593E-34</v>
      </c>
      <c r="T253" s="49">
        <f t="shared" si="51"/>
        <v>7.9092273363063757E-33</v>
      </c>
      <c r="U253" s="49">
        <f t="shared" si="51"/>
        <v>1.0297390867216276E-31</v>
      </c>
      <c r="V253" s="49">
        <f t="shared" si="51"/>
        <v>1.2582934880332278E-30</v>
      </c>
      <c r="W253" s="47">
        <v>0.75</v>
      </c>
    </row>
    <row r="254" spans="2:23" x14ac:dyDescent="0.25">
      <c r="B254" s="49">
        <f t="shared" si="50"/>
        <v>9.1627442892155113E-61</v>
      </c>
      <c r="C254" s="49">
        <f t="shared" si="50"/>
        <v>2.7442830418462933E-58</v>
      </c>
      <c r="D254" s="49">
        <f t="shared" si="50"/>
        <v>4.0688310550744709E-56</v>
      </c>
      <c r="E254" s="49">
        <f t="shared" si="50"/>
        <v>3.9814702804784912E-54</v>
      </c>
      <c r="F254" s="49">
        <f t="shared" si="50"/>
        <v>2.8924039426176484E-52</v>
      </c>
      <c r="G254" s="49">
        <f t="shared" si="50"/>
        <v>1.6637955735762731E-50</v>
      </c>
      <c r="H254" s="49">
        <f t="shared" si="50"/>
        <v>7.8931360401777557E-49</v>
      </c>
      <c r="I254" s="49">
        <f t="shared" si="50"/>
        <v>3.1761106850020264E-47</v>
      </c>
      <c r="J254" s="49">
        <f t="shared" si="50"/>
        <v>1.1064844951055324E-45</v>
      </c>
      <c r="K254" s="49">
        <f t="shared" si="50"/>
        <v>3.3899207428984518E-44</v>
      </c>
      <c r="L254" s="49">
        <f t="shared" si="51"/>
        <v>9.246421869714155E-43</v>
      </c>
      <c r="M254" s="49">
        <f t="shared" si="51"/>
        <v>2.2678377651019569E-41</v>
      </c>
      <c r="N254" s="49">
        <f t="shared" si="51"/>
        <v>5.0426264275717287E-40</v>
      </c>
      <c r="O254" s="49">
        <f t="shared" si="51"/>
        <v>1.0234856995408242E-38</v>
      </c>
      <c r="P254" s="49">
        <f t="shared" si="51"/>
        <v>1.907262177567214E-37</v>
      </c>
      <c r="Q254" s="49">
        <f t="shared" si="51"/>
        <v>3.2795100828130974E-36</v>
      </c>
      <c r="R254" s="49">
        <f t="shared" si="51"/>
        <v>5.2258344552575499E-35</v>
      </c>
      <c r="S254" s="49">
        <f t="shared" si="51"/>
        <v>7.74626959106315E-34</v>
      </c>
      <c r="T254" s="49">
        <f t="shared" si="51"/>
        <v>1.0716829080504379E-32</v>
      </c>
      <c r="U254" s="49">
        <f t="shared" si="51"/>
        <v>1.3879026065093841E-31</v>
      </c>
      <c r="V254" s="49">
        <f t="shared" si="51"/>
        <v>1.6869948500048395E-30</v>
      </c>
      <c r="W254" s="47">
        <v>0.749</v>
      </c>
    </row>
    <row r="255" spans="2:23" x14ac:dyDescent="0.25">
      <c r="B255" s="49">
        <f t="shared" si="50"/>
        <v>1.3637533346188055E-60</v>
      </c>
      <c r="C255" s="49">
        <f t="shared" si="50"/>
        <v>4.0629294415893716E-58</v>
      </c>
      <c r="D255" s="49">
        <f t="shared" si="50"/>
        <v>5.9921181431032382E-56</v>
      </c>
      <c r="E255" s="49">
        <f t="shared" si="50"/>
        <v>5.8324999052633356E-54</v>
      </c>
      <c r="F255" s="49">
        <f t="shared" si="50"/>
        <v>4.2147419373270918E-52</v>
      </c>
      <c r="G255" s="49">
        <f t="shared" si="50"/>
        <v>2.4116430541805947E-50</v>
      </c>
      <c r="H255" s="49">
        <f t="shared" si="50"/>
        <v>1.1380567551404516E-48</v>
      </c>
      <c r="I255" s="49">
        <f t="shared" si="50"/>
        <v>4.555242373094015E-47</v>
      </c>
      <c r="J255" s="49">
        <f t="shared" si="50"/>
        <v>1.5785668971374204E-45</v>
      </c>
      <c r="K255" s="49">
        <f t="shared" si="50"/>
        <v>4.8107111643544026E-44</v>
      </c>
      <c r="L255" s="49">
        <f t="shared" si="51"/>
        <v>1.3052563537063548E-42</v>
      </c>
      <c r="M255" s="49">
        <f t="shared" si="51"/>
        <v>3.1844671644727031E-41</v>
      </c>
      <c r="N255" s="49">
        <f t="shared" si="51"/>
        <v>7.0434362626145829E-40</v>
      </c>
      <c r="O255" s="49">
        <f t="shared" si="51"/>
        <v>1.4220435905438422E-38</v>
      </c>
      <c r="P255" s="49">
        <f t="shared" si="51"/>
        <v>2.6359988402213121E-37</v>
      </c>
      <c r="Q255" s="49">
        <f t="shared" si="51"/>
        <v>4.5086637221347177E-36</v>
      </c>
      <c r="R255" s="49">
        <f t="shared" si="51"/>
        <v>7.146591584744576E-35</v>
      </c>
      <c r="S255" s="49">
        <f t="shared" si="51"/>
        <v>1.0537577190361481E-33</v>
      </c>
      <c r="T255" s="49">
        <f t="shared" si="51"/>
        <v>1.4501727361977213E-32</v>
      </c>
      <c r="U255" s="49">
        <f t="shared" si="51"/>
        <v>1.8681775081997223E-31</v>
      </c>
      <c r="V255" s="49">
        <f t="shared" si="51"/>
        <v>2.258806815514271E-30</v>
      </c>
      <c r="W255" s="47">
        <v>0.748</v>
      </c>
    </row>
    <row r="256" spans="2:23" x14ac:dyDescent="0.25">
      <c r="B256" s="49">
        <f t="shared" si="50"/>
        <v>2.0265716822805954E-60</v>
      </c>
      <c r="C256" s="49">
        <f t="shared" si="50"/>
        <v>6.0058105947519922E-58</v>
      </c>
      <c r="D256" s="49">
        <f t="shared" si="50"/>
        <v>8.8108770109308527E-56</v>
      </c>
      <c r="E256" s="49">
        <f t="shared" si="50"/>
        <v>8.5310041544419067E-54</v>
      </c>
      <c r="F256" s="49">
        <f t="shared" si="50"/>
        <v>6.1322983110687417E-52</v>
      </c>
      <c r="G256" s="49">
        <f t="shared" si="50"/>
        <v>3.4903776958663553E-50</v>
      </c>
      <c r="H256" s="49">
        <f t="shared" si="50"/>
        <v>1.6384405133431217E-48</v>
      </c>
      <c r="I256" s="49">
        <f t="shared" si="50"/>
        <v>6.5235781253336288E-47</v>
      </c>
      <c r="J256" s="49">
        <f t="shared" si="50"/>
        <v>2.2487711528040468E-45</v>
      </c>
      <c r="K256" s="49">
        <f t="shared" si="50"/>
        <v>6.8171009873641851E-44</v>
      </c>
      <c r="L256" s="49">
        <f t="shared" si="51"/>
        <v>1.8399021671726347E-42</v>
      </c>
      <c r="M256" s="49">
        <f t="shared" si="51"/>
        <v>4.4652365243458692E-41</v>
      </c>
      <c r="N256" s="49">
        <f t="shared" si="51"/>
        <v>9.8242947285904468E-40</v>
      </c>
      <c r="O256" s="49">
        <f t="shared" si="51"/>
        <v>1.9730547686230512E-38</v>
      </c>
      <c r="P256" s="49">
        <f t="shared" si="51"/>
        <v>3.6381553255416891E-37</v>
      </c>
      <c r="Q256" s="49">
        <f t="shared" si="51"/>
        <v>6.1900481381127523E-36</v>
      </c>
      <c r="R256" s="49">
        <f t="shared" si="51"/>
        <v>9.7601320258311808E-35</v>
      </c>
      <c r="S256" s="49">
        <f t="shared" si="51"/>
        <v>1.431556361219928E-33</v>
      </c>
      <c r="T256" s="49">
        <f t="shared" si="51"/>
        <v>1.9597415384596243E-32</v>
      </c>
      <c r="U256" s="49">
        <f t="shared" si="51"/>
        <v>2.5113603258614687E-31</v>
      </c>
      <c r="V256" s="49">
        <f t="shared" si="51"/>
        <v>3.0205239139919291E-30</v>
      </c>
      <c r="W256" s="47">
        <v>0.747</v>
      </c>
    </row>
    <row r="257" spans="2:23" x14ac:dyDescent="0.25">
      <c r="B257" s="49">
        <f t="shared" si="50"/>
        <v>3.0068336223544473E-60</v>
      </c>
      <c r="C257" s="49">
        <f t="shared" si="50"/>
        <v>8.8640316600451499E-58</v>
      </c>
      <c r="D257" s="49">
        <f t="shared" si="50"/>
        <v>1.2935739420292366E-55</v>
      </c>
      <c r="E257" s="49">
        <f t="shared" si="50"/>
        <v>1.2459050543442674E-53</v>
      </c>
      <c r="F257" s="49">
        <f t="shared" si="50"/>
        <v>8.9088361902436005E-52</v>
      </c>
      <c r="G257" s="49">
        <f t="shared" si="50"/>
        <v>5.0440951626154095E-50</v>
      </c>
      <c r="H257" s="49">
        <f t="shared" si="50"/>
        <v>2.3553471274787109E-48</v>
      </c>
      <c r="I257" s="49">
        <f t="shared" si="50"/>
        <v>9.3287567655724299E-47</v>
      </c>
      <c r="J257" s="49">
        <f t="shared" si="50"/>
        <v>3.1988737017967152E-45</v>
      </c>
      <c r="K257" s="49">
        <f t="shared" si="50"/>
        <v>9.6464112688882592E-44</v>
      </c>
      <c r="L257" s="49">
        <f t="shared" si="51"/>
        <v>2.5898540350485324E-42</v>
      </c>
      <c r="M257" s="49">
        <f t="shared" si="51"/>
        <v>6.2523005361966896E-41</v>
      </c>
      <c r="N257" s="49">
        <f t="shared" si="51"/>
        <v>1.3683963394403134E-39</v>
      </c>
      <c r="O257" s="49">
        <f t="shared" si="51"/>
        <v>2.7337899587124004E-38</v>
      </c>
      <c r="P257" s="49">
        <f t="shared" si="51"/>
        <v>5.0144473612171222E-37</v>
      </c>
      <c r="Q257" s="49">
        <f t="shared" si="51"/>
        <v>8.4869584174358071E-36</v>
      </c>
      <c r="R257" s="49">
        <f t="shared" si="51"/>
        <v>1.3311602398763717E-34</v>
      </c>
      <c r="S257" s="49">
        <f t="shared" si="51"/>
        <v>1.9422275093802938E-33</v>
      </c>
      <c r="T257" s="49">
        <f t="shared" si="51"/>
        <v>2.6448916259625116E-32</v>
      </c>
      <c r="U257" s="49">
        <f t="shared" si="51"/>
        <v>3.3715996224373766E-31</v>
      </c>
      <c r="V257" s="49">
        <f t="shared" si="51"/>
        <v>4.0339229927738858E-30</v>
      </c>
      <c r="W257" s="47">
        <v>0.746</v>
      </c>
    </row>
    <row r="258" spans="2:23" x14ac:dyDescent="0.25">
      <c r="B258" s="49">
        <f t="shared" si="50"/>
        <v>4.4543408253081802E-60</v>
      </c>
      <c r="C258" s="49">
        <f t="shared" si="50"/>
        <v>1.3062417484590001E-57</v>
      </c>
      <c r="D258" s="49">
        <f t="shared" si="50"/>
        <v>1.8962777515307158E-55</v>
      </c>
      <c r="E258" s="49">
        <f t="shared" si="50"/>
        <v>1.8168299961678261E-53</v>
      </c>
      <c r="F258" s="49">
        <f t="shared" si="50"/>
        <v>1.292317430798052E-51</v>
      </c>
      <c r="G258" s="49">
        <f t="shared" si="50"/>
        <v>7.2786464784805117E-50</v>
      </c>
      <c r="H258" s="49">
        <f t="shared" si="50"/>
        <v>3.3809726260324147E-48</v>
      </c>
      <c r="I258" s="49">
        <f t="shared" si="50"/>
        <v>1.3320794918595526E-46</v>
      </c>
      <c r="J258" s="49">
        <f t="shared" si="50"/>
        <v>4.5438436500270142E-45</v>
      </c>
      <c r="K258" s="49">
        <f t="shared" si="50"/>
        <v>1.3630514771790929E-43</v>
      </c>
      <c r="L258" s="49">
        <f t="shared" si="51"/>
        <v>3.6403426811852317E-42</v>
      </c>
      <c r="M258" s="49">
        <f t="shared" si="51"/>
        <v>8.7423387811964122E-41</v>
      </c>
      <c r="N258" s="49">
        <f t="shared" si="51"/>
        <v>1.9033594917879831E-39</v>
      </c>
      <c r="O258" s="49">
        <f t="shared" si="51"/>
        <v>3.782644560387142E-38</v>
      </c>
      <c r="P258" s="49">
        <f t="shared" si="51"/>
        <v>6.9020054014753117E-37</v>
      </c>
      <c r="Q258" s="49">
        <f t="shared" si="51"/>
        <v>1.1620544900832882E-35</v>
      </c>
      <c r="R258" s="49">
        <f t="shared" si="51"/>
        <v>1.8131233361477373E-34</v>
      </c>
      <c r="S258" s="49">
        <f t="shared" si="51"/>
        <v>2.6316014257729507E-33</v>
      </c>
      <c r="T258" s="49">
        <f t="shared" si="51"/>
        <v>3.5649326193414894E-32</v>
      </c>
      <c r="U258" s="49">
        <f t="shared" si="51"/>
        <v>4.5206754097447926E-31</v>
      </c>
      <c r="V258" s="49">
        <f t="shared" si="51"/>
        <v>5.3804585807107966E-30</v>
      </c>
      <c r="W258" s="47">
        <v>0.745</v>
      </c>
    </row>
    <row r="259" spans="2:23" x14ac:dyDescent="0.25">
      <c r="B259" s="49">
        <f t="shared" si="50"/>
        <v>6.588542938742099E-60</v>
      </c>
      <c r="C259" s="49">
        <f t="shared" si="50"/>
        <v>1.9220011061374698E-57</v>
      </c>
      <c r="D259" s="49">
        <f t="shared" si="50"/>
        <v>2.7755967796939684E-55</v>
      </c>
      <c r="E259" s="49">
        <f t="shared" si="50"/>
        <v>2.6454118389064211E-53</v>
      </c>
      <c r="F259" s="49">
        <f t="shared" si="50"/>
        <v>1.8718584842522657E-51</v>
      </c>
      <c r="G259" s="49">
        <f t="shared" si="50"/>
        <v>1.0487681449449098E-49</v>
      </c>
      <c r="H259" s="49">
        <f t="shared" si="50"/>
        <v>4.8461384752946023E-48</v>
      </c>
      <c r="I259" s="49">
        <f t="shared" si="50"/>
        <v>1.899371312098298E-46</v>
      </c>
      <c r="J259" s="49">
        <f t="shared" si="50"/>
        <v>6.4450894998022814E-45</v>
      </c>
      <c r="K259" s="49">
        <f t="shared" si="50"/>
        <v>1.923286391328663E-43</v>
      </c>
      <c r="L259" s="49">
        <f t="shared" si="51"/>
        <v>5.1097587373391766E-42</v>
      </c>
      <c r="M259" s="49">
        <f t="shared" si="51"/>
        <v>1.2207099885868964E-40</v>
      </c>
      <c r="N259" s="49">
        <f t="shared" si="51"/>
        <v>2.6438252953358253E-39</v>
      </c>
      <c r="O259" s="49">
        <f t="shared" si="51"/>
        <v>5.2267878427922395E-38</v>
      </c>
      <c r="P259" s="49">
        <f t="shared" si="51"/>
        <v>9.4872948286591962E-37</v>
      </c>
      <c r="Q259" s="49">
        <f t="shared" si="51"/>
        <v>1.588992085379887E-35</v>
      </c>
      <c r="R259" s="49">
        <f t="shared" si="51"/>
        <v>2.4663296272119134E-34</v>
      </c>
      <c r="S259" s="49">
        <f t="shared" si="51"/>
        <v>3.5610070123132564E-33</v>
      </c>
      <c r="T259" s="49">
        <f t="shared" si="51"/>
        <v>4.7988084804111438E-32</v>
      </c>
      <c r="U259" s="49">
        <f t="shared" si="51"/>
        <v>6.0536212855975107E-31</v>
      </c>
      <c r="V259" s="49">
        <f t="shared" si="51"/>
        <v>7.1673980508074393E-30</v>
      </c>
      <c r="W259" s="47">
        <v>0.74399999999999999</v>
      </c>
    </row>
    <row r="260" spans="2:23" x14ac:dyDescent="0.25">
      <c r="B260" s="49">
        <f t="shared" si="50"/>
        <v>9.7304386254731332E-60</v>
      </c>
      <c r="C260" s="49">
        <f t="shared" si="50"/>
        <v>2.8237527993936345E-57</v>
      </c>
      <c r="D260" s="49">
        <f t="shared" si="50"/>
        <v>4.056576182316928E-55</v>
      </c>
      <c r="E260" s="49">
        <f t="shared" si="50"/>
        <v>3.8461569213498939E-53</v>
      </c>
      <c r="F260" s="49">
        <f t="shared" si="50"/>
        <v>2.7073063224674177E-51</v>
      </c>
      <c r="G260" s="49">
        <f t="shared" si="50"/>
        <v>1.5089498114819213E-49</v>
      </c>
      <c r="H260" s="49">
        <f t="shared" si="50"/>
        <v>6.9362111086010083E-48</v>
      </c>
      <c r="I260" s="49">
        <f t="shared" si="50"/>
        <v>2.7043805081012129E-46</v>
      </c>
      <c r="J260" s="49">
        <f t="shared" si="50"/>
        <v>9.1289029650127139E-45</v>
      </c>
      <c r="K260" s="49">
        <f t="shared" si="50"/>
        <v>2.709976967112995E-43</v>
      </c>
      <c r="L260" s="49">
        <f t="shared" si="51"/>
        <v>7.1623301969023564E-42</v>
      </c>
      <c r="M260" s="49">
        <f t="shared" si="51"/>
        <v>1.7021548194246462E-40</v>
      </c>
      <c r="N260" s="49">
        <f t="shared" si="51"/>
        <v>3.6673491456605363E-39</v>
      </c>
      <c r="O260" s="49">
        <f t="shared" si="51"/>
        <v>7.212530533082125E-38</v>
      </c>
      <c r="P260" s="49">
        <f t="shared" si="51"/>
        <v>1.302353363407416E-36</v>
      </c>
      <c r="Q260" s="49">
        <f t="shared" si="51"/>
        <v>2.1699123712215749E-35</v>
      </c>
      <c r="R260" s="49">
        <f t="shared" si="51"/>
        <v>3.3504720485554083E-34</v>
      </c>
      <c r="S260" s="49">
        <f t="shared" si="51"/>
        <v>4.8124091004447214E-33</v>
      </c>
      <c r="T260" s="49">
        <f t="shared" si="51"/>
        <v>6.4514657235533521E-32</v>
      </c>
      <c r="U260" s="49">
        <f t="shared" si="51"/>
        <v>8.096101561277478E-31</v>
      </c>
      <c r="V260" s="49">
        <f t="shared" si="51"/>
        <v>9.5358284017528947E-30</v>
      </c>
      <c r="W260" s="47">
        <v>0.74299999999999999</v>
      </c>
    </row>
    <row r="261" spans="2:23" x14ac:dyDescent="0.25">
      <c r="B261" s="49">
        <f t="shared" si="50"/>
        <v>1.4348870128899293E-59</v>
      </c>
      <c r="C261" s="49">
        <f t="shared" si="50"/>
        <v>4.1423594299566283E-57</v>
      </c>
      <c r="D261" s="49">
        <f t="shared" si="50"/>
        <v>5.9199327957186816E-55</v>
      </c>
      <c r="E261" s="49">
        <f t="shared" si="50"/>
        <v>5.5836784436219189E-53</v>
      </c>
      <c r="F261" s="49">
        <f t="shared" si="50"/>
        <v>3.9099147949111312E-51</v>
      </c>
      <c r="G261" s="49">
        <f t="shared" si="50"/>
        <v>2.167910907659757E-49</v>
      </c>
      <c r="H261" s="49">
        <f t="shared" si="50"/>
        <v>9.9134753739362533E-48</v>
      </c>
      <c r="I261" s="49">
        <f t="shared" si="50"/>
        <v>3.8451092667974457E-46</v>
      </c>
      <c r="J261" s="49">
        <f t="shared" si="50"/>
        <v>1.2912103996499488E-44</v>
      </c>
      <c r="K261" s="49">
        <f t="shared" si="50"/>
        <v>3.8131320799357771E-43</v>
      </c>
      <c r="L261" s="49">
        <f t="shared" si="51"/>
        <v>1.0025561695087673E-41</v>
      </c>
      <c r="M261" s="49">
        <f t="shared" si="51"/>
        <v>2.3702375530845253E-40</v>
      </c>
      <c r="N261" s="49">
        <f t="shared" si="51"/>
        <v>5.0802354941575763E-39</v>
      </c>
      <c r="O261" s="49">
        <f t="shared" si="51"/>
        <v>9.939358731516311E-38</v>
      </c>
      <c r="P261" s="49">
        <f t="shared" si="51"/>
        <v>1.7854143137588661E-36</v>
      </c>
      <c r="Q261" s="49">
        <f t="shared" si="51"/>
        <v>2.9593220191995173E-35</v>
      </c>
      <c r="R261" s="49">
        <f t="shared" si="51"/>
        <v>4.5456529860150254E-34</v>
      </c>
      <c r="S261" s="49">
        <f t="shared" si="51"/>
        <v>6.4952143024394386E-33</v>
      </c>
      <c r="T261" s="49">
        <f t="shared" si="51"/>
        <v>8.6622445837473434E-32</v>
      </c>
      <c r="U261" s="49">
        <f t="shared" si="51"/>
        <v>1.0814079479650354E-30</v>
      </c>
      <c r="V261" s="49">
        <f t="shared" si="51"/>
        <v>1.2671093093312605E-29</v>
      </c>
      <c r="W261" s="47">
        <v>0.74199999999999999</v>
      </c>
    </row>
    <row r="262" spans="2:23" x14ac:dyDescent="0.25">
      <c r="B262" s="49">
        <f t="shared" si="50"/>
        <v>2.1127608071017997E-59</v>
      </c>
      <c r="C262" s="49">
        <f t="shared" si="50"/>
        <v>6.0676704569032718E-57</v>
      </c>
      <c r="D262" s="49">
        <f t="shared" si="50"/>
        <v>8.6264633040956676E-55</v>
      </c>
      <c r="E262" s="49">
        <f t="shared" si="50"/>
        <v>8.0942837665020122E-53</v>
      </c>
      <c r="F262" s="49">
        <f t="shared" si="50"/>
        <v>5.6385518415190222E-51</v>
      </c>
      <c r="G262" s="49">
        <f t="shared" si="50"/>
        <v>3.1101706509102025E-49</v>
      </c>
      <c r="H262" s="49">
        <f t="shared" si="50"/>
        <v>1.4148535208418825E-47</v>
      </c>
      <c r="I262" s="49">
        <f t="shared" si="50"/>
        <v>5.4593037567741269E-46</v>
      </c>
      <c r="J262" s="49">
        <f t="shared" si="50"/>
        <v>1.823765064708516E-44</v>
      </c>
      <c r="K262" s="49">
        <f t="shared" si="50"/>
        <v>5.3579334999733982E-43</v>
      </c>
      <c r="L262" s="49">
        <f t="shared" si="51"/>
        <v>1.4014192550971374E-41</v>
      </c>
      <c r="M262" s="49">
        <f t="shared" si="51"/>
        <v>3.2960626150258771E-40</v>
      </c>
      <c r="N262" s="49">
        <f t="shared" si="51"/>
        <v>7.0280034540026238E-39</v>
      </c>
      <c r="O262" s="49">
        <f t="shared" si="51"/>
        <v>1.3678906354849339E-37</v>
      </c>
      <c r="P262" s="49">
        <f t="shared" si="51"/>
        <v>2.4444281403603056E-36</v>
      </c>
      <c r="Q262" s="49">
        <f t="shared" si="51"/>
        <v>4.030659571584274E-35</v>
      </c>
      <c r="R262" s="49">
        <f t="shared" si="51"/>
        <v>6.1592268794846842E-34</v>
      </c>
      <c r="S262" s="49">
        <f t="shared" si="51"/>
        <v>8.7552762828095002E-33</v>
      </c>
      <c r="T262" s="49">
        <f t="shared" si="51"/>
        <v>1.1615922318889045E-31</v>
      </c>
      <c r="U262" s="49">
        <f t="shared" si="51"/>
        <v>1.4426472817111055E-30</v>
      </c>
      <c r="V262" s="49">
        <f t="shared" si="51"/>
        <v>1.6816380264388625E-29</v>
      </c>
      <c r="W262" s="47">
        <v>0.74099999999999999</v>
      </c>
    </row>
    <row r="263" spans="2:23" x14ac:dyDescent="0.25">
      <c r="B263" s="49">
        <f t="shared" ref="B263:K272" si="52">_xlfn.HYPGEOM.DIST(B$2,comau,tongtheN*$W263,tongtheN,TRUE)</f>
        <v>3.106242301824612E-59</v>
      </c>
      <c r="C263" s="49">
        <f t="shared" si="52"/>
        <v>8.8747120554988336E-57</v>
      </c>
      <c r="D263" s="49">
        <f t="shared" si="52"/>
        <v>1.2551989596866581E-54</v>
      </c>
      <c r="E263" s="49">
        <f t="shared" si="52"/>
        <v>1.1716717271039902E-52</v>
      </c>
      <c r="F263" s="49">
        <f t="shared" si="52"/>
        <v>8.1197577459372891E-51</v>
      </c>
      <c r="G263" s="49">
        <f t="shared" si="52"/>
        <v>4.4556177899705422E-49</v>
      </c>
      <c r="H263" s="49">
        <f t="shared" si="52"/>
        <v>2.0164323803337844E-47</v>
      </c>
      <c r="I263" s="49">
        <f t="shared" si="52"/>
        <v>7.7403069253960007E-46</v>
      </c>
      <c r="J263" s="49">
        <f t="shared" si="52"/>
        <v>2.572401972324428E-44</v>
      </c>
      <c r="K263" s="49">
        <f t="shared" si="52"/>
        <v>7.5182466683522119E-43</v>
      </c>
      <c r="L263" s="49">
        <f t="shared" ref="L263:V272" si="53">_xlfn.HYPGEOM.DIST(L$2,comau,tongtheN*$W263,tongtheN,TRUE)</f>
        <v>1.9563067145561488E-41</v>
      </c>
      <c r="M263" s="49">
        <f t="shared" si="53"/>
        <v>4.5773513568772613E-40</v>
      </c>
      <c r="N263" s="49">
        <f t="shared" si="53"/>
        <v>9.7095930182980823E-39</v>
      </c>
      <c r="O263" s="49">
        <f t="shared" si="53"/>
        <v>1.8800571366159773E-37</v>
      </c>
      <c r="P263" s="49">
        <f t="shared" si="53"/>
        <v>3.3423191836533417E-36</v>
      </c>
      <c r="Q263" s="49">
        <f t="shared" si="53"/>
        <v>5.4827459533410263E-35</v>
      </c>
      <c r="R263" s="49">
        <f t="shared" si="53"/>
        <v>8.3348917255184282E-34</v>
      </c>
      <c r="S263" s="49">
        <f t="shared" si="53"/>
        <v>1.1786796693864261E-32</v>
      </c>
      <c r="T263" s="49">
        <f t="shared" si="53"/>
        <v>1.5557229345795008E-31</v>
      </c>
      <c r="U263" s="49">
        <f t="shared" si="53"/>
        <v>1.922170015940318E-30</v>
      </c>
      <c r="V263" s="49">
        <f t="shared" si="53"/>
        <v>2.2290392987987538E-29</v>
      </c>
      <c r="W263" s="47">
        <v>0.74</v>
      </c>
    </row>
    <row r="264" spans="2:23" x14ac:dyDescent="0.25">
      <c r="B264" s="49">
        <f t="shared" si="52"/>
        <v>4.5601347024763513E-59</v>
      </c>
      <c r="C264" s="49">
        <f t="shared" si="52"/>
        <v>1.2961329671610335E-56</v>
      </c>
      <c r="D264" s="49">
        <f t="shared" si="52"/>
        <v>1.8237320071008367E-54</v>
      </c>
      <c r="E264" s="49">
        <f t="shared" si="52"/>
        <v>1.693588092712228E-52</v>
      </c>
      <c r="F264" s="49">
        <f t="shared" si="52"/>
        <v>1.167611980523558E-50</v>
      </c>
      <c r="G264" s="49">
        <f t="shared" si="52"/>
        <v>6.3740765645969451E-49</v>
      </c>
      <c r="H264" s="49">
        <f t="shared" si="52"/>
        <v>2.8697703431965404E-47</v>
      </c>
      <c r="I264" s="49">
        <f t="shared" si="52"/>
        <v>1.0959129646697892E-45</v>
      </c>
      <c r="J264" s="49">
        <f t="shared" si="52"/>
        <v>3.6233592756377106E-44</v>
      </c>
      <c r="K264" s="49">
        <f t="shared" si="52"/>
        <v>1.053523215036281E-42</v>
      </c>
      <c r="L264" s="49">
        <f t="shared" si="53"/>
        <v>2.7272174363271995E-41</v>
      </c>
      <c r="M264" s="49">
        <f t="shared" si="53"/>
        <v>6.3482302219126805E-40</v>
      </c>
      <c r="N264" s="49">
        <f t="shared" si="53"/>
        <v>1.3396624279333042E-38</v>
      </c>
      <c r="O264" s="49">
        <f t="shared" si="53"/>
        <v>2.5806058677682017E-37</v>
      </c>
      <c r="P264" s="49">
        <f t="shared" si="53"/>
        <v>4.5641005261507457E-36</v>
      </c>
      <c r="Q264" s="49">
        <f t="shared" si="53"/>
        <v>7.4483904282231012E-35</v>
      </c>
      <c r="R264" s="49">
        <f t="shared" si="53"/>
        <v>1.1264753826353294E-33</v>
      </c>
      <c r="S264" s="49">
        <f t="shared" si="53"/>
        <v>1.5848033840815054E-32</v>
      </c>
      <c r="T264" s="49">
        <f t="shared" si="53"/>
        <v>2.0809907467318081E-31</v>
      </c>
      <c r="U264" s="49">
        <f t="shared" si="53"/>
        <v>2.5579288307210991E-30</v>
      </c>
      <c r="V264" s="49">
        <f t="shared" si="53"/>
        <v>2.9510300900970492E-29</v>
      </c>
      <c r="W264" s="47">
        <v>0.73899999999999999</v>
      </c>
    </row>
    <row r="265" spans="2:23" x14ac:dyDescent="0.25">
      <c r="B265" s="49">
        <f t="shared" si="52"/>
        <v>6.6847054121767375E-59</v>
      </c>
      <c r="C265" s="49">
        <f t="shared" si="52"/>
        <v>1.8902215420827278E-56</v>
      </c>
      <c r="D265" s="49">
        <f t="shared" si="52"/>
        <v>2.6459579701223916E-54</v>
      </c>
      <c r="E265" s="49">
        <f t="shared" si="52"/>
        <v>2.4444925137459053E-52</v>
      </c>
      <c r="F265" s="49">
        <f t="shared" si="52"/>
        <v>1.676635663182821E-50</v>
      </c>
      <c r="G265" s="49">
        <f t="shared" si="52"/>
        <v>9.1057750726318621E-49</v>
      </c>
      <c r="H265" s="49">
        <f t="shared" si="52"/>
        <v>4.0785569375390941E-47</v>
      </c>
      <c r="I265" s="49">
        <f t="shared" si="52"/>
        <v>1.5495138571211455E-45</v>
      </c>
      <c r="J265" s="49">
        <f t="shared" si="52"/>
        <v>5.0967237308025118E-44</v>
      </c>
      <c r="K265" s="49">
        <f t="shared" si="52"/>
        <v>1.4742949994298148E-42</v>
      </c>
      <c r="L265" s="49">
        <f t="shared" si="53"/>
        <v>3.7968281609099863E-41</v>
      </c>
      <c r="M265" s="49">
        <f t="shared" si="53"/>
        <v>8.7925543297111489E-40</v>
      </c>
      <c r="N265" s="49">
        <f t="shared" si="53"/>
        <v>1.8459473918316353E-38</v>
      </c>
      <c r="O265" s="49">
        <f t="shared" si="53"/>
        <v>3.5375902134739284E-37</v>
      </c>
      <c r="P265" s="49">
        <f t="shared" si="53"/>
        <v>6.2244833986282943E-36</v>
      </c>
      <c r="Q265" s="49">
        <f t="shared" si="53"/>
        <v>1.0105858154445484E-34</v>
      </c>
      <c r="R265" s="49">
        <f t="shared" si="53"/>
        <v>1.5205318700801155E-33</v>
      </c>
      <c r="S265" s="49">
        <f t="shared" si="53"/>
        <v>2.1282012449424504E-32</v>
      </c>
      <c r="T265" s="49">
        <f t="shared" si="53"/>
        <v>2.7801701653224824E-31</v>
      </c>
      <c r="U265" s="49">
        <f t="shared" si="53"/>
        <v>3.3998055695335422E-30</v>
      </c>
      <c r="V265" s="49">
        <f t="shared" si="53"/>
        <v>3.9021517028078419E-29</v>
      </c>
      <c r="W265" s="47">
        <v>0.73799999999999999</v>
      </c>
    </row>
    <row r="266" spans="2:23" x14ac:dyDescent="0.25">
      <c r="B266" s="49">
        <f t="shared" si="52"/>
        <v>9.7848459871175647E-59</v>
      </c>
      <c r="C266" s="49">
        <f t="shared" si="52"/>
        <v>2.7526344062125231E-56</v>
      </c>
      <c r="D266" s="49">
        <f t="shared" si="52"/>
        <v>3.8333907666833203E-54</v>
      </c>
      <c r="E266" s="49">
        <f t="shared" si="52"/>
        <v>3.5233307814045731E-52</v>
      </c>
      <c r="F266" s="49">
        <f t="shared" si="52"/>
        <v>2.4041867574840131E-50</v>
      </c>
      <c r="G266" s="49">
        <f t="shared" si="52"/>
        <v>1.2990069152738286E-48</v>
      </c>
      <c r="H266" s="49">
        <f t="shared" si="52"/>
        <v>5.7885045305023367E-47</v>
      </c>
      <c r="I266" s="49">
        <f t="shared" si="52"/>
        <v>2.1878668417480041E-45</v>
      </c>
      <c r="J266" s="49">
        <f t="shared" si="52"/>
        <v>7.1594946913351582E-44</v>
      </c>
      <c r="K266" s="49">
        <f t="shared" si="52"/>
        <v>2.0603538888132443E-42</v>
      </c>
      <c r="L266" s="49">
        <f t="shared" si="53"/>
        <v>5.2789169569490992E-41</v>
      </c>
      <c r="M266" s="49">
        <f t="shared" si="53"/>
        <v>1.2162020449555156E-39</v>
      </c>
      <c r="N266" s="49">
        <f t="shared" si="53"/>
        <v>2.5402537773609736E-38</v>
      </c>
      <c r="O266" s="49">
        <f t="shared" si="53"/>
        <v>4.8432041906792297E-37</v>
      </c>
      <c r="P266" s="49">
        <f t="shared" si="53"/>
        <v>8.4780584648166267E-36</v>
      </c>
      <c r="Q266" s="49">
        <f t="shared" si="53"/>
        <v>1.3694132250786689E-34</v>
      </c>
      <c r="R266" s="49">
        <f t="shared" si="53"/>
        <v>2.0498660276953319E-33</v>
      </c>
      <c r="S266" s="49">
        <f t="shared" si="53"/>
        <v>2.8543794145988958E-32</v>
      </c>
      <c r="T266" s="49">
        <f t="shared" si="53"/>
        <v>3.7097094029513293E-31</v>
      </c>
      <c r="U266" s="49">
        <f t="shared" si="53"/>
        <v>4.5132830235920411E-30</v>
      </c>
      <c r="V266" s="49">
        <f t="shared" si="53"/>
        <v>5.1536284783479779E-29</v>
      </c>
      <c r="W266" s="47">
        <v>0.73699999999999999</v>
      </c>
    </row>
    <row r="267" spans="2:23" x14ac:dyDescent="0.25">
      <c r="B267" s="49">
        <f t="shared" si="52"/>
        <v>1.4302028509266541E-58</v>
      </c>
      <c r="C267" s="49">
        <f t="shared" si="52"/>
        <v>4.0027806185308543E-56</v>
      </c>
      <c r="D267" s="49">
        <f t="shared" si="52"/>
        <v>5.5458252106951795E-54</v>
      </c>
      <c r="E267" s="49">
        <f t="shared" si="52"/>
        <v>5.0711512630634806E-52</v>
      </c>
      <c r="F267" s="49">
        <f t="shared" si="52"/>
        <v>3.4426403085977797E-50</v>
      </c>
      <c r="G267" s="49">
        <f t="shared" si="52"/>
        <v>1.8505697712599527E-48</v>
      </c>
      <c r="H267" s="49">
        <f t="shared" si="52"/>
        <v>8.2041046372676035E-47</v>
      </c>
      <c r="I267" s="49">
        <f t="shared" si="52"/>
        <v>3.0850114766360868E-45</v>
      </c>
      <c r="J267" s="49">
        <f t="shared" si="52"/>
        <v>1.0043605292453772E-43</v>
      </c>
      <c r="K267" s="49">
        <f t="shared" si="52"/>
        <v>2.8755488577944312E-42</v>
      </c>
      <c r="L267" s="49">
        <f t="shared" si="53"/>
        <v>7.3298608895485801E-41</v>
      </c>
      <c r="M267" s="49">
        <f t="shared" si="53"/>
        <v>1.680075999445104E-39</v>
      </c>
      <c r="N267" s="49">
        <f t="shared" si="53"/>
        <v>3.4911856079772873E-38</v>
      </c>
      <c r="O267" s="49">
        <f t="shared" si="53"/>
        <v>6.6221894384387329E-37</v>
      </c>
      <c r="P267" s="49">
        <f t="shared" si="53"/>
        <v>1.1532901607548927E-35</v>
      </c>
      <c r="Q267" s="49">
        <f t="shared" si="53"/>
        <v>1.8533201386016582E-34</v>
      </c>
      <c r="R267" s="49">
        <f t="shared" si="53"/>
        <v>2.7600411699259136E-33</v>
      </c>
      <c r="S267" s="49">
        <f t="shared" si="53"/>
        <v>3.8236344514483153E-32</v>
      </c>
      <c r="T267" s="49">
        <f t="shared" si="53"/>
        <v>4.9440128293336848E-31</v>
      </c>
      <c r="U267" s="49">
        <f t="shared" si="53"/>
        <v>5.9842230486822596E-30</v>
      </c>
      <c r="V267" s="49">
        <f t="shared" si="53"/>
        <v>6.798362448031997E-29</v>
      </c>
      <c r="W267" s="47">
        <v>0.73599999999999999</v>
      </c>
    </row>
    <row r="268" spans="2:23" x14ac:dyDescent="0.25">
      <c r="B268" s="49">
        <f t="shared" si="52"/>
        <v>2.0874590203634634E-58</v>
      </c>
      <c r="C268" s="49">
        <f t="shared" si="52"/>
        <v>5.8124224493188732E-56</v>
      </c>
      <c r="D268" s="49">
        <f t="shared" si="52"/>
        <v>8.0119244931135414E-54</v>
      </c>
      <c r="E268" s="49">
        <f t="shared" si="52"/>
        <v>7.2887449480924637E-52</v>
      </c>
      <c r="F268" s="49">
        <f t="shared" si="52"/>
        <v>4.9228159318071395E-50</v>
      </c>
      <c r="G268" s="49">
        <f t="shared" si="52"/>
        <v>2.6327124208614631E-48</v>
      </c>
      <c r="H268" s="49">
        <f t="shared" si="52"/>
        <v>1.1611957075828629E-46</v>
      </c>
      <c r="I268" s="49">
        <f t="shared" si="52"/>
        <v>4.344177481877439E-45</v>
      </c>
      <c r="J268" s="49">
        <f t="shared" si="52"/>
        <v>1.4070749869106522E-43</v>
      </c>
      <c r="K268" s="49">
        <f t="shared" si="52"/>
        <v>4.0079794303841245E-42</v>
      </c>
      <c r="L268" s="49">
        <f t="shared" si="53"/>
        <v>1.0164310021483486E-40</v>
      </c>
      <c r="M268" s="49">
        <f t="shared" si="53"/>
        <v>2.3178688581559054E-39</v>
      </c>
      <c r="N268" s="49">
        <f t="shared" si="53"/>
        <v>4.7919356025947134E-38</v>
      </c>
      <c r="O268" s="49">
        <f t="shared" si="53"/>
        <v>9.0431157964707435E-37</v>
      </c>
      <c r="P268" s="49">
        <f t="shared" si="53"/>
        <v>1.5668734012789109E-35</v>
      </c>
      <c r="Q268" s="49">
        <f t="shared" si="53"/>
        <v>2.505099534234463E-34</v>
      </c>
      <c r="R268" s="49">
        <f t="shared" si="53"/>
        <v>3.7116732002917343E-33</v>
      </c>
      <c r="S268" s="49">
        <f t="shared" si="53"/>
        <v>5.1157651207235978E-32</v>
      </c>
      <c r="T268" s="49">
        <f t="shared" si="53"/>
        <v>6.5810369803925741E-31</v>
      </c>
      <c r="U268" s="49">
        <f t="shared" si="53"/>
        <v>7.9250772020009639E-30</v>
      </c>
      <c r="V268" s="49">
        <f t="shared" si="53"/>
        <v>8.957390980105404E-29</v>
      </c>
      <c r="W268" s="47">
        <v>0.73499999999999999</v>
      </c>
    </row>
    <row r="269" spans="2:23" x14ac:dyDescent="0.25">
      <c r="B269" s="49">
        <f t="shared" si="52"/>
        <v>3.0424233645896019E-58</v>
      </c>
      <c r="C269" s="49">
        <f t="shared" si="52"/>
        <v>8.4282872912064315E-56</v>
      </c>
      <c r="D269" s="49">
        <f t="shared" si="52"/>
        <v>1.1558452714222427E-53</v>
      </c>
      <c r="E269" s="49">
        <f t="shared" si="52"/>
        <v>1.0461561981578755E-51</v>
      </c>
      <c r="F269" s="49">
        <f t="shared" si="52"/>
        <v>7.02972837836545E-50</v>
      </c>
      <c r="G269" s="49">
        <f t="shared" si="52"/>
        <v>3.7403288737546734E-48</v>
      </c>
      <c r="H269" s="49">
        <f t="shared" si="52"/>
        <v>1.6413207960726735E-46</v>
      </c>
      <c r="I269" s="49">
        <f t="shared" si="52"/>
        <v>6.1091046881607822E-45</v>
      </c>
      <c r="J269" s="49">
        <f t="shared" si="52"/>
        <v>1.9686544504508002E-43</v>
      </c>
      <c r="K269" s="49">
        <f t="shared" si="52"/>
        <v>5.5790502802788881E-42</v>
      </c>
      <c r="L269" s="49">
        <f t="shared" si="53"/>
        <v>1.4076527968460681E-40</v>
      </c>
      <c r="M269" s="49">
        <f t="shared" si="53"/>
        <v>3.1936673931793009E-39</v>
      </c>
      <c r="N269" s="49">
        <f t="shared" si="53"/>
        <v>6.5689403312494614E-38</v>
      </c>
      <c r="O269" s="49">
        <f t="shared" si="53"/>
        <v>1.2333499291362245E-36</v>
      </c>
      <c r="P269" s="49">
        <f t="shared" si="53"/>
        <v>2.1261131851585234E-35</v>
      </c>
      <c r="Q269" s="49">
        <f t="shared" si="53"/>
        <v>3.3819104402280579E-34</v>
      </c>
      <c r="R269" s="49">
        <f t="shared" si="53"/>
        <v>4.9853069397309751E-33</v>
      </c>
      <c r="S269" s="49">
        <f t="shared" si="53"/>
        <v>6.8362550188552215E-32</v>
      </c>
      <c r="T269" s="49">
        <f t="shared" si="53"/>
        <v>8.7495946044945363E-31</v>
      </c>
      <c r="U269" s="49">
        <f t="shared" si="53"/>
        <v>1.0482950154681115E-29</v>
      </c>
      <c r="V269" s="49">
        <f t="shared" si="53"/>
        <v>1.1788226511208852E-28</v>
      </c>
      <c r="W269" s="47">
        <v>0.73399999999999999</v>
      </c>
    </row>
    <row r="270" spans="2:23" x14ac:dyDescent="0.25">
      <c r="B270" s="49">
        <f t="shared" si="52"/>
        <v>4.4279973295324905E-58</v>
      </c>
      <c r="C270" s="49">
        <f t="shared" si="52"/>
        <v>1.220429961437352E-55</v>
      </c>
      <c r="D270" s="49">
        <f t="shared" si="52"/>
        <v>1.6651727021079226E-53</v>
      </c>
      <c r="E270" s="49">
        <f t="shared" si="52"/>
        <v>1.4994859463681492E-51</v>
      </c>
      <c r="F270" s="49">
        <f t="shared" si="52"/>
        <v>1.0024689738284273E-49</v>
      </c>
      <c r="G270" s="49">
        <f t="shared" si="52"/>
        <v>5.3067541317678037E-48</v>
      </c>
      <c r="H270" s="49">
        <f t="shared" si="52"/>
        <v>2.3168594800093458E-46</v>
      </c>
      <c r="I270" s="49">
        <f t="shared" si="52"/>
        <v>8.5796803860613261E-45</v>
      </c>
      <c r="J270" s="49">
        <f t="shared" si="52"/>
        <v>2.7507469646175257E-43</v>
      </c>
      <c r="K270" s="49">
        <f t="shared" si="52"/>
        <v>7.7558487630886783E-42</v>
      </c>
      <c r="L270" s="49">
        <f t="shared" si="53"/>
        <v>1.9469411491946216E-40</v>
      </c>
      <c r="M270" s="49">
        <f t="shared" si="53"/>
        <v>4.3947634956615079E-39</v>
      </c>
      <c r="N270" s="49">
        <f t="shared" si="53"/>
        <v>8.9935267640017404E-38</v>
      </c>
      <c r="O270" s="49">
        <f t="shared" si="53"/>
        <v>1.6800038482568814E-36</v>
      </c>
      <c r="P270" s="49">
        <f t="shared" si="53"/>
        <v>2.8813762280353048E-35</v>
      </c>
      <c r="Q270" s="49">
        <f t="shared" si="53"/>
        <v>4.5600090989147279E-34</v>
      </c>
      <c r="R270" s="49">
        <f t="shared" si="53"/>
        <v>6.687841033136879E-33</v>
      </c>
      <c r="S270" s="49">
        <f t="shared" si="53"/>
        <v>9.1243757330214783E-32</v>
      </c>
      <c r="T270" s="49">
        <f t="shared" si="53"/>
        <v>1.1618877148834613E-30</v>
      </c>
      <c r="U270" s="49">
        <f t="shared" si="53"/>
        <v>1.3850056726786417E-29</v>
      </c>
      <c r="V270" s="49">
        <f t="shared" si="53"/>
        <v>1.54956148041776E-28</v>
      </c>
      <c r="W270" s="47">
        <v>0.73299999999999998</v>
      </c>
    </row>
    <row r="271" spans="2:23" x14ac:dyDescent="0.25">
      <c r="B271" s="49">
        <f t="shared" si="52"/>
        <v>6.4355498353269762E-58</v>
      </c>
      <c r="C271" s="49">
        <f t="shared" si="52"/>
        <v>1.7647464027879384E-55</v>
      </c>
      <c r="D271" s="49">
        <f t="shared" si="52"/>
        <v>2.3956319088735305E-53</v>
      </c>
      <c r="E271" s="49">
        <f t="shared" si="52"/>
        <v>2.1463216311550799E-51</v>
      </c>
      <c r="F271" s="49">
        <f t="shared" si="52"/>
        <v>1.4276284143591908E-49</v>
      </c>
      <c r="G271" s="49">
        <f t="shared" si="52"/>
        <v>7.5190903628871814E-48</v>
      </c>
      <c r="H271" s="49">
        <f t="shared" si="52"/>
        <v>3.2660918264447348E-46</v>
      </c>
      <c r="I271" s="49">
        <f t="shared" si="52"/>
        <v>1.2033513283306737E-44</v>
      </c>
      <c r="J271" s="49">
        <f t="shared" si="52"/>
        <v>3.838529637609998E-43</v>
      </c>
      <c r="K271" s="49">
        <f t="shared" si="52"/>
        <v>1.0768043773849794E-41</v>
      </c>
      <c r="L271" s="49">
        <f t="shared" si="53"/>
        <v>2.689390360408681E-40</v>
      </c>
      <c r="M271" s="49">
        <f t="shared" si="53"/>
        <v>6.0399090129676241E-39</v>
      </c>
      <c r="N271" s="49">
        <f t="shared" si="53"/>
        <v>1.229756513514024E-37</v>
      </c>
      <c r="O271" s="49">
        <f t="shared" si="53"/>
        <v>2.2855669594246769E-36</v>
      </c>
      <c r="P271" s="49">
        <f t="shared" si="53"/>
        <v>3.9001255844164492E-35</v>
      </c>
      <c r="Q271" s="49">
        <f t="shared" si="53"/>
        <v>6.1410082098983718E-34</v>
      </c>
      <c r="R271" s="49">
        <f t="shared" si="53"/>
        <v>8.9609833789516737E-33</v>
      </c>
      <c r="S271" s="49">
        <f t="shared" si="53"/>
        <v>1.2163794903909793E-31</v>
      </c>
      <c r="T271" s="49">
        <f t="shared" si="53"/>
        <v>1.5410855354501436E-30</v>
      </c>
      <c r="U271" s="49">
        <f t="shared" si="53"/>
        <v>1.8277267813528876E-29</v>
      </c>
      <c r="V271" s="49">
        <f t="shared" si="53"/>
        <v>2.0345397635012146E-28</v>
      </c>
      <c r="W271" s="47">
        <v>0.73199999999999998</v>
      </c>
    </row>
    <row r="272" spans="2:23" x14ac:dyDescent="0.25">
      <c r="B272" s="49">
        <f t="shared" si="52"/>
        <v>9.3402631029822967E-58</v>
      </c>
      <c r="C272" s="49">
        <f t="shared" si="52"/>
        <v>2.5483093998382897E-55</v>
      </c>
      <c r="D272" s="49">
        <f t="shared" si="52"/>
        <v>3.4418074054331841E-53</v>
      </c>
      <c r="E272" s="49">
        <f t="shared" si="52"/>
        <v>3.0680196584576596E-51</v>
      </c>
      <c r="F272" s="49">
        <f t="shared" si="52"/>
        <v>2.0303720370660202E-49</v>
      </c>
      <c r="G272" s="49">
        <f t="shared" si="52"/>
        <v>1.0639546190891896E-47</v>
      </c>
      <c r="H272" s="49">
        <f t="shared" si="52"/>
        <v>4.598157223369466E-46</v>
      </c>
      <c r="I272" s="49">
        <f t="shared" si="52"/>
        <v>1.685566033232026E-44</v>
      </c>
      <c r="J272" s="49">
        <f t="shared" si="52"/>
        <v>5.3495397647638693E-43</v>
      </c>
      <c r="K272" s="49">
        <f t="shared" si="52"/>
        <v>1.4930928963375168E-41</v>
      </c>
      <c r="L272" s="49">
        <f t="shared" si="53"/>
        <v>3.710245710013332E-40</v>
      </c>
      <c r="M272" s="49">
        <f t="shared" si="53"/>
        <v>8.2904549781500346E-39</v>
      </c>
      <c r="N272" s="49">
        <f t="shared" si="53"/>
        <v>1.6794480992106051E-37</v>
      </c>
      <c r="O272" s="49">
        <f t="shared" si="53"/>
        <v>3.1055695054345997E-36</v>
      </c>
      <c r="P272" s="49">
        <f t="shared" si="53"/>
        <v>5.2726157673099433E-35</v>
      </c>
      <c r="Q272" s="49">
        <f t="shared" si="53"/>
        <v>8.2601481416772648E-34</v>
      </c>
      <c r="R272" s="49">
        <f t="shared" si="53"/>
        <v>1.1992365967836159E-32</v>
      </c>
      <c r="S272" s="49">
        <f t="shared" si="53"/>
        <v>1.6196447664646338E-31</v>
      </c>
      <c r="T272" s="49">
        <f t="shared" si="53"/>
        <v>2.041640959726153E-30</v>
      </c>
      <c r="U272" s="49">
        <f t="shared" si="53"/>
        <v>2.4091637999031707E-29</v>
      </c>
      <c r="V272" s="49">
        <f t="shared" si="53"/>
        <v>2.6682355958550342E-28</v>
      </c>
      <c r="W272" s="47">
        <v>0.73099999999999998</v>
      </c>
    </row>
    <row r="273" spans="2:23" x14ac:dyDescent="0.25">
      <c r="B273" s="49">
        <f t="shared" ref="B273:K282" si="54">_xlfn.HYPGEOM.DIST(B$2,comau,tongtheN*$W273,tongtheN,TRUE)</f>
        <v>1.3537304452490173E-57</v>
      </c>
      <c r="C273" s="49">
        <f t="shared" si="54"/>
        <v>3.6747420245309305E-55</v>
      </c>
      <c r="D273" s="49">
        <f t="shared" si="54"/>
        <v>4.938136662744875E-53</v>
      </c>
      <c r="E273" s="49">
        <f t="shared" si="54"/>
        <v>4.3796232705082818E-51</v>
      </c>
      <c r="F273" s="49">
        <f t="shared" si="54"/>
        <v>2.8837430607479696E-49</v>
      </c>
      <c r="G273" s="49">
        <f t="shared" si="54"/>
        <v>1.5035110411508149E-47</v>
      </c>
      <c r="H273" s="49">
        <f t="shared" si="54"/>
        <v>6.4650245690220876E-46</v>
      </c>
      <c r="I273" s="49">
        <f t="shared" si="54"/>
        <v>2.3579536159189426E-44</v>
      </c>
      <c r="J273" s="49">
        <f t="shared" si="54"/>
        <v>7.4457649372621561E-43</v>
      </c>
      <c r="K273" s="49">
        <f t="shared" si="54"/>
        <v>2.0676805796291617E-41</v>
      </c>
      <c r="L273" s="49">
        <f t="shared" ref="L273:V282" si="55">_xlfn.HYPGEOM.DIST(L$2,comau,tongtheN*$W273,tongtheN,TRUE)</f>
        <v>5.1121469181014404E-40</v>
      </c>
      <c r="M273" s="49">
        <f t="shared" si="55"/>
        <v>1.1365364989895607E-38</v>
      </c>
      <c r="N273" s="49">
        <f t="shared" si="55"/>
        <v>2.2907427657359432E-37</v>
      </c>
      <c r="O273" s="49">
        <f t="shared" si="55"/>
        <v>4.2145971402754618E-36</v>
      </c>
      <c r="P273" s="49">
        <f t="shared" si="55"/>
        <v>7.1194492346607392E-35</v>
      </c>
      <c r="Q273" s="49">
        <f t="shared" si="55"/>
        <v>1.1097214189519132E-33</v>
      </c>
      <c r="R273" s="49">
        <f t="shared" si="55"/>
        <v>1.6030138832957555E-32</v>
      </c>
      <c r="S273" s="49">
        <f t="shared" si="55"/>
        <v>2.1540654806763803E-31</v>
      </c>
      <c r="T273" s="49">
        <f t="shared" si="55"/>
        <v>2.7016288228617724E-30</v>
      </c>
      <c r="U273" s="49">
        <f t="shared" si="55"/>
        <v>3.1719060045341192E-29</v>
      </c>
      <c r="V273" s="49">
        <f t="shared" si="55"/>
        <v>3.4953151250205444E-28</v>
      </c>
      <c r="W273" s="47">
        <v>0.73</v>
      </c>
    </row>
    <row r="274" spans="2:23" x14ac:dyDescent="0.25">
      <c r="B274" s="49">
        <f t="shared" si="54"/>
        <v>1.9593379774362638E-57</v>
      </c>
      <c r="C274" s="49">
        <f t="shared" si="54"/>
        <v>5.2918898742831541E-55</v>
      </c>
      <c r="D274" s="49">
        <f t="shared" si="54"/>
        <v>7.0754498337857619E-53</v>
      </c>
      <c r="E274" s="49">
        <f t="shared" si="54"/>
        <v>6.2435982807448159E-51</v>
      </c>
      <c r="F274" s="49">
        <f t="shared" si="54"/>
        <v>4.0903667877565369E-49</v>
      </c>
      <c r="G274" s="49">
        <f t="shared" si="54"/>
        <v>2.1218763051414541E-47</v>
      </c>
      <c r="H274" s="49">
        <f t="shared" si="54"/>
        <v>9.0780305417723643E-46</v>
      </c>
      <c r="I274" s="49">
        <f t="shared" si="54"/>
        <v>3.2943141805016427E-44</v>
      </c>
      <c r="J274" s="49">
        <f t="shared" si="54"/>
        <v>1.0350174442457933E-42</v>
      </c>
      <c r="K274" s="49">
        <f t="shared" si="54"/>
        <v>2.8597672722127486E-41</v>
      </c>
      <c r="L274" s="49">
        <f t="shared" si="55"/>
        <v>7.0349300425930505E-40</v>
      </c>
      <c r="M274" s="49">
        <f t="shared" si="55"/>
        <v>1.5561425955491231E-38</v>
      </c>
      <c r="N274" s="49">
        <f t="shared" si="55"/>
        <v>3.1207014486217676E-37</v>
      </c>
      <c r="O274" s="49">
        <f t="shared" si="55"/>
        <v>5.7127106533232995E-36</v>
      </c>
      <c r="P274" s="49">
        <f t="shared" si="55"/>
        <v>9.601590967128093E-35</v>
      </c>
      <c r="Q274" s="49">
        <f t="shared" si="55"/>
        <v>1.4890929820973097E-33</v>
      </c>
      <c r="R274" s="49">
        <f t="shared" si="55"/>
        <v>2.1402110331709505E-32</v>
      </c>
      <c r="S274" s="49">
        <f t="shared" si="55"/>
        <v>2.8614761161816172E-31</v>
      </c>
      <c r="T274" s="49">
        <f t="shared" si="55"/>
        <v>3.5708308650326181E-30</v>
      </c>
      <c r="U274" s="49">
        <f t="shared" si="55"/>
        <v>4.1713513590378125E-29</v>
      </c>
      <c r="V274" s="49">
        <f t="shared" si="55"/>
        <v>4.5735789491265956E-28</v>
      </c>
      <c r="W274" s="47">
        <v>0.72899999999999998</v>
      </c>
    </row>
    <row r="275" spans="2:23" x14ac:dyDescent="0.25">
      <c r="B275" s="49">
        <f t="shared" si="54"/>
        <v>2.8320112934845903E-57</v>
      </c>
      <c r="C275" s="49">
        <f t="shared" si="54"/>
        <v>7.6104147617045316E-55</v>
      </c>
      <c r="D275" s="49">
        <f t="shared" si="54"/>
        <v>1.0124269957265295E-52</v>
      </c>
      <c r="E275" s="49">
        <f t="shared" si="54"/>
        <v>8.8890834527760997E-51</v>
      </c>
      <c r="F275" s="49">
        <f t="shared" si="54"/>
        <v>5.7942456408756117E-49</v>
      </c>
      <c r="G275" s="49">
        <f t="shared" si="54"/>
        <v>2.9906637643322513E-47</v>
      </c>
      <c r="H275" s="49">
        <f t="shared" si="54"/>
        <v>1.2730700780160823E-45</v>
      </c>
      <c r="I275" s="49">
        <f t="shared" si="54"/>
        <v>4.5966254068084484E-44</v>
      </c>
      <c r="J275" s="49">
        <f t="shared" si="54"/>
        <v>1.4369295844849459E-42</v>
      </c>
      <c r="K275" s="49">
        <f t="shared" si="54"/>
        <v>3.9503223350547278E-41</v>
      </c>
      <c r="L275" s="49">
        <f t="shared" si="55"/>
        <v>9.6688755696042798E-40</v>
      </c>
      <c r="M275" s="49">
        <f t="shared" si="55"/>
        <v>2.1280423138282482E-38</v>
      </c>
      <c r="N275" s="49">
        <f t="shared" si="55"/>
        <v>4.2461772759704509E-37</v>
      </c>
      <c r="O275" s="49">
        <f t="shared" si="55"/>
        <v>7.7339885471719165E-36</v>
      </c>
      <c r="P275" s="49">
        <f t="shared" si="55"/>
        <v>1.2933625450132961E-34</v>
      </c>
      <c r="Q275" s="49">
        <f t="shared" si="55"/>
        <v>1.9957910994826952E-33</v>
      </c>
      <c r="R275" s="49">
        <f t="shared" si="55"/>
        <v>2.8540821690805104E-32</v>
      </c>
      <c r="S275" s="49">
        <f t="shared" si="55"/>
        <v>3.796794161437145E-31</v>
      </c>
      <c r="T275" s="49">
        <f t="shared" si="55"/>
        <v>4.7142621546091875E-30</v>
      </c>
      <c r="U275" s="49">
        <f t="shared" si="55"/>
        <v>5.4794786127261408E-29</v>
      </c>
      <c r="V275" s="49">
        <f t="shared" si="55"/>
        <v>5.9777421295012229E-28</v>
      </c>
      <c r="W275" s="47">
        <v>0.72799999999999998</v>
      </c>
    </row>
    <row r="276" spans="2:23" x14ac:dyDescent="0.25">
      <c r="B276" s="49">
        <f t="shared" si="54"/>
        <v>4.087835510237315E-57</v>
      </c>
      <c r="C276" s="49">
        <f t="shared" si="54"/>
        <v>1.0930089988444388E-54</v>
      </c>
      <c r="D276" s="49">
        <f t="shared" si="54"/>
        <v>1.44675948436141E-52</v>
      </c>
      <c r="E276" s="49">
        <f t="shared" si="54"/>
        <v>1.2638835270664775E-50</v>
      </c>
      <c r="F276" s="49">
        <f t="shared" si="54"/>
        <v>8.1971837452261459E-49</v>
      </c>
      <c r="G276" s="49">
        <f t="shared" si="54"/>
        <v>4.2097209909384992E-47</v>
      </c>
      <c r="H276" s="49">
        <f t="shared" si="54"/>
        <v>1.7830201938230639E-45</v>
      </c>
      <c r="I276" s="49">
        <f t="shared" si="54"/>
        <v>6.405625926922389E-44</v>
      </c>
      <c r="J276" s="49">
        <f t="shared" si="54"/>
        <v>1.9924009946167579E-42</v>
      </c>
      <c r="K276" s="49">
        <f t="shared" si="54"/>
        <v>5.4499549016351967E-41</v>
      </c>
      <c r="L276" s="49">
        <f t="shared" si="55"/>
        <v>1.3272593018955373E-39</v>
      </c>
      <c r="M276" s="49">
        <f t="shared" si="55"/>
        <v>2.9065636242817451E-38</v>
      </c>
      <c r="N276" s="49">
        <f t="shared" si="55"/>
        <v>5.7705580860780088E-37</v>
      </c>
      <c r="O276" s="49">
        <f t="shared" si="55"/>
        <v>1.045788131266735E-35</v>
      </c>
      <c r="P276" s="49">
        <f t="shared" si="55"/>
        <v>1.740128577092855E-34</v>
      </c>
      <c r="Q276" s="49">
        <f t="shared" si="55"/>
        <v>2.6717598638885047E-33</v>
      </c>
      <c r="R276" s="49">
        <f t="shared" si="55"/>
        <v>3.8016358843171756E-32</v>
      </c>
      <c r="S276" s="49">
        <f t="shared" si="55"/>
        <v>5.0320303553281685E-31</v>
      </c>
      <c r="T276" s="49">
        <f t="shared" si="55"/>
        <v>6.216737818583803E-30</v>
      </c>
      <c r="U276" s="49">
        <f t="shared" si="55"/>
        <v>7.1897067475768226E-29</v>
      </c>
      <c r="V276" s="49">
        <f t="shared" si="55"/>
        <v>7.8042784498549737E-28</v>
      </c>
      <c r="W276" s="47">
        <v>0.72699999999999998</v>
      </c>
    </row>
    <row r="277" spans="2:23" x14ac:dyDescent="0.25">
      <c r="B277" s="49">
        <f t="shared" si="54"/>
        <v>5.892626902750341E-57</v>
      </c>
      <c r="C277" s="49">
        <f t="shared" si="54"/>
        <v>1.5676939471530897E-54</v>
      </c>
      <c r="D277" s="49">
        <f t="shared" si="54"/>
        <v>2.0646960371904457E-52</v>
      </c>
      <c r="E277" s="49">
        <f t="shared" si="54"/>
        <v>1.7946894983637486E-50</v>
      </c>
      <c r="F277" s="49">
        <f t="shared" si="54"/>
        <v>1.1581629562893701E-48</v>
      </c>
      <c r="G277" s="49">
        <f t="shared" si="54"/>
        <v>5.918086445918629E-47</v>
      </c>
      <c r="H277" s="49">
        <f t="shared" si="54"/>
        <v>2.4940635592293089E-45</v>
      </c>
      <c r="I277" s="49">
        <f t="shared" si="54"/>
        <v>8.9153084803260028E-44</v>
      </c>
      <c r="J277" s="49">
        <f t="shared" si="54"/>
        <v>2.7591505219672693E-42</v>
      </c>
      <c r="K277" s="49">
        <f t="shared" si="54"/>
        <v>7.5095809481566583E-41</v>
      </c>
      <c r="L277" s="49">
        <f t="shared" si="55"/>
        <v>1.8197136213114694E-39</v>
      </c>
      <c r="M277" s="49">
        <f t="shared" si="55"/>
        <v>3.9650796308737061E-38</v>
      </c>
      <c r="N277" s="49">
        <f t="shared" si="55"/>
        <v>7.8327643605020382E-37</v>
      </c>
      <c r="O277" s="49">
        <f t="shared" si="55"/>
        <v>1.4124285527097166E-35</v>
      </c>
      <c r="P277" s="49">
        <f t="shared" si="55"/>
        <v>2.3384605207560518E-34</v>
      </c>
      <c r="Q277" s="49">
        <f t="shared" si="55"/>
        <v>3.5725017902195868E-33</v>
      </c>
      <c r="R277" s="49">
        <f t="shared" si="55"/>
        <v>5.0579241258136595E-32</v>
      </c>
      <c r="S277" s="49">
        <f t="shared" si="55"/>
        <v>6.661503364011121E-31</v>
      </c>
      <c r="T277" s="49">
        <f t="shared" si="55"/>
        <v>8.1887805223787641E-30</v>
      </c>
      <c r="U277" s="49">
        <f t="shared" si="55"/>
        <v>9.4231484549348538E-29</v>
      </c>
      <c r="V277" s="49">
        <f t="shared" si="55"/>
        <v>1.0177621921257638E-27</v>
      </c>
      <c r="W277" s="47">
        <v>0.72599999999999998</v>
      </c>
    </row>
    <row r="278" spans="2:23" x14ac:dyDescent="0.25">
      <c r="B278" s="49">
        <f t="shared" si="54"/>
        <v>8.4829288660210848E-57</v>
      </c>
      <c r="C278" s="49">
        <f t="shared" si="54"/>
        <v>2.2455625719827006E-54</v>
      </c>
      <c r="D278" s="49">
        <f t="shared" si="54"/>
        <v>2.942708430958257E-52</v>
      </c>
      <c r="E278" s="49">
        <f t="shared" si="54"/>
        <v>2.5451178763007596E-50</v>
      </c>
      <c r="F278" s="49">
        <f t="shared" si="54"/>
        <v>1.634240507401913E-48</v>
      </c>
      <c r="G278" s="49">
        <f t="shared" si="54"/>
        <v>8.3091306603897539E-47</v>
      </c>
      <c r="H278" s="49">
        <f t="shared" si="54"/>
        <v>3.4842559922866227E-45</v>
      </c>
      <c r="I278" s="49">
        <f t="shared" si="54"/>
        <v>1.2392743272228248E-43</v>
      </c>
      <c r="J278" s="49">
        <f t="shared" si="54"/>
        <v>3.8162367358901827E-42</v>
      </c>
      <c r="K278" s="49">
        <f t="shared" si="54"/>
        <v>1.0334863947115802E-40</v>
      </c>
      <c r="L278" s="49">
        <f t="shared" si="55"/>
        <v>2.4918481719234778E-39</v>
      </c>
      <c r="M278" s="49">
        <f t="shared" si="55"/>
        <v>5.4025681605634796E-38</v>
      </c>
      <c r="N278" s="49">
        <f t="shared" si="55"/>
        <v>1.061924321027978E-36</v>
      </c>
      <c r="O278" s="49">
        <f t="shared" si="55"/>
        <v>1.9053533645819768E-35</v>
      </c>
      <c r="P278" s="49">
        <f t="shared" si="55"/>
        <v>3.1388460245322132E-34</v>
      </c>
      <c r="Q278" s="49">
        <f t="shared" si="55"/>
        <v>4.7713773084659749E-33</v>
      </c>
      <c r="R278" s="49">
        <f t="shared" si="55"/>
        <v>6.7216420574488031E-32</v>
      </c>
      <c r="S278" s="49">
        <f t="shared" si="55"/>
        <v>8.8086132052038308E-31</v>
      </c>
      <c r="T278" s="49">
        <f t="shared" si="55"/>
        <v>1.0774254051128264E-29</v>
      </c>
      <c r="U278" s="49">
        <f t="shared" si="55"/>
        <v>1.2336648917134275E-28</v>
      </c>
      <c r="V278" s="49">
        <f t="shared" si="55"/>
        <v>1.3258097374544968E-27</v>
      </c>
      <c r="W278" s="47">
        <v>0.72499999999999998</v>
      </c>
    </row>
    <row r="279" spans="2:23" x14ac:dyDescent="0.25">
      <c r="B279" s="49">
        <f t="shared" si="54"/>
        <v>1.219574278884285E-56</v>
      </c>
      <c r="C279" s="49">
        <f t="shared" si="54"/>
        <v>3.2123254116653391E-54</v>
      </c>
      <c r="D279" s="49">
        <f t="shared" si="54"/>
        <v>4.1886471676361816E-52</v>
      </c>
      <c r="E279" s="49">
        <f t="shared" si="54"/>
        <v>3.604681200967498E-50</v>
      </c>
      <c r="F279" s="49">
        <f t="shared" si="54"/>
        <v>2.3030724378336788E-48</v>
      </c>
      <c r="G279" s="49">
        <f t="shared" si="54"/>
        <v>1.1651454516031532E-46</v>
      </c>
      <c r="H279" s="49">
        <f t="shared" si="54"/>
        <v>4.8614722838568585E-45</v>
      </c>
      <c r="I279" s="49">
        <f t="shared" si="54"/>
        <v>1.7205159359617882E-43</v>
      </c>
      <c r="J279" s="49">
        <f t="shared" si="54"/>
        <v>5.2718171750199932E-42</v>
      </c>
      <c r="K279" s="49">
        <f t="shared" si="54"/>
        <v>1.4205741063669746E-40</v>
      </c>
      <c r="L279" s="49">
        <f t="shared" si="55"/>
        <v>3.4081219874098714E-39</v>
      </c>
      <c r="M279" s="49">
        <f t="shared" si="55"/>
        <v>7.3523906265444988E-38</v>
      </c>
      <c r="N279" s="49">
        <f t="shared" si="55"/>
        <v>1.4379937753566834E-36</v>
      </c>
      <c r="O279" s="49">
        <f t="shared" si="55"/>
        <v>2.5672872520973674E-35</v>
      </c>
      <c r="P279" s="49">
        <f t="shared" si="55"/>
        <v>4.2082819694244985E-34</v>
      </c>
      <c r="Q279" s="49">
        <f t="shared" si="55"/>
        <v>6.3652413820339313E-33</v>
      </c>
      <c r="R279" s="49">
        <f t="shared" si="55"/>
        <v>8.9224316027668995E-32</v>
      </c>
      <c r="S279" s="49">
        <f t="shared" si="55"/>
        <v>1.1634629790952726E-30</v>
      </c>
      <c r="T279" s="49">
        <f t="shared" si="55"/>
        <v>1.4160216727593861E-29</v>
      </c>
      <c r="U279" s="49">
        <f t="shared" si="55"/>
        <v>1.613310857537772E-28</v>
      </c>
      <c r="V279" s="49">
        <f t="shared" si="55"/>
        <v>1.7252051549489918E-27</v>
      </c>
      <c r="W279" s="47">
        <v>0.72399999999999998</v>
      </c>
    </row>
    <row r="280" spans="2:23" x14ac:dyDescent="0.25">
      <c r="B280" s="49">
        <f t="shared" si="54"/>
        <v>1.7510574443191314E-56</v>
      </c>
      <c r="C280" s="49">
        <f t="shared" si="54"/>
        <v>4.5893217898512175E-54</v>
      </c>
      <c r="D280" s="49">
        <f t="shared" si="54"/>
        <v>5.9544249906384856E-52</v>
      </c>
      <c r="E280" s="49">
        <f t="shared" si="54"/>
        <v>5.0988264130590071E-50</v>
      </c>
      <c r="F280" s="49">
        <f t="shared" si="54"/>
        <v>3.2415187003408175E-48</v>
      </c>
      <c r="G280" s="49">
        <f t="shared" si="54"/>
        <v>1.6317698681311924E-46</v>
      </c>
      <c r="H280" s="49">
        <f t="shared" si="54"/>
        <v>6.7746160336776023E-45</v>
      </c>
      <c r="I280" s="49">
        <f t="shared" si="54"/>
        <v>2.3856897475789477E-43</v>
      </c>
      <c r="J280" s="49">
        <f t="shared" si="54"/>
        <v>7.2736817938075645E-42</v>
      </c>
      <c r="K280" s="49">
        <f t="shared" si="54"/>
        <v>1.9502795042238412E-40</v>
      </c>
      <c r="L280" s="49">
        <f t="shared" si="55"/>
        <v>4.655726137148611E-39</v>
      </c>
      <c r="M280" s="49">
        <f t="shared" si="55"/>
        <v>9.9940275463740871E-38</v>
      </c>
      <c r="N280" s="49">
        <f t="shared" si="55"/>
        <v>1.944952540806783E-36</v>
      </c>
      <c r="O280" s="49">
        <f t="shared" si="55"/>
        <v>3.4551497508322072E-35</v>
      </c>
      <c r="P280" s="49">
        <f t="shared" si="55"/>
        <v>5.6355725368205105E-34</v>
      </c>
      <c r="Q280" s="49">
        <f t="shared" si="55"/>
        <v>8.4818249546915146E-33</v>
      </c>
      <c r="R280" s="49">
        <f t="shared" si="55"/>
        <v>1.1830396602059776E-31</v>
      </c>
      <c r="S280" s="49">
        <f t="shared" si="55"/>
        <v>1.5350083785685512E-30</v>
      </c>
      <c r="T280" s="49">
        <f t="shared" si="55"/>
        <v>1.8589626602542826E-29</v>
      </c>
      <c r="U280" s="49">
        <f t="shared" si="55"/>
        <v>2.1074724792031928E-28</v>
      </c>
      <c r="V280" s="49">
        <f t="shared" si="55"/>
        <v>2.2424781702392445E-27</v>
      </c>
      <c r="W280" s="47">
        <v>0.72299999999999998</v>
      </c>
    </row>
    <row r="281" spans="2:23" x14ac:dyDescent="0.25">
      <c r="B281" s="49">
        <f t="shared" si="54"/>
        <v>2.5108822555076533E-56</v>
      </c>
      <c r="C281" s="49">
        <f t="shared" si="54"/>
        <v>6.5481129100143436E-54</v>
      </c>
      <c r="D281" s="49">
        <f t="shared" si="54"/>
        <v>8.4537501292668002E-52</v>
      </c>
      <c r="E281" s="49">
        <f t="shared" si="54"/>
        <v>7.2031420270912227E-50</v>
      </c>
      <c r="F281" s="49">
        <f t="shared" si="54"/>
        <v>4.5566189193549377E-48</v>
      </c>
      <c r="G281" s="49">
        <f t="shared" si="54"/>
        <v>2.2824211233158035E-46</v>
      </c>
      <c r="H281" s="49">
        <f t="shared" si="54"/>
        <v>9.428975802861687E-45</v>
      </c>
      <c r="I281" s="49">
        <f t="shared" si="54"/>
        <v>3.3039772981782596E-43</v>
      </c>
      <c r="J281" s="49">
        <f t="shared" si="54"/>
        <v>1.0023535749688461E-41</v>
      </c>
      <c r="K281" s="49">
        <f t="shared" si="54"/>
        <v>2.6742830531902082E-40</v>
      </c>
      <c r="L281" s="49">
        <f t="shared" si="55"/>
        <v>6.3524629339020009E-39</v>
      </c>
      <c r="M281" s="49">
        <f t="shared" si="55"/>
        <v>1.3568748654828101E-37</v>
      </c>
      <c r="N281" s="49">
        <f t="shared" si="55"/>
        <v>2.6275631706583743E-36</v>
      </c>
      <c r="O281" s="49">
        <f t="shared" si="55"/>
        <v>4.6446854896577394E-35</v>
      </c>
      <c r="P281" s="49">
        <f t="shared" si="55"/>
        <v>7.5382954539561087E-34</v>
      </c>
      <c r="Q281" s="49">
        <f t="shared" si="55"/>
        <v>1.1289390771207504E-32</v>
      </c>
      <c r="R281" s="49">
        <f t="shared" si="55"/>
        <v>1.5668485869349793E-31</v>
      </c>
      <c r="S281" s="49">
        <f t="shared" si="55"/>
        <v>2.0229514507575581E-30</v>
      </c>
      <c r="T281" s="49">
        <f t="shared" si="55"/>
        <v>2.4377706392031985E-29</v>
      </c>
      <c r="U281" s="49">
        <f t="shared" si="55"/>
        <v>2.7499959919252376E-28</v>
      </c>
      <c r="V281" s="49">
        <f t="shared" si="55"/>
        <v>2.9117017062051352E-27</v>
      </c>
      <c r="W281" s="47">
        <v>0.72199999999999998</v>
      </c>
    </row>
    <row r="282" spans="2:23" x14ac:dyDescent="0.25">
      <c r="B282" s="49">
        <f t="shared" si="54"/>
        <v>3.595755760362983E-56</v>
      </c>
      <c r="C282" s="49">
        <f t="shared" si="54"/>
        <v>9.3309637985952186E-54</v>
      </c>
      <c r="D282" s="49">
        <f t="shared" si="54"/>
        <v>1.1986889305350891E-51</v>
      </c>
      <c r="E282" s="49">
        <f t="shared" si="54"/>
        <v>1.0163096584692204E-49</v>
      </c>
      <c r="F282" s="49">
        <f t="shared" si="54"/>
        <v>6.3972603540892773E-48</v>
      </c>
      <c r="G282" s="49">
        <f t="shared" si="54"/>
        <v>3.1885600639148286E-46</v>
      </c>
      <c r="H282" s="49">
        <f t="shared" si="54"/>
        <v>1.3107236333152482E-44</v>
      </c>
      <c r="I282" s="49">
        <f t="shared" si="54"/>
        <v>4.5701634970803776E-43</v>
      </c>
      <c r="J282" s="49">
        <f t="shared" si="54"/>
        <v>1.3796343595440874E-41</v>
      </c>
      <c r="K282" s="49">
        <f t="shared" si="54"/>
        <v>3.6626812193020796E-40</v>
      </c>
      <c r="L282" s="49">
        <f t="shared" si="55"/>
        <v>8.6573088268990426E-39</v>
      </c>
      <c r="M282" s="49">
        <f t="shared" si="55"/>
        <v>1.8400513146083012E-37</v>
      </c>
      <c r="N282" s="49">
        <f t="shared" si="55"/>
        <v>3.5456268767218775E-36</v>
      </c>
      <c r="O282" s="49">
        <f t="shared" si="55"/>
        <v>6.236576921207731E-35</v>
      </c>
      <c r="P282" s="49">
        <f t="shared" si="55"/>
        <v>1.0071951622253952E-33</v>
      </c>
      <c r="Q282" s="49">
        <f t="shared" si="55"/>
        <v>1.5009350635236122E-32</v>
      </c>
      <c r="R282" s="49">
        <f t="shared" si="55"/>
        <v>2.0728591215453842E-31</v>
      </c>
      <c r="S282" s="49">
        <f t="shared" si="55"/>
        <v>2.6630543912907045E-30</v>
      </c>
      <c r="T282" s="49">
        <f t="shared" si="55"/>
        <v>3.1933000141147676E-29</v>
      </c>
      <c r="U282" s="49">
        <f t="shared" si="55"/>
        <v>3.5845261757165411E-28</v>
      </c>
      <c r="V282" s="49">
        <f t="shared" si="55"/>
        <v>3.7765907777323547E-27</v>
      </c>
      <c r="W282" s="47">
        <v>0.72099999999999997</v>
      </c>
    </row>
    <row r="283" spans="2:23" x14ac:dyDescent="0.25">
      <c r="B283" s="49">
        <f t="shared" ref="B283:K292" si="56">_xlfn.HYPGEOM.DIST(B$2,comau,tongtheN*$W283,tongtheN,TRUE)</f>
        <v>5.1427561057618126E-56</v>
      </c>
      <c r="C283" s="49">
        <f t="shared" si="56"/>
        <v>1.3279555120600914E-53</v>
      </c>
      <c r="D283" s="49">
        <f t="shared" si="56"/>
        <v>1.6975205083577625E-51</v>
      </c>
      <c r="E283" s="49">
        <f t="shared" si="56"/>
        <v>1.4321428763186649E-49</v>
      </c>
      <c r="F283" s="49">
        <f t="shared" si="56"/>
        <v>8.9702869316822048E-48</v>
      </c>
      <c r="G283" s="49">
        <f t="shared" si="56"/>
        <v>4.4489670886180527E-46</v>
      </c>
      <c r="H283" s="49">
        <f t="shared" si="56"/>
        <v>1.8198193587044037E-44</v>
      </c>
      <c r="I283" s="49">
        <f t="shared" si="56"/>
        <v>6.3139587134519039E-43</v>
      </c>
      <c r="J283" s="49">
        <f t="shared" si="56"/>
        <v>1.8966498269745142E-41</v>
      </c>
      <c r="K283" s="49">
        <f t="shared" si="56"/>
        <v>5.0104386142090009E-40</v>
      </c>
      <c r="L283" s="49">
        <f t="shared" ref="L283:V292" si="57">_xlfn.HYPGEOM.DIST(L$2,comau,tongtheN*$W283,tongtheN,TRUE)</f>
        <v>1.1784559022932925E-38</v>
      </c>
      <c r="M283" s="49">
        <f t="shared" si="57"/>
        <v>2.4923814421109659E-37</v>
      </c>
      <c r="N283" s="49">
        <f t="shared" si="57"/>
        <v>4.778945929675076E-36</v>
      </c>
      <c r="O283" s="49">
        <f t="shared" si="57"/>
        <v>8.3645053196223472E-35</v>
      </c>
      <c r="P283" s="49">
        <f t="shared" si="57"/>
        <v>1.344196936255743E-33</v>
      </c>
      <c r="Q283" s="49">
        <f t="shared" si="57"/>
        <v>1.99327345949663E-32</v>
      </c>
      <c r="R283" s="49">
        <f t="shared" si="57"/>
        <v>2.7392452593383167E-31</v>
      </c>
      <c r="S283" s="49">
        <f t="shared" si="57"/>
        <v>3.5018519574547681E-30</v>
      </c>
      <c r="T283" s="49">
        <f t="shared" si="57"/>
        <v>4.1784438343224046E-29</v>
      </c>
      <c r="U283" s="49">
        <f t="shared" si="57"/>
        <v>4.6672838632212729E-28</v>
      </c>
      <c r="V283" s="49">
        <f t="shared" si="57"/>
        <v>4.8931726686840773E-27</v>
      </c>
      <c r="W283" s="47">
        <v>0.72</v>
      </c>
    </row>
    <row r="284" spans="2:23" x14ac:dyDescent="0.25">
      <c r="B284" s="49">
        <f t="shared" si="56"/>
        <v>7.3459430690649709E-56</v>
      </c>
      <c r="C284" s="49">
        <f t="shared" si="56"/>
        <v>1.8875182593747294E-53</v>
      </c>
      <c r="D284" s="49">
        <f t="shared" si="56"/>
        <v>2.4009267373053729E-51</v>
      </c>
      <c r="E284" s="49">
        <f t="shared" si="56"/>
        <v>2.0156109746218522E-49</v>
      </c>
      <c r="F284" s="49">
        <f t="shared" si="56"/>
        <v>1.2562713285384009E-47</v>
      </c>
      <c r="G284" s="49">
        <f t="shared" si="56"/>
        <v>6.2000232744742347E-46</v>
      </c>
      <c r="H284" s="49">
        <f t="shared" si="56"/>
        <v>2.5235952444319302E-44</v>
      </c>
      <c r="I284" s="49">
        <f t="shared" si="56"/>
        <v>8.7126595060210239E-43</v>
      </c>
      <c r="J284" s="49">
        <f t="shared" si="56"/>
        <v>2.6043182183178204E-41</v>
      </c>
      <c r="K284" s="49">
        <f t="shared" si="56"/>
        <v>6.8460622902250671E-40</v>
      </c>
      <c r="L284" s="49">
        <f t="shared" si="57"/>
        <v>1.6022747057489434E-38</v>
      </c>
      <c r="M284" s="49">
        <f t="shared" si="57"/>
        <v>3.3720735479402078E-37</v>
      </c>
      <c r="N284" s="49">
        <f t="shared" si="57"/>
        <v>6.4338939754301603E-36</v>
      </c>
      <c r="O284" s="49">
        <f t="shared" si="57"/>
        <v>1.1205769392290202E-34</v>
      </c>
      <c r="P284" s="49">
        <f t="shared" si="57"/>
        <v>1.7919436861178847E-33</v>
      </c>
      <c r="Q284" s="49">
        <f t="shared" si="57"/>
        <v>2.6441664987340819E-32</v>
      </c>
      <c r="R284" s="49">
        <f t="shared" si="57"/>
        <v>3.6158777055530727E-31</v>
      </c>
      <c r="S284" s="49">
        <f t="shared" si="57"/>
        <v>4.5998319189725593E-30</v>
      </c>
      <c r="T284" s="49">
        <f t="shared" si="57"/>
        <v>5.4616089841786526E-29</v>
      </c>
      <c r="U284" s="49">
        <f t="shared" si="57"/>
        <v>6.0706140277116291E-28</v>
      </c>
      <c r="V284" s="49">
        <f t="shared" si="57"/>
        <v>6.3331804230451408E-27</v>
      </c>
      <c r="W284" s="47">
        <v>0.71899999999999997</v>
      </c>
    </row>
    <row r="285" spans="2:23" x14ac:dyDescent="0.25">
      <c r="B285" s="49">
        <f t="shared" si="56"/>
        <v>1.0479703891161714E-55</v>
      </c>
      <c r="C285" s="49">
        <f t="shared" si="56"/>
        <v>2.6794971979645186E-53</v>
      </c>
      <c r="D285" s="49">
        <f t="shared" si="56"/>
        <v>3.3915793596530277E-51</v>
      </c>
      <c r="E285" s="49">
        <f t="shared" si="56"/>
        <v>2.833289598414114E-49</v>
      </c>
      <c r="F285" s="49">
        <f t="shared" si="56"/>
        <v>1.757232133021033E-47</v>
      </c>
      <c r="G285" s="49">
        <f t="shared" si="56"/>
        <v>8.6297996257267174E-46</v>
      </c>
      <c r="H285" s="49">
        <f t="shared" si="56"/>
        <v>3.4953371837753581E-44</v>
      </c>
      <c r="I285" s="49">
        <f t="shared" si="56"/>
        <v>1.2008323968258874E-42</v>
      </c>
      <c r="J285" s="49">
        <f t="shared" si="56"/>
        <v>3.5718094858186151E-41</v>
      </c>
      <c r="K285" s="49">
        <f t="shared" si="56"/>
        <v>9.3432503646479755E-40</v>
      </c>
      <c r="L285" s="49">
        <f t="shared" si="57"/>
        <v>2.175992299743233E-38</v>
      </c>
      <c r="M285" s="49">
        <f t="shared" si="57"/>
        <v>4.5570207177529947E-37</v>
      </c>
      <c r="N285" s="49">
        <f t="shared" si="57"/>
        <v>8.6521057366565999E-36</v>
      </c>
      <c r="O285" s="49">
        <f t="shared" si="57"/>
        <v>1.4995257819217634E-34</v>
      </c>
      <c r="P285" s="49">
        <f t="shared" si="57"/>
        <v>2.3861698547994062E-33</v>
      </c>
      <c r="Q285" s="49">
        <f t="shared" si="57"/>
        <v>3.5037326492751503E-32</v>
      </c>
      <c r="R285" s="49">
        <f t="shared" si="57"/>
        <v>4.7678381448628225E-31</v>
      </c>
      <c r="S285" s="49">
        <f t="shared" si="57"/>
        <v>6.0355355027061442E-30</v>
      </c>
      <c r="T285" s="49">
        <f t="shared" si="57"/>
        <v>7.1311737565509428E-29</v>
      </c>
      <c r="U285" s="49">
        <f t="shared" si="57"/>
        <v>7.887513604168167E-28</v>
      </c>
      <c r="V285" s="49">
        <f t="shared" si="57"/>
        <v>8.1883612214011164E-27</v>
      </c>
      <c r="W285" s="47">
        <v>0.71799999999999997</v>
      </c>
    </row>
    <row r="286" spans="2:23" x14ac:dyDescent="0.25">
      <c r="B286" s="49">
        <f t="shared" si="56"/>
        <v>1.4931525636603134E-55</v>
      </c>
      <c r="C286" s="49">
        <f t="shared" si="56"/>
        <v>3.7990395717787702E-53</v>
      </c>
      <c r="D286" s="49">
        <f t="shared" si="56"/>
        <v>4.7850675130908958E-51</v>
      </c>
      <c r="E286" s="49">
        <f t="shared" si="56"/>
        <v>3.9777993986875597E-49</v>
      </c>
      <c r="F286" s="49">
        <f t="shared" si="56"/>
        <v>2.4549753179836547E-47</v>
      </c>
      <c r="G286" s="49">
        <f t="shared" si="56"/>
        <v>1.1997342553853579E-45</v>
      </c>
      <c r="H286" s="49">
        <f t="shared" si="56"/>
        <v>4.8354852097505133E-44</v>
      </c>
      <c r="I286" s="49">
        <f t="shared" si="56"/>
        <v>1.6531044967718778E-42</v>
      </c>
      <c r="J286" s="49">
        <f t="shared" si="56"/>
        <v>4.8929799219658056E-41</v>
      </c>
      <c r="K286" s="49">
        <f t="shared" si="56"/>
        <v>1.2736517336711753E-39</v>
      </c>
      <c r="L286" s="49">
        <f t="shared" si="57"/>
        <v>2.9517389891993941E-38</v>
      </c>
      <c r="M286" s="49">
        <f t="shared" si="57"/>
        <v>6.151341602854423E-37</v>
      </c>
      <c r="N286" s="49">
        <f t="shared" si="57"/>
        <v>1.1621957248552433E-35</v>
      </c>
      <c r="O286" s="49">
        <f t="shared" si="57"/>
        <v>2.0043815263781457E-34</v>
      </c>
      <c r="P286" s="49">
        <f t="shared" si="57"/>
        <v>3.1739290399287261E-33</v>
      </c>
      <c r="Q286" s="49">
        <f t="shared" si="57"/>
        <v>4.6376358785796414E-32</v>
      </c>
      <c r="R286" s="49">
        <f t="shared" si="57"/>
        <v>6.2799685199090703E-31</v>
      </c>
      <c r="S286" s="49">
        <f t="shared" si="57"/>
        <v>7.9108384769646651E-30</v>
      </c>
      <c r="T286" s="49">
        <f t="shared" si="57"/>
        <v>9.3011996498212072E-29</v>
      </c>
      <c r="U286" s="49">
        <f t="shared" si="57"/>
        <v>1.0237403709481167E-27</v>
      </c>
      <c r="V286" s="49">
        <f t="shared" si="57"/>
        <v>1.0575940796923696E-26</v>
      </c>
      <c r="W286" s="47">
        <v>0.71699999999999997</v>
      </c>
    </row>
    <row r="287" spans="2:23" x14ac:dyDescent="0.25">
      <c r="B287" s="49">
        <f t="shared" si="56"/>
        <v>2.124794485432291E-55</v>
      </c>
      <c r="C287" s="49">
        <f t="shared" si="56"/>
        <v>5.3796807697753793E-53</v>
      </c>
      <c r="D287" s="49">
        <f t="shared" si="56"/>
        <v>6.742810261525516E-51</v>
      </c>
      <c r="E287" s="49">
        <f t="shared" si="56"/>
        <v>5.5778416122035403E-49</v>
      </c>
      <c r="F287" s="49">
        <f t="shared" si="56"/>
        <v>3.4256352665785215E-47</v>
      </c>
      <c r="G287" s="49">
        <f t="shared" si="56"/>
        <v>1.6659041567341199E-45</v>
      </c>
      <c r="H287" s="49">
        <f t="shared" si="56"/>
        <v>6.6815351347060448E-44</v>
      </c>
      <c r="I287" s="49">
        <f t="shared" si="56"/>
        <v>2.2730450561118773E-42</v>
      </c>
      <c r="J287" s="49">
        <f t="shared" si="56"/>
        <v>6.6950375806166106E-41</v>
      </c>
      <c r="K287" s="49">
        <f t="shared" si="56"/>
        <v>1.7342130398018374E-39</v>
      </c>
      <c r="L287" s="49">
        <f t="shared" si="57"/>
        <v>3.9994679088417443E-38</v>
      </c>
      <c r="M287" s="49">
        <f t="shared" si="57"/>
        <v>8.2940561525316985E-37</v>
      </c>
      <c r="N287" s="49">
        <f t="shared" si="57"/>
        <v>1.5593716372845451E-35</v>
      </c>
      <c r="O287" s="49">
        <f t="shared" si="57"/>
        <v>2.676235749217523E-34</v>
      </c>
      <c r="P287" s="49">
        <f t="shared" si="57"/>
        <v>4.2171127763182773E-33</v>
      </c>
      <c r="Q287" s="49">
        <f t="shared" si="57"/>
        <v>6.1318158380069588E-32</v>
      </c>
      <c r="R287" s="49">
        <f t="shared" si="57"/>
        <v>8.2627540259155291E-31</v>
      </c>
      <c r="S287" s="49">
        <f t="shared" si="57"/>
        <v>1.035774581774697E-29</v>
      </c>
      <c r="T287" s="49">
        <f t="shared" si="57"/>
        <v>1.2118742831396975E-28</v>
      </c>
      <c r="U287" s="49">
        <f t="shared" si="57"/>
        <v>1.3273480842164725E-27</v>
      </c>
      <c r="V287" s="49">
        <f t="shared" si="57"/>
        <v>1.3645547162406354E-26</v>
      </c>
      <c r="W287" s="47">
        <v>0.71599999999999997</v>
      </c>
    </row>
    <row r="288" spans="2:23" x14ac:dyDescent="0.25">
      <c r="B288" s="49">
        <f t="shared" si="56"/>
        <v>3.0198895844779051E-55</v>
      </c>
      <c r="C288" s="49">
        <f t="shared" si="56"/>
        <v>7.6086068662282877E-53</v>
      </c>
      <c r="D288" s="49">
        <f t="shared" si="56"/>
        <v>9.4899587508624694E-51</v>
      </c>
      <c r="E288" s="49">
        <f t="shared" si="56"/>
        <v>7.8120418324442856E-49</v>
      </c>
      <c r="F288" s="49">
        <f t="shared" si="56"/>
        <v>4.7743555807430589E-47</v>
      </c>
      <c r="G288" s="49">
        <f t="shared" si="56"/>
        <v>2.3104638699519795E-45</v>
      </c>
      <c r="H288" s="49">
        <f t="shared" si="56"/>
        <v>9.2214929821496056E-44</v>
      </c>
      <c r="I288" s="49">
        <f t="shared" si="56"/>
        <v>3.1218291991174747E-42</v>
      </c>
      <c r="J288" s="49">
        <f t="shared" si="56"/>
        <v>9.1501988746900454E-41</v>
      </c>
      <c r="K288" s="49">
        <f t="shared" si="56"/>
        <v>2.3586130966947856E-39</v>
      </c>
      <c r="L288" s="49">
        <f t="shared" si="57"/>
        <v>5.4129442941497348E-38</v>
      </c>
      <c r="M288" s="49">
        <f t="shared" si="57"/>
        <v>1.11705806973429E-36</v>
      </c>
      <c r="N288" s="49">
        <f t="shared" si="57"/>
        <v>2.0899515542227805E-35</v>
      </c>
      <c r="O288" s="49">
        <f t="shared" si="57"/>
        <v>3.5693501596486895E-34</v>
      </c>
      <c r="P288" s="49">
        <f t="shared" si="57"/>
        <v>5.5970425760943607E-33</v>
      </c>
      <c r="Q288" s="49">
        <f t="shared" si="57"/>
        <v>8.0986295764231959E-32</v>
      </c>
      <c r="R288" s="49">
        <f t="shared" si="57"/>
        <v>1.0859922975514256E-30</v>
      </c>
      <c r="S288" s="49">
        <f t="shared" si="57"/>
        <v>1.354712482089709E-29</v>
      </c>
      <c r="T288" s="49">
        <f t="shared" si="57"/>
        <v>1.5773203804237803E-28</v>
      </c>
      <c r="U288" s="49">
        <f t="shared" si="57"/>
        <v>1.7192069607239297E-27</v>
      </c>
      <c r="V288" s="49">
        <f t="shared" si="57"/>
        <v>1.7587974664662985E-26</v>
      </c>
      <c r="W288" s="47">
        <v>0.71499999999999997</v>
      </c>
    </row>
    <row r="289" spans="2:23" x14ac:dyDescent="0.25">
      <c r="B289" s="49">
        <f t="shared" si="56"/>
        <v>4.2867717399592308E-55</v>
      </c>
      <c r="C289" s="49">
        <f t="shared" si="56"/>
        <v>1.0747896343947303E-52</v>
      </c>
      <c r="D289" s="49">
        <f t="shared" si="56"/>
        <v>1.3340187085186311E-50</v>
      </c>
      <c r="E289" s="49">
        <f t="shared" si="56"/>
        <v>1.0928024958991891E-48</v>
      </c>
      <c r="F289" s="49">
        <f t="shared" si="56"/>
        <v>6.6461733328153749E-47</v>
      </c>
      <c r="G289" s="49">
        <f t="shared" si="56"/>
        <v>3.2006349411157483E-45</v>
      </c>
      <c r="H289" s="49">
        <f t="shared" si="56"/>
        <v>1.2712136385521303E-43</v>
      </c>
      <c r="I289" s="49">
        <f t="shared" si="56"/>
        <v>4.2825957614161177E-42</v>
      </c>
      <c r="J289" s="49">
        <f t="shared" si="56"/>
        <v>1.2491351515208996E-40</v>
      </c>
      <c r="K289" s="49">
        <f t="shared" si="56"/>
        <v>3.2041798108853775E-39</v>
      </c>
      <c r="L289" s="49">
        <f t="shared" si="57"/>
        <v>7.3177126107898946E-38</v>
      </c>
      <c r="M289" s="49">
        <f t="shared" si="57"/>
        <v>1.5027942203913109E-36</v>
      </c>
      <c r="N289" s="49">
        <f t="shared" si="57"/>
        <v>2.7979653538647584E-35</v>
      </c>
      <c r="O289" s="49">
        <f t="shared" si="57"/>
        <v>4.7553009499629238E-34</v>
      </c>
      <c r="P289" s="49">
        <f t="shared" si="57"/>
        <v>7.4204563143140382E-33</v>
      </c>
      <c r="Q289" s="49">
        <f t="shared" si="57"/>
        <v>1.0684817739792039E-31</v>
      </c>
      <c r="R289" s="49">
        <f t="shared" si="57"/>
        <v>1.4258254512522016E-30</v>
      </c>
      <c r="S289" s="49">
        <f t="shared" si="57"/>
        <v>1.7699918281971794E-29</v>
      </c>
      <c r="T289" s="49">
        <f t="shared" si="57"/>
        <v>2.0508271442659691E-28</v>
      </c>
      <c r="U289" s="49">
        <f t="shared" si="57"/>
        <v>2.2244510080726937E-27</v>
      </c>
      <c r="V289" s="49">
        <f t="shared" si="57"/>
        <v>2.2646266592397238E-26</v>
      </c>
      <c r="W289" s="47">
        <v>0.71399999999999997</v>
      </c>
    </row>
    <row r="290" spans="2:23" x14ac:dyDescent="0.25">
      <c r="B290" s="49">
        <f t="shared" si="56"/>
        <v>6.0776900621131547E-55</v>
      </c>
      <c r="C290" s="49">
        <f t="shared" si="56"/>
        <v>1.516404879685236E-52</v>
      </c>
      <c r="D290" s="49">
        <f t="shared" si="56"/>
        <v>1.8729982884805702E-50</v>
      </c>
      <c r="E290" s="49">
        <f t="shared" si="56"/>
        <v>1.5268667835214814E-48</v>
      </c>
      <c r="F290" s="49">
        <f t="shared" si="56"/>
        <v>9.2409241265656062E-47</v>
      </c>
      <c r="G290" s="49">
        <f t="shared" si="56"/>
        <v>4.4285793366357347E-45</v>
      </c>
      <c r="H290" s="49">
        <f t="shared" si="56"/>
        <v>1.7503772643789601E-43</v>
      </c>
      <c r="I290" s="49">
        <f t="shared" si="56"/>
        <v>5.8682057774030807E-42</v>
      </c>
      <c r="J290" s="49">
        <f t="shared" si="56"/>
        <v>1.7033077638909051E-40</v>
      </c>
      <c r="K290" s="49">
        <f t="shared" si="56"/>
        <v>4.3479680775603973E-39</v>
      </c>
      <c r="L290" s="49">
        <f t="shared" si="57"/>
        <v>9.8816832684841222E-38</v>
      </c>
      <c r="M290" s="49">
        <f t="shared" si="57"/>
        <v>2.019489350538238E-36</v>
      </c>
      <c r="N290" s="49">
        <f t="shared" si="57"/>
        <v>3.7417195215207581E-35</v>
      </c>
      <c r="O290" s="49">
        <f t="shared" si="57"/>
        <v>6.3284032389128803E-34</v>
      </c>
      <c r="P290" s="49">
        <f t="shared" si="57"/>
        <v>9.8273042414467445E-33</v>
      </c>
      <c r="Q290" s="49">
        <f t="shared" si="57"/>
        <v>1.4081826621162725E-31</v>
      </c>
      <c r="R290" s="49">
        <f t="shared" si="57"/>
        <v>1.8700222689966468E-30</v>
      </c>
      <c r="S290" s="49">
        <f t="shared" si="57"/>
        <v>2.3101527523744082E-29</v>
      </c>
      <c r="T290" s="49">
        <f t="shared" si="57"/>
        <v>2.663716605130339E-28</v>
      </c>
      <c r="U290" s="49">
        <f t="shared" si="57"/>
        <v>2.8752251774255187E-27</v>
      </c>
      <c r="V290" s="49">
        <f t="shared" si="57"/>
        <v>2.9129715995433832E-26</v>
      </c>
      <c r="W290" s="47">
        <v>0.71299999999999997</v>
      </c>
    </row>
    <row r="291" spans="2:23" x14ac:dyDescent="0.25">
      <c r="B291" s="49">
        <f t="shared" si="56"/>
        <v>8.6063564527610787E-55</v>
      </c>
      <c r="C291" s="49">
        <f t="shared" si="56"/>
        <v>2.1368985909872701E-52</v>
      </c>
      <c r="D291" s="49">
        <f t="shared" si="56"/>
        <v>2.6266023120918701E-50</v>
      </c>
      <c r="E291" s="49">
        <f t="shared" si="56"/>
        <v>2.1308189218944348E-48</v>
      </c>
      <c r="F291" s="49">
        <f t="shared" si="56"/>
        <v>1.2833630225651544E-46</v>
      </c>
      <c r="G291" s="49">
        <f t="shared" si="56"/>
        <v>6.120509019502214E-45</v>
      </c>
      <c r="H291" s="49">
        <f t="shared" si="56"/>
        <v>2.4073767381131913E-43</v>
      </c>
      <c r="I291" s="49">
        <f t="shared" si="56"/>
        <v>8.0316969647510435E-42</v>
      </c>
      <c r="J291" s="49">
        <f t="shared" si="56"/>
        <v>2.3199840706124505E-40</v>
      </c>
      <c r="K291" s="49">
        <f t="shared" si="56"/>
        <v>5.8934343414505512E-39</v>
      </c>
      <c r="L291" s="49">
        <f t="shared" si="57"/>
        <v>1.3329185168309037E-37</v>
      </c>
      <c r="M291" s="49">
        <f t="shared" si="57"/>
        <v>2.7108480040400861E-36</v>
      </c>
      <c r="N291" s="49">
        <f t="shared" si="57"/>
        <v>4.9983439232804031E-35</v>
      </c>
      <c r="O291" s="49">
        <f t="shared" si="57"/>
        <v>8.4128036057297305E-34</v>
      </c>
      <c r="P291" s="49">
        <f t="shared" si="57"/>
        <v>1.3000891184235116E-32</v>
      </c>
      <c r="Q291" s="49">
        <f t="shared" si="57"/>
        <v>1.8539169096117675E-31</v>
      </c>
      <c r="R291" s="49">
        <f t="shared" si="57"/>
        <v>2.450028069003551E-30</v>
      </c>
      <c r="S291" s="49">
        <f t="shared" si="57"/>
        <v>3.0120242870089303E-29</v>
      </c>
      <c r="T291" s="49">
        <f t="shared" si="57"/>
        <v>3.456207335968829E-28</v>
      </c>
      <c r="U291" s="49">
        <f t="shared" si="57"/>
        <v>3.7126000347559833E-27</v>
      </c>
      <c r="V291" s="49">
        <f t="shared" si="57"/>
        <v>3.7431535917860269E-26</v>
      </c>
      <c r="W291" s="47">
        <v>0.71199999999999997</v>
      </c>
    </row>
    <row r="292" spans="2:23" x14ac:dyDescent="0.25">
      <c r="B292" s="49">
        <f t="shared" si="56"/>
        <v>1.2172403971456552E-54</v>
      </c>
      <c r="C292" s="49">
        <f t="shared" si="56"/>
        <v>3.0076916174860388E-52</v>
      </c>
      <c r="D292" s="49">
        <f t="shared" si="56"/>
        <v>3.6790553724238911E-50</v>
      </c>
      <c r="E292" s="49">
        <f t="shared" si="56"/>
        <v>2.9701707076278284E-48</v>
      </c>
      <c r="F292" s="49">
        <f t="shared" si="56"/>
        <v>1.7802357453012323E-46</v>
      </c>
      <c r="G292" s="49">
        <f t="shared" si="56"/>
        <v>8.4490706820496515E-45</v>
      </c>
      <c r="H292" s="49">
        <f t="shared" si="56"/>
        <v>3.307190071245965E-43</v>
      </c>
      <c r="I292" s="49">
        <f t="shared" si="56"/>
        <v>1.0980355632532532E-41</v>
      </c>
      <c r="J292" s="49">
        <f t="shared" si="56"/>
        <v>3.1563736318095553E-40</v>
      </c>
      <c r="K292" s="49">
        <f t="shared" si="56"/>
        <v>7.9793312472776501E-39</v>
      </c>
      <c r="L292" s="49">
        <f t="shared" si="57"/>
        <v>1.7959598869258704E-37</v>
      </c>
      <c r="M292" s="49">
        <f t="shared" si="57"/>
        <v>3.6349090295823008E-36</v>
      </c>
      <c r="N292" s="49">
        <f t="shared" si="57"/>
        <v>6.6697605144770843E-35</v>
      </c>
      <c r="O292" s="49">
        <f t="shared" si="57"/>
        <v>1.1171744083786582E-33</v>
      </c>
      <c r="P292" s="49">
        <f t="shared" si="57"/>
        <v>1.7181057496024422E-32</v>
      </c>
      <c r="Q292" s="49">
        <f t="shared" si="57"/>
        <v>2.4381701563982436E-31</v>
      </c>
      <c r="R292" s="49">
        <f t="shared" si="57"/>
        <v>3.2065812080296041E-30</v>
      </c>
      <c r="S292" s="49">
        <f t="shared" si="57"/>
        <v>3.9230837029563288E-29</v>
      </c>
      <c r="T292" s="49">
        <f t="shared" si="57"/>
        <v>4.4798897289702008E-28</v>
      </c>
      <c r="U292" s="49">
        <f t="shared" si="57"/>
        <v>4.7889981532121305E-27</v>
      </c>
      <c r="V292" s="49">
        <f t="shared" si="57"/>
        <v>4.8051139193694003E-26</v>
      </c>
      <c r="W292" s="47">
        <v>0.71099999999999997</v>
      </c>
    </row>
    <row r="293" spans="2:23" x14ac:dyDescent="0.25">
      <c r="B293" s="49">
        <f t="shared" ref="B293:K302" si="58">_xlfn.HYPGEOM.DIST(B$2,comau,tongtheN*$W293,tongtheN,TRUE)</f>
        <v>1.7195438320989777E-54</v>
      </c>
      <c r="C293" s="49">
        <f t="shared" si="58"/>
        <v>4.2283110860148419E-52</v>
      </c>
      <c r="D293" s="49">
        <f t="shared" si="58"/>
        <v>5.1471512310670409E-50</v>
      </c>
      <c r="E293" s="49">
        <f t="shared" si="58"/>
        <v>4.1353212061491355E-48</v>
      </c>
      <c r="F293" s="49">
        <f t="shared" si="58"/>
        <v>2.4666234424793374E-46</v>
      </c>
      <c r="G293" s="49">
        <f t="shared" si="58"/>
        <v>1.1650164529187517E-44</v>
      </c>
      <c r="H293" s="49">
        <f t="shared" si="58"/>
        <v>4.5381655918055841E-43</v>
      </c>
      <c r="I293" s="49">
        <f t="shared" si="58"/>
        <v>1.4994637128631565E-41</v>
      </c>
      <c r="J293" s="49">
        <f t="shared" si="58"/>
        <v>4.289499761000023E-40</v>
      </c>
      <c r="K293" s="49">
        <f t="shared" si="58"/>
        <v>1.079154818387003E-38</v>
      </c>
      <c r="L293" s="49">
        <f t="shared" ref="L293:V302" si="59">_xlfn.HYPGEOM.DIST(L$2,comau,tongtheN*$W293,tongtheN,TRUE)</f>
        <v>2.4172037382179049E-37</v>
      </c>
      <c r="M293" s="49">
        <f t="shared" si="59"/>
        <v>4.8686650689180824E-36</v>
      </c>
      <c r="N293" s="49">
        <f t="shared" si="59"/>
        <v>8.8905105452529888E-35</v>
      </c>
      <c r="O293" s="49">
        <f t="shared" si="59"/>
        <v>1.4819649998957479E-33</v>
      </c>
      <c r="P293" s="49">
        <f t="shared" si="59"/>
        <v>2.268129177625239E-32</v>
      </c>
      <c r="Q293" s="49">
        <f t="shared" si="59"/>
        <v>3.2031942131320874E-31</v>
      </c>
      <c r="R293" s="49">
        <f t="shared" si="59"/>
        <v>4.1924059760510284E-30</v>
      </c>
      <c r="S293" s="49">
        <f t="shared" si="59"/>
        <v>5.1044737805896211E-29</v>
      </c>
      <c r="T293" s="49">
        <f t="shared" si="59"/>
        <v>5.8008756287756461E-28</v>
      </c>
      <c r="U293" s="49">
        <f t="shared" si="59"/>
        <v>6.1712660092215004E-27</v>
      </c>
      <c r="V293" s="49">
        <f t="shared" si="59"/>
        <v>6.162220331024781E-26</v>
      </c>
      <c r="W293" s="47">
        <v>0.71</v>
      </c>
    </row>
    <row r="294" spans="2:23" x14ac:dyDescent="0.25">
      <c r="B294" s="49">
        <f t="shared" si="58"/>
        <v>2.4262390694103885E-54</v>
      </c>
      <c r="C294" s="49">
        <f t="shared" si="58"/>
        <v>5.937290999189484E-52</v>
      </c>
      <c r="D294" s="49">
        <f t="shared" si="58"/>
        <v>7.1926618037945766E-50</v>
      </c>
      <c r="E294" s="49">
        <f t="shared" si="58"/>
        <v>5.7508696671134591E-48</v>
      </c>
      <c r="F294" s="49">
        <f t="shared" si="58"/>
        <v>3.4137283891155775E-46</v>
      </c>
      <c r="G294" s="49">
        <f t="shared" si="58"/>
        <v>1.6045759529877629E-44</v>
      </c>
      <c r="H294" s="49">
        <f t="shared" si="58"/>
        <v>6.2202947178362319E-43</v>
      </c>
      <c r="I294" s="49">
        <f t="shared" si="58"/>
        <v>2.0453577969367429E-41</v>
      </c>
      <c r="J294" s="49">
        <f t="shared" si="58"/>
        <v>5.8229492276959061E-40</v>
      </c>
      <c r="K294" s="49">
        <f t="shared" si="58"/>
        <v>1.4578856700554241E-38</v>
      </c>
      <c r="L294" s="49">
        <f t="shared" si="59"/>
        <v>3.2498003112265314E-37</v>
      </c>
      <c r="M294" s="49">
        <f t="shared" si="59"/>
        <v>6.5141445002486471E-36</v>
      </c>
      <c r="N294" s="49">
        <f t="shared" si="59"/>
        <v>1.1838008375173404E-34</v>
      </c>
      <c r="O294" s="49">
        <f t="shared" si="59"/>
        <v>1.9637886318111337E-33</v>
      </c>
      <c r="P294" s="49">
        <f t="shared" si="59"/>
        <v>2.9910925712466773E-32</v>
      </c>
      <c r="Q294" s="49">
        <f t="shared" si="59"/>
        <v>4.2038872152456513E-31</v>
      </c>
      <c r="R294" s="49">
        <f t="shared" si="59"/>
        <v>5.4756703790447723E-30</v>
      </c>
      <c r="S294" s="49">
        <f t="shared" si="59"/>
        <v>6.6348576963332959E-29</v>
      </c>
      <c r="T294" s="49">
        <f t="shared" si="59"/>
        <v>7.50380214284236E-28</v>
      </c>
      <c r="U294" s="49">
        <f t="shared" si="59"/>
        <v>7.9445593617622737E-27</v>
      </c>
      <c r="V294" s="49">
        <f t="shared" si="59"/>
        <v>7.894798873717819E-26</v>
      </c>
      <c r="W294" s="47">
        <v>0.70899999999999996</v>
      </c>
    </row>
    <row r="295" spans="2:23" x14ac:dyDescent="0.25">
      <c r="B295" s="49">
        <f t="shared" si="58"/>
        <v>3.4193292791842475E-54</v>
      </c>
      <c r="C295" s="49">
        <f t="shared" si="58"/>
        <v>8.3272388610173472E-52</v>
      </c>
      <c r="D295" s="49">
        <f t="shared" si="58"/>
        <v>1.0039403940102493E-49</v>
      </c>
      <c r="E295" s="49">
        <f t="shared" si="58"/>
        <v>7.9883608041797737E-48</v>
      </c>
      <c r="F295" s="49">
        <f t="shared" si="58"/>
        <v>4.7191006255980567E-46</v>
      </c>
      <c r="G295" s="49">
        <f t="shared" si="58"/>
        <v>2.2074809321193102E-44</v>
      </c>
      <c r="H295" s="49">
        <f t="shared" si="58"/>
        <v>8.5163665124686361E-43</v>
      </c>
      <c r="I295" s="49">
        <f t="shared" si="58"/>
        <v>2.7868890403658938E-41</v>
      </c>
      <c r="J295" s="49">
        <f t="shared" si="58"/>
        <v>7.8958831982593602E-40</v>
      </c>
      <c r="K295" s="49">
        <f t="shared" si="58"/>
        <v>1.9673826546433325E-38</v>
      </c>
      <c r="L295" s="49">
        <f t="shared" si="59"/>
        <v>4.3644553570843579E-37</v>
      </c>
      <c r="M295" s="49">
        <f t="shared" si="59"/>
        <v>8.706410555057873E-36</v>
      </c>
      <c r="N295" s="49">
        <f t="shared" si="59"/>
        <v>1.5745960453245542E-34</v>
      </c>
      <c r="O295" s="49">
        <f t="shared" si="59"/>
        <v>2.5995275033080214E-33</v>
      </c>
      <c r="P295" s="49">
        <f t="shared" si="59"/>
        <v>3.9403891419430823E-32</v>
      </c>
      <c r="Q295" s="49">
        <f t="shared" si="59"/>
        <v>5.511506754463246E-31</v>
      </c>
      <c r="R295" s="49">
        <f t="shared" si="59"/>
        <v>7.1444216932803861E-30</v>
      </c>
      <c r="S295" s="49">
        <f t="shared" si="59"/>
        <v>8.6153392460916006E-29</v>
      </c>
      <c r="T295" s="49">
        <f t="shared" si="59"/>
        <v>9.6969163615339089E-28</v>
      </c>
      <c r="U295" s="49">
        <f t="shared" si="59"/>
        <v>1.0217252833162462E-26</v>
      </c>
      <c r="V295" s="49">
        <f t="shared" si="59"/>
        <v>1.0104574327541705E-25</v>
      </c>
      <c r="W295" s="47">
        <v>0.70799999999999996</v>
      </c>
    </row>
    <row r="296" spans="2:23" x14ac:dyDescent="0.25">
      <c r="B296" s="49">
        <f t="shared" si="58"/>
        <v>4.813253759359391E-54</v>
      </c>
      <c r="C296" s="49">
        <f t="shared" si="58"/>
        <v>1.166563715192074E-51</v>
      </c>
      <c r="D296" s="49">
        <f t="shared" si="58"/>
        <v>1.3996686221018975E-49</v>
      </c>
      <c r="E296" s="49">
        <f t="shared" si="58"/>
        <v>1.1083708236603739E-47</v>
      </c>
      <c r="F296" s="49">
        <f t="shared" si="58"/>
        <v>6.5162394606371114E-46</v>
      </c>
      <c r="G296" s="49">
        <f t="shared" si="58"/>
        <v>3.033509954880661E-44</v>
      </c>
      <c r="H296" s="49">
        <f t="shared" si="58"/>
        <v>1.1646991725086291E-42</v>
      </c>
      <c r="I296" s="49">
        <f t="shared" si="58"/>
        <v>3.7930657213409845E-41</v>
      </c>
      <c r="J296" s="49">
        <f t="shared" si="58"/>
        <v>1.0695054271823592E-39</v>
      </c>
      <c r="K296" s="49">
        <f t="shared" si="58"/>
        <v>2.652058127015969E-38</v>
      </c>
      <c r="L296" s="49">
        <f t="shared" si="59"/>
        <v>5.8551298415501203E-37</v>
      </c>
      <c r="M296" s="49">
        <f t="shared" si="59"/>
        <v>1.1624071152000348E-35</v>
      </c>
      <c r="N296" s="49">
        <f t="shared" si="59"/>
        <v>2.0921908639233719E-34</v>
      </c>
      <c r="O296" s="49">
        <f t="shared" si="59"/>
        <v>3.4374785295807447E-33</v>
      </c>
      <c r="P296" s="49">
        <f t="shared" si="59"/>
        <v>5.1855944477261876E-32</v>
      </c>
      <c r="Q296" s="49">
        <f t="shared" si="59"/>
        <v>7.2184521644349153E-31</v>
      </c>
      <c r="R296" s="49">
        <f t="shared" si="59"/>
        <v>9.3122707095664951E-30</v>
      </c>
      <c r="S296" s="49">
        <f t="shared" si="59"/>
        <v>1.1175736733042263E-28</v>
      </c>
      <c r="T296" s="49">
        <f t="shared" si="59"/>
        <v>1.2518526600226814E-27</v>
      </c>
      <c r="U296" s="49">
        <f t="shared" si="59"/>
        <v>1.3127137774894518E-26</v>
      </c>
      <c r="V296" s="49">
        <f t="shared" si="59"/>
        <v>1.2920247732090104E-25</v>
      </c>
      <c r="W296" s="47">
        <v>0.70699999999999996</v>
      </c>
    </row>
    <row r="297" spans="2:23" x14ac:dyDescent="0.25">
      <c r="B297" s="49">
        <f t="shared" si="58"/>
        <v>6.7675358502181151E-54</v>
      </c>
      <c r="C297" s="49">
        <f t="shared" si="58"/>
        <v>1.6323530522805353E-51</v>
      </c>
      <c r="D297" s="49">
        <f t="shared" si="58"/>
        <v>1.9491485211592974E-49</v>
      </c>
      <c r="E297" s="49">
        <f t="shared" si="58"/>
        <v>1.5360987129063846E-47</v>
      </c>
      <c r="F297" s="49">
        <f t="shared" si="58"/>
        <v>8.9876402528353116E-46</v>
      </c>
      <c r="G297" s="49">
        <f t="shared" si="58"/>
        <v>4.1639830894184518E-44</v>
      </c>
      <c r="H297" s="49">
        <f t="shared" si="58"/>
        <v>1.5910817049904079E-42</v>
      </c>
      <c r="I297" s="49">
        <f t="shared" si="58"/>
        <v>5.1568508842531656E-41</v>
      </c>
      <c r="J297" s="49">
        <f t="shared" si="58"/>
        <v>1.4470815670560987E-39</v>
      </c>
      <c r="K297" s="49">
        <f t="shared" si="58"/>
        <v>3.5711591684427398E-38</v>
      </c>
      <c r="L297" s="49">
        <f t="shared" si="59"/>
        <v>7.8465582285650821E-37</v>
      </c>
      <c r="M297" s="49">
        <f t="shared" si="59"/>
        <v>1.5503073422173777E-35</v>
      </c>
      <c r="N297" s="49">
        <f t="shared" si="59"/>
        <v>2.7770142325427193E-34</v>
      </c>
      <c r="O297" s="49">
        <f t="shared" si="59"/>
        <v>4.5408218666971632E-33</v>
      </c>
      <c r="P297" s="49">
        <f t="shared" si="59"/>
        <v>6.8172797077563718E-32</v>
      </c>
      <c r="Q297" s="49">
        <f t="shared" si="59"/>
        <v>9.4444177635459543E-31</v>
      </c>
      <c r="R297" s="49">
        <f t="shared" si="59"/>
        <v>1.2125669111652142E-29</v>
      </c>
      <c r="S297" s="49">
        <f t="shared" si="59"/>
        <v>1.448257523647697E-28</v>
      </c>
      <c r="T297" s="49">
        <f t="shared" si="59"/>
        <v>1.6145179607361996E-27</v>
      </c>
      <c r="U297" s="49">
        <f t="shared" si="59"/>
        <v>1.6849239073419356E-26</v>
      </c>
      <c r="V297" s="49">
        <f t="shared" si="59"/>
        <v>1.6504495630295941E-25</v>
      </c>
      <c r="W297" s="47">
        <v>0.70599999999999996</v>
      </c>
    </row>
    <row r="298" spans="2:23" x14ac:dyDescent="0.25">
      <c r="B298" s="49">
        <f t="shared" si="58"/>
        <v>9.5042922308416106E-54</v>
      </c>
      <c r="C298" s="49">
        <f t="shared" si="58"/>
        <v>2.2815044355736769E-51</v>
      </c>
      <c r="D298" s="49">
        <f t="shared" si="58"/>
        <v>2.7112552774927014E-49</v>
      </c>
      <c r="E298" s="49">
        <f t="shared" si="58"/>
        <v>2.1264888970899496E-47</v>
      </c>
      <c r="F298" s="49">
        <f t="shared" si="58"/>
        <v>1.2382503613635951E-45</v>
      </c>
      <c r="G298" s="49">
        <f t="shared" si="58"/>
        <v>5.7094044884425494E-44</v>
      </c>
      <c r="H298" s="49">
        <f t="shared" si="58"/>
        <v>2.1711693804801962E-42</v>
      </c>
      <c r="I298" s="49">
        <f t="shared" si="58"/>
        <v>7.0033442580352383E-41</v>
      </c>
      <c r="J298" s="49">
        <f t="shared" si="58"/>
        <v>1.9558426615297664E-39</v>
      </c>
      <c r="K298" s="49">
        <f t="shared" si="58"/>
        <v>4.8036399833535845E-38</v>
      </c>
      <c r="L298" s="49">
        <f t="shared" si="59"/>
        <v>1.0504155455111619E-36</v>
      </c>
      <c r="M298" s="49">
        <f t="shared" si="59"/>
        <v>2.0654791173247008E-35</v>
      </c>
      <c r="N298" s="49">
        <f t="shared" si="59"/>
        <v>3.6821592356185112E-34</v>
      </c>
      <c r="O298" s="49">
        <f t="shared" si="59"/>
        <v>5.9921239634368139E-33</v>
      </c>
      <c r="P298" s="49">
        <f t="shared" si="59"/>
        <v>8.9532297748770468E-32</v>
      </c>
      <c r="Q298" s="49">
        <f t="shared" si="59"/>
        <v>1.2344302349289075E-30</v>
      </c>
      <c r="R298" s="49">
        <f t="shared" si="59"/>
        <v>1.5773217496198949E-29</v>
      </c>
      <c r="S298" s="49">
        <f t="shared" si="59"/>
        <v>1.8749258170817723E-28</v>
      </c>
      <c r="T298" s="49">
        <f t="shared" si="59"/>
        <v>2.0802015676901538E-27</v>
      </c>
      <c r="U298" s="49">
        <f t="shared" si="59"/>
        <v>2.1605664521089895E-26</v>
      </c>
      <c r="V298" s="49">
        <f t="shared" si="59"/>
        <v>2.1062745258860966E-25</v>
      </c>
      <c r="W298" s="47">
        <v>0.70499999999999996</v>
      </c>
    </row>
    <row r="299" spans="2:23" x14ac:dyDescent="0.25">
      <c r="B299" s="49">
        <f t="shared" si="58"/>
        <v>1.333244525885547E-53</v>
      </c>
      <c r="C299" s="49">
        <f t="shared" si="58"/>
        <v>3.1851764430738861E-51</v>
      </c>
      <c r="D299" s="49">
        <f t="shared" si="58"/>
        <v>3.7670812634691169E-49</v>
      </c>
      <c r="E299" s="49">
        <f t="shared" si="58"/>
        <v>2.9404944273062202E-47</v>
      </c>
      <c r="F299" s="49">
        <f t="shared" si="58"/>
        <v>1.704074745773152E-45</v>
      </c>
      <c r="G299" s="49">
        <f t="shared" si="58"/>
        <v>7.8197741443954797E-44</v>
      </c>
      <c r="H299" s="49">
        <f t="shared" si="58"/>
        <v>2.9595155169990878E-42</v>
      </c>
      <c r="I299" s="49">
        <f t="shared" si="58"/>
        <v>9.5007134594768119E-41</v>
      </c>
      <c r="J299" s="49">
        <f t="shared" si="58"/>
        <v>2.6406376668945952E-39</v>
      </c>
      <c r="K299" s="49">
        <f t="shared" si="58"/>
        <v>6.4546075901702605E-38</v>
      </c>
      <c r="L299" s="49">
        <f t="shared" si="59"/>
        <v>1.4047058273972435E-36</v>
      </c>
      <c r="M299" s="49">
        <f t="shared" si="59"/>
        <v>2.7489717423498788E-35</v>
      </c>
      <c r="N299" s="49">
        <f t="shared" si="59"/>
        <v>4.8772795368229539E-34</v>
      </c>
      <c r="O299" s="49">
        <f t="shared" si="59"/>
        <v>7.8991779263061701E-33</v>
      </c>
      <c r="P299" s="49">
        <f t="shared" si="59"/>
        <v>1.1746467825215609E-31</v>
      </c>
      <c r="Q299" s="49">
        <f t="shared" si="59"/>
        <v>1.6118366357329198E-30</v>
      </c>
      <c r="R299" s="49">
        <f t="shared" si="59"/>
        <v>2.0497559223304677E-29</v>
      </c>
      <c r="S299" s="49">
        <f t="shared" si="59"/>
        <v>2.4249000060678727E-28</v>
      </c>
      <c r="T299" s="49">
        <f t="shared" si="59"/>
        <v>2.6775869371756994E-27</v>
      </c>
      <c r="U299" s="49">
        <f t="shared" si="59"/>
        <v>2.7678003690288505E-26</v>
      </c>
      <c r="V299" s="49">
        <f t="shared" si="59"/>
        <v>2.6854166136572511E-25</v>
      </c>
      <c r="W299" s="47">
        <v>0.70399999999999996</v>
      </c>
    </row>
    <row r="300" spans="2:23" x14ac:dyDescent="0.25">
      <c r="B300" s="49">
        <f t="shared" si="58"/>
        <v>1.8681167599563906E-53</v>
      </c>
      <c r="C300" s="49">
        <f t="shared" si="58"/>
        <v>4.4417484581748857E-51</v>
      </c>
      <c r="D300" s="49">
        <f t="shared" si="58"/>
        <v>5.2281972442088808E-49</v>
      </c>
      <c r="E300" s="49">
        <f t="shared" si="58"/>
        <v>4.061571549860458E-47</v>
      </c>
      <c r="F300" s="49">
        <f t="shared" si="58"/>
        <v>2.3425530498059607E-45</v>
      </c>
      <c r="G300" s="49">
        <f t="shared" si="58"/>
        <v>1.0698486356318102E-43</v>
      </c>
      <c r="H300" s="49">
        <f t="shared" si="58"/>
        <v>4.029734009926821E-42</v>
      </c>
      <c r="I300" s="49">
        <f t="shared" si="58"/>
        <v>1.2874783163660836E-40</v>
      </c>
      <c r="J300" s="49">
        <f t="shared" si="58"/>
        <v>3.5614002749581295E-39</v>
      </c>
      <c r="K300" s="49">
        <f t="shared" si="58"/>
        <v>8.6638401441210311E-38</v>
      </c>
      <c r="L300" s="49">
        <f t="shared" si="59"/>
        <v>1.8765275301961168E-36</v>
      </c>
      <c r="M300" s="49">
        <f t="shared" si="59"/>
        <v>3.6548467929395568E-35</v>
      </c>
      <c r="N300" s="49">
        <f t="shared" si="59"/>
        <v>6.4536630410443241E-34</v>
      </c>
      <c r="O300" s="49">
        <f t="shared" si="59"/>
        <v>1.0402570920210973E-32</v>
      </c>
      <c r="P300" s="49">
        <f t="shared" si="59"/>
        <v>1.5395601664352817E-31</v>
      </c>
      <c r="Q300" s="49">
        <f t="shared" si="59"/>
        <v>2.1025262849921482E-30</v>
      </c>
      <c r="R300" s="49">
        <f t="shared" si="59"/>
        <v>2.6610563959962942E-29</v>
      </c>
      <c r="S300" s="49">
        <f t="shared" si="59"/>
        <v>3.13312545644842E-28</v>
      </c>
      <c r="T300" s="49">
        <f t="shared" si="59"/>
        <v>3.4431828329694743E-27</v>
      </c>
      <c r="U300" s="49">
        <f t="shared" si="59"/>
        <v>3.5422921776413105E-26</v>
      </c>
      <c r="V300" s="49">
        <f t="shared" si="59"/>
        <v>3.4205425214934897E-25</v>
      </c>
      <c r="W300" s="47">
        <v>0.70299999999999996</v>
      </c>
    </row>
    <row r="301" spans="2:23" x14ac:dyDescent="0.25">
      <c r="B301" s="49">
        <f t="shared" si="58"/>
        <v>2.614602894310427E-53</v>
      </c>
      <c r="C301" s="49">
        <f t="shared" si="58"/>
        <v>6.1870839792345289E-51</v>
      </c>
      <c r="D301" s="49">
        <f t="shared" si="58"/>
        <v>7.2479401326962265E-49</v>
      </c>
      <c r="E301" s="49">
        <f t="shared" si="58"/>
        <v>5.6038640257915262E-47</v>
      </c>
      <c r="F301" s="49">
        <f t="shared" si="58"/>
        <v>3.2167257648006816E-45</v>
      </c>
      <c r="G301" s="49">
        <f t="shared" si="58"/>
        <v>1.4621042841665971E-43</v>
      </c>
      <c r="H301" s="49">
        <f t="shared" si="58"/>
        <v>5.4810542789694272E-42</v>
      </c>
      <c r="I301" s="49">
        <f t="shared" si="58"/>
        <v>1.7428486285989817E-40</v>
      </c>
      <c r="J301" s="49">
        <f t="shared" si="58"/>
        <v>4.7981396595141662E-39</v>
      </c>
      <c r="K301" s="49">
        <f t="shared" si="58"/>
        <v>1.1617032972012722E-37</v>
      </c>
      <c r="L301" s="49">
        <f t="shared" si="59"/>
        <v>2.5042217634475066E-36</v>
      </c>
      <c r="M301" s="49">
        <f t="shared" si="59"/>
        <v>4.854231143778611E-35</v>
      </c>
      <c r="N301" s="49">
        <f t="shared" si="59"/>
        <v>8.5308319601371803E-34</v>
      </c>
      <c r="O301" s="49">
        <f t="shared" si="59"/>
        <v>1.3685479743078886E-32</v>
      </c>
      <c r="P301" s="49">
        <f t="shared" si="59"/>
        <v>2.0158150431795114E-31</v>
      </c>
      <c r="Q301" s="49">
        <f t="shared" si="59"/>
        <v>2.7398739448118553E-30</v>
      </c>
      <c r="R301" s="49">
        <f t="shared" si="59"/>
        <v>3.4512692431652952E-29</v>
      </c>
      <c r="S301" s="49">
        <f t="shared" si="59"/>
        <v>4.0442562787089822E-28</v>
      </c>
      <c r="T301" s="49">
        <f t="shared" si="59"/>
        <v>4.4234143483163401E-27</v>
      </c>
      <c r="U301" s="49">
        <f t="shared" si="59"/>
        <v>4.5291753626437086E-26</v>
      </c>
      <c r="V301" s="49">
        <f t="shared" si="59"/>
        <v>4.352788471127929E-25</v>
      </c>
      <c r="W301" s="47">
        <v>0.70199999999999996</v>
      </c>
    </row>
    <row r="302" spans="2:23" x14ac:dyDescent="0.25">
      <c r="B302" s="49">
        <f t="shared" si="58"/>
        <v>3.6552599831232155E-53</v>
      </c>
      <c r="C302" s="49">
        <f t="shared" si="58"/>
        <v>8.6086075921598651E-51</v>
      </c>
      <c r="D302" s="49">
        <f t="shared" si="58"/>
        <v>1.0036819618830495E-48</v>
      </c>
      <c r="E302" s="49">
        <f t="shared" si="58"/>
        <v>7.7233194137055954E-47</v>
      </c>
      <c r="F302" s="49">
        <f t="shared" si="58"/>
        <v>4.4123058337383085E-45</v>
      </c>
      <c r="G302" s="49">
        <f t="shared" si="58"/>
        <v>1.996022214232233E-43</v>
      </c>
      <c r="H302" s="49">
        <f t="shared" si="58"/>
        <v>7.4470946893534711E-42</v>
      </c>
      <c r="I302" s="49">
        <f t="shared" si="58"/>
        <v>2.3567770982028648E-40</v>
      </c>
      <c r="J302" s="49">
        <f t="shared" si="58"/>
        <v>6.4575551186551336E-39</v>
      </c>
      <c r="K302" s="49">
        <f t="shared" si="58"/>
        <v>1.5560630866383157E-37</v>
      </c>
      <c r="L302" s="49">
        <f t="shared" si="59"/>
        <v>3.3384268634437363E-36</v>
      </c>
      <c r="M302" s="49">
        <f t="shared" si="59"/>
        <v>6.4406101758675796E-35</v>
      </c>
      <c r="N302" s="49">
        <f t="shared" si="59"/>
        <v>1.1265120106755342E-33</v>
      </c>
      <c r="O302" s="49">
        <f t="shared" si="59"/>
        <v>1.7986338365808763E-32</v>
      </c>
      <c r="P302" s="49">
        <f t="shared" si="59"/>
        <v>2.6367693776912929E-31</v>
      </c>
      <c r="Q302" s="49">
        <f t="shared" si="59"/>
        <v>3.5669024992449761E-30</v>
      </c>
      <c r="R302" s="49">
        <f t="shared" si="59"/>
        <v>4.4717670530927173E-29</v>
      </c>
      <c r="S302" s="49">
        <f t="shared" si="59"/>
        <v>5.2152986561063547E-28</v>
      </c>
      <c r="T302" s="49">
        <f t="shared" si="59"/>
        <v>5.6772609774495337E-27</v>
      </c>
      <c r="U302" s="49">
        <f t="shared" si="59"/>
        <v>5.7855101551643506E-26</v>
      </c>
      <c r="V302" s="49">
        <f t="shared" si="59"/>
        <v>5.5339084768726385E-25</v>
      </c>
      <c r="W302" s="47">
        <v>0.70099999999999996</v>
      </c>
    </row>
    <row r="303" spans="2:23" x14ac:dyDescent="0.25">
      <c r="B303" s="49">
        <f t="shared" ref="B303:K312" si="60">_xlfn.HYPGEOM.DIST(B$2,comau,tongtheN*$W303,tongtheN,TRUE)</f>
        <v>5.1044021962745747E-53</v>
      </c>
      <c r="C303" s="49">
        <f t="shared" si="60"/>
        <v>1.1964592038974876E-50</v>
      </c>
      <c r="D303" s="49">
        <f t="shared" si="60"/>
        <v>1.3883524332478131E-48</v>
      </c>
      <c r="E303" s="49">
        <f t="shared" si="60"/>
        <v>1.0632771786994907E-46</v>
      </c>
      <c r="F303" s="49">
        <f t="shared" si="60"/>
        <v>6.0457094407927043E-45</v>
      </c>
      <c r="G303" s="49">
        <f t="shared" si="60"/>
        <v>2.7219897845005775E-43</v>
      </c>
      <c r="H303" s="49">
        <f t="shared" si="60"/>
        <v>1.0107593240718799E-41</v>
      </c>
      <c r="I303" s="49">
        <f t="shared" si="60"/>
        <v>3.1836071092563376E-40</v>
      </c>
      <c r="J303" s="49">
        <f t="shared" si="60"/>
        <v>8.6817941719652595E-39</v>
      </c>
      <c r="K303" s="49">
        <f t="shared" si="60"/>
        <v>2.0821370744945833E-37</v>
      </c>
      <c r="L303" s="49">
        <f t="shared" ref="L303:V312" si="61">_xlfn.HYPGEOM.DIST(L$2,comau,tongtheN*$W303,tongtheN,TRUE)</f>
        <v>4.445955374614752E-36</v>
      </c>
      <c r="M303" s="49">
        <f t="shared" si="61"/>
        <v>8.5367338734336664E-35</v>
      </c>
      <c r="N303" s="49">
        <f t="shared" si="61"/>
        <v>1.4860808923109951E-33</v>
      </c>
      <c r="O303" s="49">
        <f t="shared" si="61"/>
        <v>2.3615203705297499E-32</v>
      </c>
      <c r="P303" s="49">
        <f t="shared" si="61"/>
        <v>3.4455918856500297E-31</v>
      </c>
      <c r="Q303" s="49">
        <f t="shared" si="61"/>
        <v>4.6390189081668053E-30</v>
      </c>
      <c r="R303" s="49">
        <f t="shared" si="61"/>
        <v>5.7883899057880161E-29</v>
      </c>
      <c r="S303" s="49">
        <f t="shared" si="61"/>
        <v>6.718959175550853E-28</v>
      </c>
      <c r="T303" s="49">
        <f t="shared" si="61"/>
        <v>7.2795817976516552E-27</v>
      </c>
      <c r="U303" s="49">
        <f t="shared" si="61"/>
        <v>7.3833686657898721E-26</v>
      </c>
      <c r="V303" s="49">
        <f t="shared" si="61"/>
        <v>7.0289554317097603E-25</v>
      </c>
      <c r="W303" s="47">
        <v>0.7</v>
      </c>
    </row>
    <row r="304" spans="2:23" x14ac:dyDescent="0.25">
      <c r="B304" s="49">
        <f t="shared" si="60"/>
        <v>7.1201446546653325E-53</v>
      </c>
      <c r="C304" s="49">
        <f t="shared" si="60"/>
        <v>1.6610555633694531E-50</v>
      </c>
      <c r="D304" s="49">
        <f t="shared" si="60"/>
        <v>1.918353250952105E-48</v>
      </c>
      <c r="E304" s="49">
        <f t="shared" si="60"/>
        <v>1.4622384780151026E-46</v>
      </c>
      <c r="F304" s="49">
        <f t="shared" si="60"/>
        <v>8.2748879885441174E-45</v>
      </c>
      <c r="G304" s="49">
        <f t="shared" si="60"/>
        <v>3.7080430895663683E-43</v>
      </c>
      <c r="H304" s="49">
        <f t="shared" si="60"/>
        <v>1.3704076366556197E-41</v>
      </c>
      <c r="I304" s="49">
        <f t="shared" si="60"/>
        <v>4.2960124361477322E-40</v>
      </c>
      <c r="J304" s="49">
        <f t="shared" si="60"/>
        <v>1.1660037094007599E-38</v>
      </c>
      <c r="K304" s="49">
        <f t="shared" si="60"/>
        <v>2.7832005042938189E-37</v>
      </c>
      <c r="L304" s="49">
        <f t="shared" si="61"/>
        <v>5.9148722786561252E-36</v>
      </c>
      <c r="M304" s="49">
        <f t="shared" si="61"/>
        <v>1.1303618499420583E-34</v>
      </c>
      <c r="N304" s="49">
        <f t="shared" si="61"/>
        <v>1.9584571602621091E-33</v>
      </c>
      <c r="O304" s="49">
        <f t="shared" si="61"/>
        <v>3.0974879096857229E-32</v>
      </c>
      <c r="P304" s="49">
        <f t="shared" si="61"/>
        <v>4.4980937123250144E-31</v>
      </c>
      <c r="Q304" s="49">
        <f t="shared" si="61"/>
        <v>6.0275109742419728E-30</v>
      </c>
      <c r="R304" s="49">
        <f t="shared" si="61"/>
        <v>7.485440062359171E-29</v>
      </c>
      <c r="S304" s="49">
        <f t="shared" si="61"/>
        <v>8.6478822846427122E-28</v>
      </c>
      <c r="T304" s="49">
        <f t="shared" si="61"/>
        <v>9.3253029003639681E-27</v>
      </c>
      <c r="U304" s="49">
        <f t="shared" si="61"/>
        <v>9.4137008538305357E-26</v>
      </c>
      <c r="V304" s="49">
        <f t="shared" si="61"/>
        <v>8.9196241679631329E-25</v>
      </c>
      <c r="W304" s="47">
        <v>0.69899999999999995</v>
      </c>
    </row>
    <row r="305" spans="2:23" x14ac:dyDescent="0.25">
      <c r="B305" s="49">
        <f t="shared" si="60"/>
        <v>9.9209500843668568E-53</v>
      </c>
      <c r="C305" s="49">
        <f t="shared" si="60"/>
        <v>2.3035353178796543E-50</v>
      </c>
      <c r="D305" s="49">
        <f t="shared" si="60"/>
        <v>2.6478039300047757E-48</v>
      </c>
      <c r="E305" s="49">
        <f t="shared" si="60"/>
        <v>2.0087331243200769E-46</v>
      </c>
      <c r="F305" s="49">
        <f t="shared" si="60"/>
        <v>1.1313923299970455E-44</v>
      </c>
      <c r="G305" s="49">
        <f t="shared" si="60"/>
        <v>5.0459535020093866E-43</v>
      </c>
      <c r="H305" s="49">
        <f t="shared" si="60"/>
        <v>1.8560766741550686E-41</v>
      </c>
      <c r="I305" s="49">
        <f t="shared" si="60"/>
        <v>5.7910813092025155E-40</v>
      </c>
      <c r="J305" s="49">
        <f t="shared" si="60"/>
        <v>1.5643804812204144E-38</v>
      </c>
      <c r="K305" s="49">
        <f t="shared" si="60"/>
        <v>3.7165127261996304E-37</v>
      </c>
      <c r="L305" s="49">
        <f t="shared" si="61"/>
        <v>7.8611401738756892E-36</v>
      </c>
      <c r="M305" s="49">
        <f t="shared" si="61"/>
        <v>1.4952268378301026E-34</v>
      </c>
      <c r="N305" s="49">
        <f t="shared" si="61"/>
        <v>2.5784190051516789E-33</v>
      </c>
      <c r="O305" s="49">
        <f t="shared" si="61"/>
        <v>4.0588152675292095E-32</v>
      </c>
      <c r="P305" s="49">
        <f t="shared" si="61"/>
        <v>5.8663619687663305E-31</v>
      </c>
      <c r="Q305" s="49">
        <f t="shared" si="61"/>
        <v>7.8240123207718673E-30</v>
      </c>
      <c r="R305" s="49">
        <f t="shared" si="61"/>
        <v>9.670757716166685E-29</v>
      </c>
      <c r="S305" s="49">
        <f t="shared" si="61"/>
        <v>1.1120008065697136E-27</v>
      </c>
      <c r="T305" s="49">
        <f t="shared" si="61"/>
        <v>1.1934685876389491E-26</v>
      </c>
      <c r="U305" s="49">
        <f t="shared" si="61"/>
        <v>1.1991174605994417E-25</v>
      </c>
      <c r="V305" s="49">
        <f t="shared" si="61"/>
        <v>1.1308416226460928E-24</v>
      </c>
      <c r="W305" s="47">
        <v>0.69799999999999995</v>
      </c>
    </row>
    <row r="306" spans="2:23" x14ac:dyDescent="0.25">
      <c r="B306" s="49">
        <f t="shared" si="60"/>
        <v>1.3808337716104304E-52</v>
      </c>
      <c r="C306" s="49">
        <f t="shared" si="60"/>
        <v>3.191046822823386E-50</v>
      </c>
      <c r="D306" s="49">
        <f t="shared" si="60"/>
        <v>3.650686569581552E-48</v>
      </c>
      <c r="E306" s="49">
        <f t="shared" si="60"/>
        <v>2.7565232541412918E-46</v>
      </c>
      <c r="F306" s="49">
        <f t="shared" si="60"/>
        <v>1.5452673354269325E-44</v>
      </c>
      <c r="G306" s="49">
        <f t="shared" si="60"/>
        <v>6.8593806933134762E-43</v>
      </c>
      <c r="H306" s="49">
        <f t="shared" si="60"/>
        <v>2.5112453776996483E-41</v>
      </c>
      <c r="I306" s="49">
        <f t="shared" si="60"/>
        <v>7.7983872189246883E-40</v>
      </c>
      <c r="J306" s="49">
        <f t="shared" si="60"/>
        <v>2.0967166918182352E-38</v>
      </c>
      <c r="K306" s="49">
        <f t="shared" si="60"/>
        <v>4.9577608102946026E-37</v>
      </c>
      <c r="L306" s="49">
        <f t="shared" si="61"/>
        <v>1.0437306472463455E-35</v>
      </c>
      <c r="M306" s="49">
        <f t="shared" si="61"/>
        <v>1.9758925069729734E-34</v>
      </c>
      <c r="N306" s="49">
        <f t="shared" si="61"/>
        <v>3.3912785570487445E-33</v>
      </c>
      <c r="O306" s="49">
        <f t="shared" si="61"/>
        <v>5.3132887674687612E-32</v>
      </c>
      <c r="P306" s="49">
        <f t="shared" si="61"/>
        <v>7.6434178286785714E-31</v>
      </c>
      <c r="Q306" s="49">
        <f t="shared" si="61"/>
        <v>1.0146198381044611E-29</v>
      </c>
      <c r="R306" s="49">
        <f t="shared" si="61"/>
        <v>1.2482164442805557E-28</v>
      </c>
      <c r="S306" s="49">
        <f t="shared" si="61"/>
        <v>1.4285340356428611E-27</v>
      </c>
      <c r="T306" s="49">
        <f t="shared" si="61"/>
        <v>1.5259950470901025E-26</v>
      </c>
      <c r="U306" s="49">
        <f t="shared" si="61"/>
        <v>1.5260229958697963E-25</v>
      </c>
      <c r="V306" s="49">
        <f t="shared" si="61"/>
        <v>1.4323823715198119E-24</v>
      </c>
      <c r="W306" s="47">
        <v>0.69699999999999995</v>
      </c>
    </row>
    <row r="307" spans="2:23" x14ac:dyDescent="0.25">
      <c r="B307" s="49">
        <f t="shared" si="60"/>
        <v>1.9198016613681679E-52</v>
      </c>
      <c r="C307" s="49">
        <f t="shared" si="60"/>
        <v>4.4157265360713432E-50</v>
      </c>
      <c r="D307" s="49">
        <f t="shared" si="60"/>
        <v>5.0280296607593555E-48</v>
      </c>
      <c r="E307" s="49">
        <f t="shared" si="60"/>
        <v>3.7786746812203172E-46</v>
      </c>
      <c r="F307" s="49">
        <f t="shared" si="60"/>
        <v>2.1083189391518048E-44</v>
      </c>
      <c r="G307" s="49">
        <f t="shared" si="60"/>
        <v>9.3147827403072212E-43</v>
      </c>
      <c r="H307" s="49">
        <f t="shared" si="60"/>
        <v>3.3941608423589163E-41</v>
      </c>
      <c r="I307" s="49">
        <f t="shared" si="60"/>
        <v>1.0490684629640128E-39</v>
      </c>
      <c r="J307" s="49">
        <f t="shared" si="60"/>
        <v>2.8073392168933139E-38</v>
      </c>
      <c r="K307" s="49">
        <f t="shared" si="60"/>
        <v>6.6068913810045615E-37</v>
      </c>
      <c r="L307" s="49">
        <f t="shared" si="61"/>
        <v>1.3843849169052856E-35</v>
      </c>
      <c r="M307" s="49">
        <f t="shared" si="61"/>
        <v>2.6084886468759223E-34</v>
      </c>
      <c r="N307" s="49">
        <f t="shared" si="61"/>
        <v>4.4560157816947922E-33</v>
      </c>
      <c r="O307" s="49">
        <f t="shared" si="61"/>
        <v>6.9487185686455099E-32</v>
      </c>
      <c r="P307" s="49">
        <f t="shared" si="61"/>
        <v>9.9491825336342995E-31</v>
      </c>
      <c r="Q307" s="49">
        <f t="shared" si="61"/>
        <v>1.3145046100265319E-29</v>
      </c>
      <c r="R307" s="49">
        <f t="shared" si="61"/>
        <v>1.6095635419585389E-28</v>
      </c>
      <c r="S307" s="49">
        <f t="shared" si="61"/>
        <v>1.8334488736017024E-27</v>
      </c>
      <c r="T307" s="49">
        <f t="shared" si="61"/>
        <v>1.9493592014070465E-26</v>
      </c>
      <c r="U307" s="49">
        <f t="shared" si="61"/>
        <v>1.940264531171049E-25</v>
      </c>
      <c r="V307" s="49">
        <f t="shared" si="61"/>
        <v>1.8126775946751068E-24</v>
      </c>
      <c r="W307" s="47">
        <v>0.69599999999999995</v>
      </c>
    </row>
    <row r="308" spans="2:23" x14ac:dyDescent="0.25">
      <c r="B308" s="49">
        <f t="shared" si="60"/>
        <v>2.6669810956856177E-52</v>
      </c>
      <c r="C308" s="49">
        <f t="shared" si="60"/>
        <v>6.1055094095947918E-50</v>
      </c>
      <c r="D308" s="49">
        <f t="shared" si="60"/>
        <v>6.9194884314951189E-48</v>
      </c>
      <c r="E308" s="49">
        <f t="shared" si="60"/>
        <v>5.1757388334831853E-46</v>
      </c>
      <c r="F308" s="49">
        <f t="shared" si="60"/>
        <v>2.8742605726364271E-44</v>
      </c>
      <c r="G308" s="49">
        <f t="shared" si="60"/>
        <v>1.2639207123788677E-42</v>
      </c>
      <c r="H308" s="49">
        <f t="shared" si="60"/>
        <v>4.5839207756424901E-41</v>
      </c>
      <c r="I308" s="49">
        <f t="shared" si="60"/>
        <v>1.4101536070692445E-39</v>
      </c>
      <c r="J308" s="49">
        <f t="shared" si="60"/>
        <v>3.7559147752330466E-38</v>
      </c>
      <c r="K308" s="49">
        <f t="shared" si="60"/>
        <v>8.7978510234664774E-37</v>
      </c>
      <c r="L308" s="49">
        <f t="shared" si="61"/>
        <v>1.8348276121299414E-35</v>
      </c>
      <c r="M308" s="49">
        <f t="shared" si="61"/>
        <v>3.4410162220065962E-34</v>
      </c>
      <c r="N308" s="49">
        <f t="shared" si="61"/>
        <v>5.8506518954243109E-33</v>
      </c>
      <c r="O308" s="49">
        <f t="shared" si="61"/>
        <v>9.08076548563826E-32</v>
      </c>
      <c r="P308" s="49">
        <f t="shared" si="61"/>
        <v>1.2940938870632361E-30</v>
      </c>
      <c r="Q308" s="49">
        <f t="shared" si="61"/>
        <v>1.7017729817998888E-29</v>
      </c>
      <c r="R308" s="49">
        <f t="shared" si="61"/>
        <v>2.0740024262130357E-28</v>
      </c>
      <c r="S308" s="49">
        <f t="shared" si="61"/>
        <v>2.3514301732615056E-27</v>
      </c>
      <c r="T308" s="49">
        <f t="shared" si="61"/>
        <v>2.4883866264621846E-26</v>
      </c>
      <c r="U308" s="49">
        <f t="shared" si="61"/>
        <v>2.4651889921409089E-25</v>
      </c>
      <c r="V308" s="49">
        <f t="shared" si="61"/>
        <v>2.2923121123824E-24</v>
      </c>
      <c r="W308" s="47">
        <v>0.69499999999999995</v>
      </c>
    </row>
    <row r="309" spans="2:23" x14ac:dyDescent="0.25">
      <c r="B309" s="49">
        <f t="shared" si="60"/>
        <v>3.6999636834492866E-52</v>
      </c>
      <c r="C309" s="49">
        <f t="shared" si="60"/>
        <v>8.4306505992725128E-50</v>
      </c>
      <c r="D309" s="49">
        <f t="shared" si="60"/>
        <v>9.5098813131641389E-48</v>
      </c>
      <c r="E309" s="49">
        <f t="shared" si="60"/>
        <v>7.0800391517772472E-46</v>
      </c>
      <c r="F309" s="49">
        <f t="shared" si="60"/>
        <v>3.9133791244653204E-44</v>
      </c>
      <c r="G309" s="49">
        <f t="shared" si="60"/>
        <v>1.7128068675053364E-42</v>
      </c>
      <c r="H309" s="49">
        <f t="shared" si="60"/>
        <v>6.1828506607994176E-41</v>
      </c>
      <c r="I309" s="49">
        <f t="shared" si="60"/>
        <v>1.893134587727836E-39</v>
      </c>
      <c r="J309" s="49">
        <f t="shared" si="60"/>
        <v>5.0187383030778731E-38</v>
      </c>
      <c r="K309" s="49">
        <f t="shared" si="60"/>
        <v>1.1700907186560659E-36</v>
      </c>
      <c r="L309" s="49">
        <f t="shared" si="61"/>
        <v>2.428861105655279E-35</v>
      </c>
      <c r="M309" s="49">
        <f t="shared" si="61"/>
        <v>4.5337650125972705E-34</v>
      </c>
      <c r="N309" s="49">
        <f t="shared" si="61"/>
        <v>7.67258713615084E-33</v>
      </c>
      <c r="O309" s="49">
        <f t="shared" si="61"/>
        <v>1.1852930686728836E-31</v>
      </c>
      <c r="P309" s="49">
        <f t="shared" si="61"/>
        <v>1.6812613828861605E-30</v>
      </c>
      <c r="Q309" s="49">
        <f t="shared" si="61"/>
        <v>2.2005828285583035E-29</v>
      </c>
      <c r="R309" s="49">
        <f t="shared" si="61"/>
        <v>2.6693928963732519E-28</v>
      </c>
      <c r="S309" s="49">
        <f t="shared" si="61"/>
        <v>3.0123331428992314E-27</v>
      </c>
      <c r="T309" s="49">
        <f t="shared" si="61"/>
        <v>3.17290451119061E-26</v>
      </c>
      <c r="U309" s="49">
        <f t="shared" si="61"/>
        <v>3.1286586442832224E-25</v>
      </c>
      <c r="V309" s="49">
        <f t="shared" si="61"/>
        <v>2.8956838933093287E-24</v>
      </c>
      <c r="W309" s="47">
        <v>0.69399999999999995</v>
      </c>
    </row>
    <row r="310" spans="2:23" x14ac:dyDescent="0.25">
      <c r="B310" s="49">
        <f t="shared" si="60"/>
        <v>5.1275635174009258E-52</v>
      </c>
      <c r="C310" s="49">
        <f t="shared" si="60"/>
        <v>1.1628939328304046E-49</v>
      </c>
      <c r="D310" s="49">
        <f t="shared" si="60"/>
        <v>1.3056290360096516E-47</v>
      </c>
      <c r="E310" s="49">
        <f t="shared" si="60"/>
        <v>9.6748964471945742E-46</v>
      </c>
      <c r="F310" s="49">
        <f t="shared" si="60"/>
        <v>5.322661394110848E-44</v>
      </c>
      <c r="G310" s="49">
        <f t="shared" si="60"/>
        <v>2.3187389547927934E-42</v>
      </c>
      <c r="H310" s="49">
        <f t="shared" si="60"/>
        <v>8.3310373021811856E-41</v>
      </c>
      <c r="I310" s="49">
        <f t="shared" si="60"/>
        <v>2.538978354004084E-39</v>
      </c>
      <c r="J310" s="49">
        <f t="shared" si="60"/>
        <v>6.6994567217775842E-38</v>
      </c>
      <c r="K310" s="49">
        <f t="shared" si="60"/>
        <v>1.554649368605083E-36</v>
      </c>
      <c r="L310" s="49">
        <f t="shared" si="61"/>
        <v>3.2120615609634138E-35</v>
      </c>
      <c r="M310" s="49">
        <f t="shared" si="61"/>
        <v>5.9677255029273359E-34</v>
      </c>
      <c r="N310" s="49">
        <f t="shared" si="61"/>
        <v>1.0052190858966956E-32</v>
      </c>
      <c r="O310" s="49">
        <f t="shared" si="61"/>
        <v>1.5456606074776473E-31</v>
      </c>
      <c r="P310" s="49">
        <f t="shared" si="61"/>
        <v>2.1821951394023086E-30</v>
      </c>
      <c r="Q310" s="49">
        <f t="shared" si="61"/>
        <v>2.8429321656500727E-29</v>
      </c>
      <c r="R310" s="49">
        <f t="shared" si="61"/>
        <v>3.4325131753497504E-28</v>
      </c>
      <c r="S310" s="49">
        <f t="shared" si="61"/>
        <v>3.8554420400473251E-27</v>
      </c>
      <c r="T310" s="49">
        <f t="shared" si="61"/>
        <v>4.042036275474304E-26</v>
      </c>
      <c r="U310" s="49">
        <f t="shared" si="61"/>
        <v>3.9671078145436686E-25</v>
      </c>
      <c r="V310" s="49">
        <f t="shared" si="61"/>
        <v>3.6546030679328244E-24</v>
      </c>
      <c r="W310" s="47">
        <v>0.69299999999999995</v>
      </c>
    </row>
    <row r="311" spans="2:23" x14ac:dyDescent="0.25">
      <c r="B311" s="49">
        <f t="shared" si="60"/>
        <v>7.0984531091673191E-52</v>
      </c>
      <c r="C311" s="49">
        <f t="shared" si="60"/>
        <v>1.6023667773400284E-49</v>
      </c>
      <c r="D311" s="49">
        <f t="shared" si="60"/>
        <v>1.7906514105056918E-47</v>
      </c>
      <c r="E311" s="49">
        <f t="shared" si="60"/>
        <v>1.3207094089839867E-45</v>
      </c>
      <c r="F311" s="49">
        <f t="shared" si="60"/>
        <v>7.2320225201393876E-44</v>
      </c>
      <c r="G311" s="49">
        <f t="shared" si="60"/>
        <v>3.1358340625833411E-42</v>
      </c>
      <c r="H311" s="49">
        <f t="shared" si="60"/>
        <v>1.1214266992788987E-40</v>
      </c>
      <c r="I311" s="49">
        <f t="shared" si="60"/>
        <v>3.4017448531947082E-39</v>
      </c>
      <c r="J311" s="49">
        <f t="shared" si="60"/>
        <v>8.9341572524360176E-38</v>
      </c>
      <c r="K311" s="49">
        <f t="shared" si="60"/>
        <v>2.0635646933694838E-36</v>
      </c>
      <c r="L311" s="49">
        <f t="shared" si="61"/>
        <v>4.2436689578957963E-35</v>
      </c>
      <c r="M311" s="49">
        <f t="shared" si="61"/>
        <v>7.8476364366870201E-34</v>
      </c>
      <c r="N311" s="49">
        <f t="shared" si="61"/>
        <v>1.3157202983418679E-32</v>
      </c>
      <c r="O311" s="49">
        <f t="shared" si="61"/>
        <v>2.0136789744018962E-31</v>
      </c>
      <c r="P311" s="49">
        <f t="shared" si="61"/>
        <v>2.8297194892496618E-30</v>
      </c>
      <c r="Q311" s="49">
        <f t="shared" si="61"/>
        <v>3.6693613762582253E-29</v>
      </c>
      <c r="R311" s="49">
        <f t="shared" si="61"/>
        <v>4.4097187743053922E-28</v>
      </c>
      <c r="S311" s="49">
        <f t="shared" si="61"/>
        <v>4.9300132428003383E-27</v>
      </c>
      <c r="T311" s="49">
        <f t="shared" si="61"/>
        <v>5.1445797456850283E-26</v>
      </c>
      <c r="U311" s="49">
        <f t="shared" si="61"/>
        <v>5.0257407763523803E-25</v>
      </c>
      <c r="V311" s="49">
        <f t="shared" si="61"/>
        <v>4.6083272019308348E-24</v>
      </c>
      <c r="W311" s="47">
        <v>0.69199999999999995</v>
      </c>
    </row>
    <row r="312" spans="2:23" x14ac:dyDescent="0.25">
      <c r="B312" s="49">
        <f t="shared" si="60"/>
        <v>9.8165403648432491E-52</v>
      </c>
      <c r="C312" s="49">
        <f t="shared" si="60"/>
        <v>2.2056140958104178E-49</v>
      </c>
      <c r="D312" s="49">
        <f t="shared" si="60"/>
        <v>2.4533062683734601E-47</v>
      </c>
      <c r="E312" s="49">
        <f t="shared" si="60"/>
        <v>1.8010318376851801E-45</v>
      </c>
      <c r="F312" s="49">
        <f t="shared" si="60"/>
        <v>9.8162944132435274E-44</v>
      </c>
      <c r="G312" s="49">
        <f t="shared" si="60"/>
        <v>4.2365746898628779E-42</v>
      </c>
      <c r="H312" s="49">
        <f t="shared" si="60"/>
        <v>1.5080196099381506E-40</v>
      </c>
      <c r="I312" s="49">
        <f t="shared" si="60"/>
        <v>4.5531553274323301E-39</v>
      </c>
      <c r="J312" s="49">
        <f t="shared" si="60"/>
        <v>1.1902530393794216E-37</v>
      </c>
      <c r="K312" s="49">
        <f t="shared" si="60"/>
        <v>2.7363971743792179E-36</v>
      </c>
      <c r="L312" s="49">
        <f t="shared" si="61"/>
        <v>5.6011636078500715E-35</v>
      </c>
      <c r="M312" s="49">
        <f t="shared" si="61"/>
        <v>1.0309835786328558E-33</v>
      </c>
      <c r="N312" s="49">
        <f t="shared" si="61"/>
        <v>1.7204932636292784E-32</v>
      </c>
      <c r="O312" s="49">
        <f t="shared" si="61"/>
        <v>2.6209371278239557E-31</v>
      </c>
      <c r="P312" s="49">
        <f t="shared" si="61"/>
        <v>3.665955416462656E-30</v>
      </c>
      <c r="Q312" s="49">
        <f t="shared" si="61"/>
        <v>4.7316453685017315E-29</v>
      </c>
      <c r="R312" s="49">
        <f t="shared" si="61"/>
        <v>5.6599293977255814E-28</v>
      </c>
      <c r="S312" s="49">
        <f t="shared" si="61"/>
        <v>6.2983553665381228E-27</v>
      </c>
      <c r="T312" s="49">
        <f t="shared" si="61"/>
        <v>6.5419692636556968E-26</v>
      </c>
      <c r="U312" s="49">
        <f t="shared" si="61"/>
        <v>6.3611963128071894E-25</v>
      </c>
      <c r="V312" s="49">
        <f t="shared" si="61"/>
        <v>5.8058093689975955E-24</v>
      </c>
      <c r="W312" s="47">
        <v>0.69099999999999995</v>
      </c>
    </row>
    <row r="313" spans="2:23" x14ac:dyDescent="0.25">
      <c r="B313" s="49">
        <f t="shared" ref="B313:K322" si="62">_xlfn.HYPGEOM.DIST(B$2,comau,tongtheN*$W313,tongtheN,TRUE)</f>
        <v>1.3561203250810482E-51</v>
      </c>
      <c r="C313" s="49">
        <f t="shared" si="62"/>
        <v>3.0328143211334646E-49</v>
      </c>
      <c r="D313" s="49">
        <f t="shared" si="62"/>
        <v>3.3577229043044455E-47</v>
      </c>
      <c r="E313" s="49">
        <f t="shared" si="62"/>
        <v>2.4535309647748257E-45</v>
      </c>
      <c r="F313" s="49">
        <f t="shared" si="62"/>
        <v>1.3310521976768442E-43</v>
      </c>
      <c r="G313" s="49">
        <f t="shared" si="62"/>
        <v>5.7179458659281565E-42</v>
      </c>
      <c r="H313" s="49">
        <f t="shared" si="62"/>
        <v>2.0258633046557435E-40</v>
      </c>
      <c r="I313" s="49">
        <f t="shared" si="62"/>
        <v>6.0882702595030838E-39</v>
      </c>
      <c r="J313" s="49">
        <f t="shared" si="62"/>
        <v>1.5841613350116828E-37</v>
      </c>
      <c r="K313" s="49">
        <f t="shared" si="62"/>
        <v>3.6250855436111595E-36</v>
      </c>
      <c r="L313" s="49">
        <f t="shared" ref="L313:V322" si="63">_xlfn.HYPGEOM.DIST(L$2,comau,tongtheN*$W313,tongtheN,TRUE)</f>
        <v>7.3857870280768594E-35</v>
      </c>
      <c r="M313" s="49">
        <f t="shared" si="63"/>
        <v>1.3531628447116866E-33</v>
      </c>
      <c r="N313" s="49">
        <f t="shared" si="63"/>
        <v>2.2476645997593271E-32</v>
      </c>
      <c r="O313" s="49">
        <f t="shared" si="63"/>
        <v>3.4081271111497204E-31</v>
      </c>
      <c r="P313" s="49">
        <f t="shared" si="63"/>
        <v>4.74490447814082E-30</v>
      </c>
      <c r="Q313" s="49">
        <f t="shared" si="63"/>
        <v>6.0958473360719476E-29</v>
      </c>
      <c r="R313" s="49">
        <f t="shared" si="63"/>
        <v>7.257967517101507E-28</v>
      </c>
      <c r="S313" s="49">
        <f t="shared" si="63"/>
        <v>8.0392182343550041E-27</v>
      </c>
      <c r="T313" s="49">
        <f t="shared" si="63"/>
        <v>8.3114802452302235E-26</v>
      </c>
      <c r="U313" s="49">
        <f t="shared" si="63"/>
        <v>8.0443785131135262E-25</v>
      </c>
      <c r="V313" s="49">
        <f t="shared" si="63"/>
        <v>7.3080401885739172E-24</v>
      </c>
      <c r="W313" s="47">
        <v>0.69</v>
      </c>
    </row>
    <row r="314" spans="2:23" x14ac:dyDescent="0.25">
      <c r="B314" s="49">
        <f t="shared" si="62"/>
        <v>1.8714832905350115E-51</v>
      </c>
      <c r="C314" s="49">
        <f t="shared" si="62"/>
        <v>4.1659467242677015E-49</v>
      </c>
      <c r="D314" s="49">
        <f t="shared" si="62"/>
        <v>4.5908507133346756E-47</v>
      </c>
      <c r="E314" s="49">
        <f t="shared" si="62"/>
        <v>3.3390318911418829E-45</v>
      </c>
      <c r="F314" s="49">
        <f t="shared" si="62"/>
        <v>1.8030389460824155E-43</v>
      </c>
      <c r="G314" s="49">
        <f t="shared" si="62"/>
        <v>7.7095913959281594E-42</v>
      </c>
      <c r="H314" s="49">
        <f t="shared" si="62"/>
        <v>2.7188364172859048E-40</v>
      </c>
      <c r="I314" s="49">
        <f t="shared" si="62"/>
        <v>8.1329633237851157E-39</v>
      </c>
      <c r="J314" s="49">
        <f t="shared" si="62"/>
        <v>2.1063793998652826E-37</v>
      </c>
      <c r="K314" s="49">
        <f t="shared" si="62"/>
        <v>4.7977554950467763E-36</v>
      </c>
      <c r="L314" s="49">
        <f t="shared" si="63"/>
        <v>9.7297050885611728E-35</v>
      </c>
      <c r="M314" s="49">
        <f t="shared" si="63"/>
        <v>1.7743382109127383E-33</v>
      </c>
      <c r="N314" s="49">
        <f t="shared" si="63"/>
        <v>2.9336055011825248E-32</v>
      </c>
      <c r="O314" s="49">
        <f t="shared" si="63"/>
        <v>4.4276195476437024E-31</v>
      </c>
      <c r="P314" s="49">
        <f t="shared" si="63"/>
        <v>6.135737291340789E-30</v>
      </c>
      <c r="Q314" s="49">
        <f t="shared" si="63"/>
        <v>7.8461864424998006E-29</v>
      </c>
      <c r="R314" s="49">
        <f t="shared" si="63"/>
        <v>9.2987663498728012E-28</v>
      </c>
      <c r="S314" s="49">
        <f t="shared" si="63"/>
        <v>1.0252043710500387E-26</v>
      </c>
      <c r="T314" s="49">
        <f t="shared" si="63"/>
        <v>1.0550229228166503E-25</v>
      </c>
      <c r="U314" s="49">
        <f t="shared" si="63"/>
        <v>1.0163973130229956E-24</v>
      </c>
      <c r="V314" s="49">
        <f t="shared" si="63"/>
        <v>9.1909429168793444E-24</v>
      </c>
      <c r="W314" s="47">
        <v>0.68899999999999995</v>
      </c>
    </row>
    <row r="315" spans="2:23" x14ac:dyDescent="0.25">
      <c r="B315" s="49">
        <f t="shared" si="62"/>
        <v>2.5800287523989907E-51</v>
      </c>
      <c r="C315" s="49">
        <f t="shared" si="62"/>
        <v>5.7165771413796582E-49</v>
      </c>
      <c r="D315" s="49">
        <f t="shared" si="62"/>
        <v>6.2704622839979769E-47</v>
      </c>
      <c r="E315" s="49">
        <f t="shared" si="62"/>
        <v>4.5395339573577081E-45</v>
      </c>
      <c r="F315" s="49">
        <f t="shared" si="62"/>
        <v>2.4399471218919589E-43</v>
      </c>
      <c r="G315" s="49">
        <f t="shared" si="62"/>
        <v>1.0384643163318661E-41</v>
      </c>
      <c r="H315" s="49">
        <f t="shared" si="62"/>
        <v>3.6452601158966304E-40</v>
      </c>
      <c r="I315" s="49">
        <f t="shared" si="62"/>
        <v>1.0853750191227082E-38</v>
      </c>
      <c r="J315" s="49">
        <f t="shared" si="62"/>
        <v>2.7980374201252847E-37</v>
      </c>
      <c r="K315" s="49">
        <f t="shared" si="62"/>
        <v>6.3436806023070373E-36</v>
      </c>
      <c r="L315" s="49">
        <f t="shared" si="63"/>
        <v>1.280529343606128E-34</v>
      </c>
      <c r="M315" s="49">
        <f t="shared" si="63"/>
        <v>2.3244131654696678E-33</v>
      </c>
      <c r="N315" s="49">
        <f t="shared" si="63"/>
        <v>3.825305441241057E-32</v>
      </c>
      <c r="O315" s="49">
        <f t="shared" si="63"/>
        <v>5.7467543373528176E-31</v>
      </c>
      <c r="P315" s="49">
        <f t="shared" si="63"/>
        <v>7.926974998395677E-30</v>
      </c>
      <c r="Q315" s="49">
        <f t="shared" si="63"/>
        <v>1.0089932069984301E-28</v>
      </c>
      <c r="R315" s="49">
        <f t="shared" si="63"/>
        <v>1.1902669037836132E-27</v>
      </c>
      <c r="S315" s="49">
        <f t="shared" si="63"/>
        <v>1.3062292988082604E-26</v>
      </c>
      <c r="T315" s="49">
        <f t="shared" si="63"/>
        <v>1.3380162616741829E-25</v>
      </c>
      <c r="U315" s="49">
        <f t="shared" si="63"/>
        <v>1.2830811833283897E-24</v>
      </c>
      <c r="V315" s="49">
        <f t="shared" si="63"/>
        <v>1.154894918978219E-23</v>
      </c>
      <c r="W315" s="47">
        <v>0.68799999999999994</v>
      </c>
    </row>
    <row r="316" spans="2:23" x14ac:dyDescent="0.25">
      <c r="B316" s="49">
        <f t="shared" si="62"/>
        <v>3.5522312773656745E-51</v>
      </c>
      <c r="C316" s="49">
        <f t="shared" si="62"/>
        <v>7.834328348071142E-49</v>
      </c>
      <c r="D316" s="49">
        <f t="shared" si="62"/>
        <v>8.553710415647816E-47</v>
      </c>
      <c r="E316" s="49">
        <f t="shared" si="62"/>
        <v>6.1639032767870912E-45</v>
      </c>
      <c r="F316" s="49">
        <f t="shared" si="62"/>
        <v>3.2977278843445831E-43</v>
      </c>
      <c r="G316" s="49">
        <f t="shared" si="62"/>
        <v>1.3970634863181207E-41</v>
      </c>
      <c r="H316" s="49">
        <f t="shared" si="62"/>
        <v>4.8813907094700709E-40</v>
      </c>
      <c r="I316" s="49">
        <f t="shared" si="62"/>
        <v>1.4467239969392693E-38</v>
      </c>
      <c r="J316" s="49">
        <f t="shared" si="62"/>
        <v>3.7123639742023293E-37</v>
      </c>
      <c r="K316" s="49">
        <f t="shared" si="62"/>
        <v>8.3777978057510359E-36</v>
      </c>
      <c r="L316" s="49">
        <f t="shared" si="63"/>
        <v>1.683332935591906E-34</v>
      </c>
      <c r="M316" s="49">
        <f t="shared" si="63"/>
        <v>3.0414882024641562E-33</v>
      </c>
      <c r="N316" s="49">
        <f t="shared" si="63"/>
        <v>4.9823206650778759E-32</v>
      </c>
      <c r="O316" s="49">
        <f t="shared" si="63"/>
        <v>7.4504307574039913E-31</v>
      </c>
      <c r="P316" s="49">
        <f t="shared" si="63"/>
        <v>1.0229629409038155E-29</v>
      </c>
      <c r="Q316" s="49">
        <f t="shared" si="63"/>
        <v>1.2960889543937804E-28</v>
      </c>
      <c r="R316" s="49">
        <f t="shared" si="63"/>
        <v>1.521898185250912E-27</v>
      </c>
      <c r="S316" s="49">
        <f t="shared" si="63"/>
        <v>1.6624779118020919E-26</v>
      </c>
      <c r="T316" s="49">
        <f t="shared" si="63"/>
        <v>1.6950934837908591E-25</v>
      </c>
      <c r="U316" s="49">
        <f t="shared" si="63"/>
        <v>1.6180159881131224E-24</v>
      </c>
      <c r="V316" s="49">
        <f t="shared" si="63"/>
        <v>1.4496668193829843E-23</v>
      </c>
      <c r="W316" s="47">
        <v>0.68700000000000006</v>
      </c>
    </row>
    <row r="317" spans="2:23" x14ac:dyDescent="0.25">
      <c r="B317" s="49">
        <f t="shared" si="62"/>
        <v>4.8870920322057612E-51</v>
      </c>
      <c r="C317" s="49">
        <f t="shared" si="62"/>
        <v>1.0728572224305106E-48</v>
      </c>
      <c r="D317" s="49">
        <f t="shared" si="62"/>
        <v>1.1659659003245532E-46</v>
      </c>
      <c r="E317" s="49">
        <f t="shared" si="62"/>
        <v>8.3633168343373394E-45</v>
      </c>
      <c r="F317" s="49">
        <f t="shared" si="62"/>
        <v>4.4537852665441222E-43</v>
      </c>
      <c r="G317" s="49">
        <f t="shared" si="62"/>
        <v>1.8781169437660564E-41</v>
      </c>
      <c r="H317" s="49">
        <f t="shared" si="62"/>
        <v>6.5319433819687253E-40</v>
      </c>
      <c r="I317" s="49">
        <f t="shared" si="62"/>
        <v>1.9269800393185772E-38</v>
      </c>
      <c r="J317" s="49">
        <f t="shared" si="62"/>
        <v>4.9219264789869263E-37</v>
      </c>
      <c r="K317" s="49">
        <f t="shared" si="62"/>
        <v>1.1056250206888685E-35</v>
      </c>
      <c r="L317" s="49">
        <f t="shared" si="63"/>
        <v>2.211270146277579E-34</v>
      </c>
      <c r="M317" s="49">
        <f t="shared" si="63"/>
        <v>3.9769682371915438E-33</v>
      </c>
      <c r="N317" s="49">
        <f t="shared" si="63"/>
        <v>6.4847358843793998E-32</v>
      </c>
      <c r="O317" s="49">
        <f t="shared" si="63"/>
        <v>9.6524392865338122E-31</v>
      </c>
      <c r="P317" s="49">
        <f t="shared" si="63"/>
        <v>1.3192015307837148E-29</v>
      </c>
      <c r="Q317" s="49">
        <f t="shared" si="63"/>
        <v>1.6637271408734656E-28</v>
      </c>
      <c r="R317" s="49">
        <f t="shared" si="63"/>
        <v>1.9445963211296498E-27</v>
      </c>
      <c r="S317" s="49">
        <f t="shared" si="63"/>
        <v>2.1144472937219836E-26</v>
      </c>
      <c r="T317" s="49">
        <f t="shared" si="63"/>
        <v>2.1460129367351296E-25</v>
      </c>
      <c r="U317" s="49">
        <f t="shared" si="63"/>
        <v>2.0390121108108705E-24</v>
      </c>
      <c r="V317" s="49">
        <f t="shared" si="63"/>
        <v>1.8184617068049185E-23</v>
      </c>
      <c r="W317" s="47">
        <v>0.68600000000000005</v>
      </c>
    </row>
    <row r="318" spans="2:23" x14ac:dyDescent="0.25">
      <c r="B318" s="49">
        <f t="shared" si="62"/>
        <v>6.7167503170983438E-51</v>
      </c>
      <c r="C318" s="49">
        <f t="shared" si="62"/>
        <v>1.4677260518682234E-48</v>
      </c>
      <c r="D318" s="49">
        <f t="shared" si="62"/>
        <v>1.5877553376618352E-46</v>
      </c>
      <c r="E318" s="49">
        <f t="shared" si="62"/>
        <v>1.1336297213407273E-44</v>
      </c>
      <c r="F318" s="49">
        <f t="shared" si="62"/>
        <v>6.0092072933483641E-43</v>
      </c>
      <c r="G318" s="49">
        <f t="shared" si="62"/>
        <v>2.5223542979448066E-41</v>
      </c>
      <c r="H318" s="49">
        <f t="shared" si="62"/>
        <v>8.7321611069283562E-40</v>
      </c>
      <c r="I318" s="49">
        <f t="shared" si="62"/>
        <v>2.5642050564774087E-38</v>
      </c>
      <c r="J318" s="49">
        <f t="shared" si="62"/>
        <v>6.5193938819903112E-37</v>
      </c>
      <c r="K318" s="49">
        <f t="shared" si="62"/>
        <v>1.4577293230411949E-35</v>
      </c>
      <c r="L318" s="49">
        <f t="shared" si="63"/>
        <v>2.9020718215646303E-34</v>
      </c>
      <c r="M318" s="49">
        <f t="shared" si="63"/>
        <v>5.1953666980332038E-33</v>
      </c>
      <c r="N318" s="49">
        <f t="shared" si="63"/>
        <v>8.4324647613372251E-32</v>
      </c>
      <c r="O318" s="49">
        <f t="shared" si="63"/>
        <v>1.2493897254266364E-30</v>
      </c>
      <c r="P318" s="49">
        <f t="shared" si="63"/>
        <v>1.6996953284130318E-29</v>
      </c>
      <c r="Q318" s="49">
        <f t="shared" si="63"/>
        <v>2.133740580167369E-28</v>
      </c>
      <c r="R318" s="49">
        <f t="shared" si="63"/>
        <v>2.4824989969679283E-27</v>
      </c>
      <c r="S318" s="49">
        <f t="shared" si="63"/>
        <v>2.6869349125557028E-26</v>
      </c>
      <c r="T318" s="49">
        <f t="shared" si="63"/>
        <v>2.7145251076196816E-25</v>
      </c>
      <c r="U318" s="49">
        <f t="shared" si="63"/>
        <v>2.5673388643254078E-24</v>
      </c>
      <c r="V318" s="49">
        <f t="shared" si="63"/>
        <v>2.2791350801225164E-23</v>
      </c>
      <c r="W318" s="47">
        <v>0.68500000000000005</v>
      </c>
    </row>
    <row r="319" spans="2:23" x14ac:dyDescent="0.25">
      <c r="B319" s="49">
        <f t="shared" si="62"/>
        <v>9.2221055375223825E-51</v>
      </c>
      <c r="C319" s="49">
        <f t="shared" si="62"/>
        <v>2.0059206700885139E-48</v>
      </c>
      <c r="D319" s="49">
        <f t="shared" si="62"/>
        <v>2.1599836903939817E-46</v>
      </c>
      <c r="E319" s="49">
        <f t="shared" si="62"/>
        <v>1.5350995292821471E-44</v>
      </c>
      <c r="F319" s="49">
        <f t="shared" si="62"/>
        <v>8.0999291861387831E-43</v>
      </c>
      <c r="G319" s="49">
        <f t="shared" si="62"/>
        <v>3.3843023641525125E-41</v>
      </c>
      <c r="H319" s="49">
        <f t="shared" si="62"/>
        <v>1.166229881565201E-39</v>
      </c>
      <c r="I319" s="49">
        <f t="shared" si="62"/>
        <v>3.4089048066059897E-38</v>
      </c>
      <c r="J319" s="49">
        <f t="shared" si="62"/>
        <v>8.6271906235877544E-37</v>
      </c>
      <c r="K319" s="49">
        <f t="shared" si="62"/>
        <v>1.9201691517247638E-35</v>
      </c>
      <c r="L319" s="49">
        <f t="shared" si="63"/>
        <v>3.8051481492737243E-34</v>
      </c>
      <c r="M319" s="49">
        <f t="shared" si="63"/>
        <v>6.7807986058203683E-33</v>
      </c>
      <c r="N319" s="49">
        <f t="shared" si="63"/>
        <v>1.0955213121716943E-31</v>
      </c>
      <c r="O319" s="49">
        <f t="shared" si="63"/>
        <v>1.6157208697287537E-30</v>
      </c>
      <c r="P319" s="49">
        <f t="shared" si="63"/>
        <v>2.1879735627591593E-29</v>
      </c>
      <c r="Q319" s="49">
        <f t="shared" si="63"/>
        <v>2.7341081670959801E-28</v>
      </c>
      <c r="R319" s="49">
        <f t="shared" si="63"/>
        <v>3.1664072483428497E-27</v>
      </c>
      <c r="S319" s="49">
        <f t="shared" si="63"/>
        <v>3.4114499694102139E-26</v>
      </c>
      <c r="T319" s="49">
        <f t="shared" si="63"/>
        <v>3.4306821411052859E-25</v>
      </c>
      <c r="U319" s="49">
        <f t="shared" si="63"/>
        <v>3.2297967534961974E-24</v>
      </c>
      <c r="V319" s="49">
        <f t="shared" si="63"/>
        <v>2.8540928706456581E-23</v>
      </c>
      <c r="W319" s="47">
        <v>0.68400000000000005</v>
      </c>
    </row>
    <row r="320" spans="2:23" x14ac:dyDescent="0.25">
      <c r="B320" s="49">
        <f t="shared" si="62"/>
        <v>1.2649283752624961E-50</v>
      </c>
      <c r="C320" s="49">
        <f t="shared" si="62"/>
        <v>2.7387407122925391E-48</v>
      </c>
      <c r="D320" s="49">
        <f t="shared" si="62"/>
        <v>2.9355482775002974E-46</v>
      </c>
      <c r="E320" s="49">
        <f t="shared" si="62"/>
        <v>2.0767162945301415E-44</v>
      </c>
      <c r="F320" s="49">
        <f t="shared" si="62"/>
        <v>1.0907470052918669E-42</v>
      </c>
      <c r="G320" s="49">
        <f t="shared" si="62"/>
        <v>4.5364324839566543E-41</v>
      </c>
      <c r="H320" s="49">
        <f t="shared" si="62"/>
        <v>1.5560812595284849E-39</v>
      </c>
      <c r="I320" s="49">
        <f t="shared" si="62"/>
        <v>4.5275800300320825E-38</v>
      </c>
      <c r="J320" s="49">
        <f t="shared" si="62"/>
        <v>1.1405758396649157E-36</v>
      </c>
      <c r="K320" s="49">
        <f t="shared" si="62"/>
        <v>2.526958724512352E-35</v>
      </c>
      <c r="L320" s="49">
        <f t="shared" si="63"/>
        <v>4.9846481571659876E-34</v>
      </c>
      <c r="M320" s="49">
        <f t="shared" si="63"/>
        <v>8.8419585633609838E-33</v>
      </c>
      <c r="N320" s="49">
        <f t="shared" si="63"/>
        <v>1.4219803135037253E-31</v>
      </c>
      <c r="O320" s="49">
        <f t="shared" si="63"/>
        <v>2.0875873967770712E-30</v>
      </c>
      <c r="P320" s="49">
        <f t="shared" si="63"/>
        <v>2.8140153273591833E-29</v>
      </c>
      <c r="Q320" s="49">
        <f t="shared" si="63"/>
        <v>3.5003110683884293E-28</v>
      </c>
      <c r="R320" s="49">
        <f t="shared" si="63"/>
        <v>4.0351976459982545E-27</v>
      </c>
      <c r="S320" s="49">
        <f t="shared" si="63"/>
        <v>4.3275759467993569E-26</v>
      </c>
      <c r="T320" s="49">
        <f t="shared" si="63"/>
        <v>4.3320595275650972E-25</v>
      </c>
      <c r="U320" s="49">
        <f t="shared" si="63"/>
        <v>4.0597378834189632E-24</v>
      </c>
      <c r="V320" s="49">
        <f t="shared" si="63"/>
        <v>3.5710869820657002E-23</v>
      </c>
      <c r="W320" s="47">
        <v>0.68300000000000005</v>
      </c>
    </row>
    <row r="321" spans="2:23" x14ac:dyDescent="0.25">
      <c r="B321" s="49">
        <f t="shared" si="62"/>
        <v>1.7332830343073025E-50</v>
      </c>
      <c r="C321" s="49">
        <f t="shared" si="62"/>
        <v>3.7355900178133411E-48</v>
      </c>
      <c r="D321" s="49">
        <f t="shared" si="62"/>
        <v>3.9856809211855914E-46</v>
      </c>
      <c r="E321" s="49">
        <f t="shared" si="62"/>
        <v>2.8066985505450561E-44</v>
      </c>
      <c r="F321" s="49">
        <f t="shared" si="62"/>
        <v>1.4673990312798579E-42</v>
      </c>
      <c r="G321" s="49">
        <f t="shared" si="62"/>
        <v>6.0749759439466424E-41</v>
      </c>
      <c r="H321" s="49">
        <f t="shared" si="62"/>
        <v>2.0742859370681179E-39</v>
      </c>
      <c r="I321" s="49">
        <f t="shared" si="62"/>
        <v>6.0077114979373885E-38</v>
      </c>
      <c r="J321" s="49">
        <f t="shared" si="62"/>
        <v>1.506517019897175E-36</v>
      </c>
      <c r="K321" s="49">
        <f t="shared" si="62"/>
        <v>3.3224261815556714E-35</v>
      </c>
      <c r="L321" s="49">
        <f t="shared" si="63"/>
        <v>6.5237815979381078E-34</v>
      </c>
      <c r="M321" s="49">
        <f t="shared" si="63"/>
        <v>1.1519178442921243E-32</v>
      </c>
      <c r="N321" s="49">
        <f t="shared" si="63"/>
        <v>1.8440605437011735E-31</v>
      </c>
      <c r="O321" s="49">
        <f t="shared" si="63"/>
        <v>2.6948542165831921E-30</v>
      </c>
      <c r="P321" s="49">
        <f t="shared" si="63"/>
        <v>3.615984561387098E-29</v>
      </c>
      <c r="Q321" s="49">
        <f t="shared" si="63"/>
        <v>4.477305778560985E-28</v>
      </c>
      <c r="R321" s="49">
        <f t="shared" si="63"/>
        <v>5.1378978423046407E-27</v>
      </c>
      <c r="S321" s="49">
        <f t="shared" si="63"/>
        <v>5.4849977453601469E-26</v>
      </c>
      <c r="T321" s="49">
        <f t="shared" si="63"/>
        <v>5.4656002789364368E-25</v>
      </c>
      <c r="U321" s="49">
        <f t="shared" si="63"/>
        <v>5.0986331975869412E-24</v>
      </c>
      <c r="V321" s="49">
        <f t="shared" si="63"/>
        <v>4.4644626278898497E-23</v>
      </c>
      <c r="W321" s="47">
        <v>0.68200000000000005</v>
      </c>
    </row>
    <row r="322" spans="2:23" x14ac:dyDescent="0.25">
      <c r="B322" s="49">
        <f t="shared" si="62"/>
        <v>2.3727034208997815E-50</v>
      </c>
      <c r="C322" s="49">
        <f t="shared" si="62"/>
        <v>5.0902756859223682E-48</v>
      </c>
      <c r="D322" s="49">
        <f t="shared" si="62"/>
        <v>5.4062114653518512E-46</v>
      </c>
      <c r="E322" s="49">
        <f t="shared" si="62"/>
        <v>3.7896138912213278E-44</v>
      </c>
      <c r="F322" s="49">
        <f t="shared" si="62"/>
        <v>1.9722247936958566E-42</v>
      </c>
      <c r="G322" s="49">
        <f t="shared" si="62"/>
        <v>8.1275950315943597E-41</v>
      </c>
      <c r="H322" s="49">
        <f t="shared" si="62"/>
        <v>2.7624584411071679E-39</v>
      </c>
      <c r="I322" s="49">
        <f t="shared" si="62"/>
        <v>7.9642737599720143E-38</v>
      </c>
      <c r="J322" s="49">
        <f t="shared" si="62"/>
        <v>1.9880234138859454E-36</v>
      </c>
      <c r="K322" s="49">
        <f t="shared" si="62"/>
        <v>4.3642891092185262E-35</v>
      </c>
      <c r="L322" s="49">
        <f t="shared" si="63"/>
        <v>8.5303863474496661E-34</v>
      </c>
      <c r="M322" s="49">
        <f t="shared" si="63"/>
        <v>1.4993475888016286E-32</v>
      </c>
      <c r="N322" s="49">
        <f t="shared" si="63"/>
        <v>2.3892850411903118E-31</v>
      </c>
      <c r="O322" s="49">
        <f t="shared" si="63"/>
        <v>3.4756856665566865E-30</v>
      </c>
      <c r="P322" s="49">
        <f t="shared" si="63"/>
        <v>4.6424228582823067E-29</v>
      </c>
      <c r="Q322" s="49">
        <f t="shared" si="63"/>
        <v>5.7220059433369941E-28</v>
      </c>
      <c r="R322" s="49">
        <f t="shared" si="63"/>
        <v>6.5362848553982841E-27</v>
      </c>
      <c r="S322" s="49">
        <f t="shared" si="63"/>
        <v>6.9460272393213741E-26</v>
      </c>
      <c r="T322" s="49">
        <f t="shared" si="63"/>
        <v>6.8899015418221542E-25</v>
      </c>
      <c r="U322" s="49">
        <f t="shared" si="63"/>
        <v>6.3980063974487906E-24</v>
      </c>
      <c r="V322" s="49">
        <f t="shared" si="63"/>
        <v>5.5766901126990729E-23</v>
      </c>
      <c r="W322" s="47">
        <v>0.68100000000000005</v>
      </c>
    </row>
    <row r="323" spans="2:23" x14ac:dyDescent="0.25">
      <c r="B323" s="49">
        <f t="shared" ref="B323:K332" si="64">_xlfn.HYPGEOM.DIST(B$2,comau,tongtheN*$W323,tongtheN,TRUE)</f>
        <v>3.2448194408848887E-50</v>
      </c>
      <c r="C323" s="49">
        <f t="shared" si="64"/>
        <v>6.9294676441162327E-48</v>
      </c>
      <c r="D323" s="49">
        <f t="shared" si="64"/>
        <v>7.3259400757909029E-46</v>
      </c>
      <c r="E323" s="49">
        <f t="shared" si="64"/>
        <v>5.1118411691794413E-44</v>
      </c>
      <c r="F323" s="49">
        <f t="shared" si="64"/>
        <v>2.6482023044541831E-42</v>
      </c>
      <c r="G323" s="49">
        <f t="shared" si="64"/>
        <v>1.0863492638630612E-40</v>
      </c>
      <c r="H323" s="49">
        <f t="shared" si="64"/>
        <v>3.6754978681529216E-39</v>
      </c>
      <c r="I323" s="49">
        <f t="shared" si="64"/>
        <v>1.0548238762254049E-37</v>
      </c>
      <c r="J323" s="49">
        <f t="shared" si="64"/>
        <v>2.6210118157003111E-36</v>
      </c>
      <c r="K323" s="49">
        <f t="shared" si="64"/>
        <v>5.7276317513141658E-35</v>
      </c>
      <c r="L323" s="49">
        <f t="shared" ref="L323:V332" si="65">_xlfn.HYPGEOM.DIST(L$2,comau,tongtheN*$W323,tongtheN,TRUE)</f>
        <v>1.1144094000517429E-33</v>
      </c>
      <c r="M323" s="49">
        <f t="shared" si="65"/>
        <v>1.9498145157430186E-32</v>
      </c>
      <c r="N323" s="49">
        <f t="shared" si="65"/>
        <v>3.0929598684305794E-31</v>
      </c>
      <c r="O323" s="49">
        <f t="shared" si="65"/>
        <v>4.478809830873099E-30</v>
      </c>
      <c r="P323" s="49">
        <f t="shared" si="65"/>
        <v>5.9550185766857386E-29</v>
      </c>
      <c r="Q323" s="49">
        <f t="shared" si="65"/>
        <v>7.3064015303339781E-28</v>
      </c>
      <c r="R323" s="49">
        <f t="shared" si="65"/>
        <v>8.3081350493615715E-27</v>
      </c>
      <c r="S323" s="49">
        <f t="shared" si="65"/>
        <v>8.7887472130457493E-26</v>
      </c>
      <c r="T323" s="49">
        <f t="shared" si="65"/>
        <v>8.6780474835781834E-25</v>
      </c>
      <c r="U323" s="49">
        <f t="shared" si="65"/>
        <v>8.0218184073555207E-24</v>
      </c>
      <c r="V323" s="49">
        <f t="shared" si="65"/>
        <v>6.9602444159866609E-23</v>
      </c>
      <c r="W323" s="47">
        <v>0.68</v>
      </c>
    </row>
    <row r="324" spans="2:23" x14ac:dyDescent="0.25">
      <c r="B324" s="49">
        <f t="shared" si="64"/>
        <v>4.4331598074454154E-50</v>
      </c>
      <c r="C324" s="49">
        <f t="shared" si="64"/>
        <v>9.424049155563451E-48</v>
      </c>
      <c r="D324" s="49">
        <f t="shared" si="64"/>
        <v>9.9178179350162949E-46</v>
      </c>
      <c r="E324" s="49">
        <f t="shared" si="64"/>
        <v>6.8888306694643104E-44</v>
      </c>
      <c r="F324" s="49">
        <f t="shared" si="64"/>
        <v>3.552507553435737E-42</v>
      </c>
      <c r="G324" s="49">
        <f t="shared" si="64"/>
        <v>1.450672355708307E-40</v>
      </c>
      <c r="H324" s="49">
        <f t="shared" si="64"/>
        <v>4.8857627918673887E-39</v>
      </c>
      <c r="I324" s="49">
        <f t="shared" si="64"/>
        <v>1.3957667345867111E-37</v>
      </c>
      <c r="J324" s="49">
        <f t="shared" si="64"/>
        <v>3.4523826393399995E-36</v>
      </c>
      <c r="K324" s="49">
        <f t="shared" si="64"/>
        <v>7.5100437682579379E-35</v>
      </c>
      <c r="L324" s="49">
        <f t="shared" si="65"/>
        <v>1.4545544450890165E-33</v>
      </c>
      <c r="M324" s="49">
        <f t="shared" si="65"/>
        <v>2.5333591861343132E-32</v>
      </c>
      <c r="N324" s="49">
        <f t="shared" si="65"/>
        <v>4.0003358271776861E-31</v>
      </c>
      <c r="O324" s="49">
        <f t="shared" si="65"/>
        <v>5.7663891800846216E-30</v>
      </c>
      <c r="P324" s="49">
        <f t="shared" si="65"/>
        <v>7.6321007830242633E-29</v>
      </c>
      <c r="Q324" s="49">
        <f t="shared" si="65"/>
        <v>9.3214757634232977E-28</v>
      </c>
      <c r="R324" s="49">
        <f t="shared" si="65"/>
        <v>1.0551285917636802E-26</v>
      </c>
      <c r="S324" s="49">
        <f t="shared" si="65"/>
        <v>1.1110921891537639E-25</v>
      </c>
      <c r="T324" s="49">
        <f t="shared" si="65"/>
        <v>1.0921116113568317E-24</v>
      </c>
      <c r="U324" s="49">
        <f t="shared" si="65"/>
        <v>1.004940498767571E-23</v>
      </c>
      <c r="V324" s="49">
        <f t="shared" si="65"/>
        <v>8.6799097136939776E-23</v>
      </c>
      <c r="W324" s="47">
        <v>0.67900000000000005</v>
      </c>
    </row>
    <row r="325" spans="2:23" x14ac:dyDescent="0.25">
      <c r="B325" s="49">
        <f t="shared" si="64"/>
        <v>6.0508258157676032E-50</v>
      </c>
      <c r="C325" s="49">
        <f t="shared" si="64"/>
        <v>1.2804332073546523E-47</v>
      </c>
      <c r="D325" s="49">
        <f t="shared" si="64"/>
        <v>1.3413864633144535E-45</v>
      </c>
      <c r="E325" s="49">
        <f t="shared" si="64"/>
        <v>9.2747452816848538E-44</v>
      </c>
      <c r="F325" s="49">
        <f t="shared" si="64"/>
        <v>4.7611349356040527E-42</v>
      </c>
      <c r="G325" s="49">
        <f t="shared" si="64"/>
        <v>1.9353705692201075E-40</v>
      </c>
      <c r="H325" s="49">
        <f t="shared" si="64"/>
        <v>6.4885376064046826E-39</v>
      </c>
      <c r="I325" s="49">
        <f t="shared" si="64"/>
        <v>1.8452163402351659E-37</v>
      </c>
      <c r="J325" s="49">
        <f t="shared" si="64"/>
        <v>4.5433243038606736E-36</v>
      </c>
      <c r="K325" s="49">
        <f t="shared" si="64"/>
        <v>9.8382540038688385E-35</v>
      </c>
      <c r="L325" s="49">
        <f t="shared" si="65"/>
        <v>1.8968225143006018E-33</v>
      </c>
      <c r="M325" s="49">
        <f t="shared" si="65"/>
        <v>3.2886303217525367E-32</v>
      </c>
      <c r="N325" s="49">
        <f t="shared" si="65"/>
        <v>5.1693597352097431E-31</v>
      </c>
      <c r="O325" s="49">
        <f t="shared" si="65"/>
        <v>7.4176568274820191E-30</v>
      </c>
      <c r="P325" s="49">
        <f t="shared" si="65"/>
        <v>9.773044080905354E-29</v>
      </c>
      <c r="Q325" s="49">
        <f t="shared" si="65"/>
        <v>1.1882119793609402E-27</v>
      </c>
      <c r="R325" s="49">
        <f t="shared" si="65"/>
        <v>1.3388708288750546E-26</v>
      </c>
      <c r="S325" s="49">
        <f t="shared" si="65"/>
        <v>1.4034857034470995E-25</v>
      </c>
      <c r="T325" s="49">
        <f t="shared" si="65"/>
        <v>1.3732516870687679E-24</v>
      </c>
      <c r="U325" s="49">
        <f t="shared" si="65"/>
        <v>1.2579092925699974E-23</v>
      </c>
      <c r="V325" s="49">
        <f t="shared" si="65"/>
        <v>1.0815602670884853E-22</v>
      </c>
      <c r="W325" s="47">
        <v>0.67800000000000005</v>
      </c>
    </row>
    <row r="326" spans="2:23" x14ac:dyDescent="0.25">
      <c r="B326" s="49">
        <f t="shared" si="64"/>
        <v>8.2508167628122653E-50</v>
      </c>
      <c r="C326" s="49">
        <f t="shared" si="64"/>
        <v>1.7380433948746027E-47</v>
      </c>
      <c r="D326" s="49">
        <f t="shared" si="64"/>
        <v>1.8125052888640265E-45</v>
      </c>
      <c r="E326" s="49">
        <f t="shared" si="64"/>
        <v>1.2475251909054898E-43</v>
      </c>
      <c r="F326" s="49">
        <f t="shared" si="64"/>
        <v>6.3749986740121564E-42</v>
      </c>
      <c r="G326" s="49">
        <f t="shared" si="64"/>
        <v>2.5796235761197894E-40</v>
      </c>
      <c r="H326" s="49">
        <f t="shared" si="64"/>
        <v>8.6091834501536376E-39</v>
      </c>
      <c r="I326" s="49">
        <f t="shared" si="64"/>
        <v>2.437169361122856E-37</v>
      </c>
      <c r="J326" s="49">
        <f t="shared" si="64"/>
        <v>5.9735954171003364E-36</v>
      </c>
      <c r="K326" s="49">
        <f t="shared" si="64"/>
        <v>1.2876686799808664E-34</v>
      </c>
      <c r="L326" s="49">
        <f t="shared" si="65"/>
        <v>2.4713669570244617E-33</v>
      </c>
      <c r="M326" s="49">
        <f t="shared" si="65"/>
        <v>4.2653086084568173E-32</v>
      </c>
      <c r="N326" s="49">
        <f t="shared" si="65"/>
        <v>6.6741731041981825E-31</v>
      </c>
      <c r="O326" s="49">
        <f t="shared" si="65"/>
        <v>9.5335187481632349E-30</v>
      </c>
      <c r="P326" s="49">
        <f t="shared" si="65"/>
        <v>1.250381719878345E-28</v>
      </c>
      <c r="Q326" s="49">
        <f t="shared" si="65"/>
        <v>1.5133294187785859E-27</v>
      </c>
      <c r="R326" s="49">
        <f t="shared" si="65"/>
        <v>1.6974835150888022E-26</v>
      </c>
      <c r="S326" s="49">
        <f t="shared" si="65"/>
        <v>1.7713435290481669E-25</v>
      </c>
      <c r="T326" s="49">
        <f t="shared" si="65"/>
        <v>1.7253351489472213E-24</v>
      </c>
      <c r="U326" s="49">
        <f t="shared" si="65"/>
        <v>1.573264801896111E-23</v>
      </c>
      <c r="V326" s="49">
        <f t="shared" si="65"/>
        <v>1.3465828563366655E-22</v>
      </c>
      <c r="W326" s="47">
        <v>0.67700000000000005</v>
      </c>
    </row>
    <row r="327" spans="2:23" x14ac:dyDescent="0.25">
      <c r="B327" s="49">
        <f t="shared" si="64"/>
        <v>1.1239910446656059E-49</v>
      </c>
      <c r="C327" s="49">
        <f t="shared" si="64"/>
        <v>2.3569543167197571E-47</v>
      </c>
      <c r="D327" s="49">
        <f t="shared" si="64"/>
        <v>2.4467790569434925E-45</v>
      </c>
      <c r="E327" s="49">
        <f t="shared" si="64"/>
        <v>1.6764477143443725E-43</v>
      </c>
      <c r="F327" s="49">
        <f t="shared" si="64"/>
        <v>8.5279827373393408E-42</v>
      </c>
      <c r="G327" s="49">
        <f t="shared" si="64"/>
        <v>3.4351712915564658E-40</v>
      </c>
      <c r="H327" s="49">
        <f t="shared" si="64"/>
        <v>1.1412484617752938E-38</v>
      </c>
      <c r="I327" s="49">
        <f t="shared" si="64"/>
        <v>3.2161069899694385E-37</v>
      </c>
      <c r="J327" s="49">
        <f t="shared" si="64"/>
        <v>7.8470692922313703E-36</v>
      </c>
      <c r="K327" s="49">
        <f t="shared" si="64"/>
        <v>1.6838488557324533E-34</v>
      </c>
      <c r="L327" s="49">
        <f t="shared" si="65"/>
        <v>3.2170951547044575E-33</v>
      </c>
      <c r="M327" s="49">
        <f t="shared" si="65"/>
        <v>5.5272009401464356E-32</v>
      </c>
      <c r="N327" s="49">
        <f t="shared" si="65"/>
        <v>8.60955752791887E-31</v>
      </c>
      <c r="O327" s="49">
        <f t="shared" si="65"/>
        <v>1.2242373727995595E-29</v>
      </c>
      <c r="P327" s="49">
        <f t="shared" si="65"/>
        <v>1.5983966567114902E-28</v>
      </c>
      <c r="Q327" s="49">
        <f t="shared" si="65"/>
        <v>1.9257747235154284E-27</v>
      </c>
      <c r="R327" s="49">
        <f t="shared" si="65"/>
        <v>2.150345202218603E-26</v>
      </c>
      <c r="S327" s="49">
        <f t="shared" si="65"/>
        <v>2.2337604992683919E-25</v>
      </c>
      <c r="T327" s="49">
        <f t="shared" si="65"/>
        <v>2.1659034270493203E-24</v>
      </c>
      <c r="U327" s="49">
        <f t="shared" si="65"/>
        <v>1.9660741859516948E-23</v>
      </c>
      <c r="V327" s="49">
        <f t="shared" si="65"/>
        <v>1.6751908762169744E-22</v>
      </c>
      <c r="W327" s="47">
        <v>0.67600000000000005</v>
      </c>
    </row>
    <row r="328" spans="2:23" x14ac:dyDescent="0.25">
      <c r="B328" s="49">
        <f t="shared" si="64"/>
        <v>1.5297305645033408E-49</v>
      </c>
      <c r="C328" s="49">
        <f t="shared" si="64"/>
        <v>3.1932367242352194E-47</v>
      </c>
      <c r="D328" s="49">
        <f t="shared" si="64"/>
        <v>3.2999156984479888E-45</v>
      </c>
      <c r="E328" s="49">
        <f t="shared" si="64"/>
        <v>2.2507462744843102E-43</v>
      </c>
      <c r="F328" s="49">
        <f t="shared" si="64"/>
        <v>1.1397552061480489E-41</v>
      </c>
      <c r="G328" s="49">
        <f t="shared" si="64"/>
        <v>4.5702792614697078E-40</v>
      </c>
      <c r="H328" s="49">
        <f t="shared" si="64"/>
        <v>1.5114853834379282E-38</v>
      </c>
      <c r="I328" s="49">
        <f t="shared" si="64"/>
        <v>4.2401770855869648E-37</v>
      </c>
      <c r="J328" s="49">
        <f t="shared" si="64"/>
        <v>1.0298906737068046E-35</v>
      </c>
      <c r="K328" s="49">
        <f t="shared" si="64"/>
        <v>2.199972558636007E-34</v>
      </c>
      <c r="L328" s="49">
        <f t="shared" si="65"/>
        <v>4.1841668260641195E-33</v>
      </c>
      <c r="M328" s="49">
        <f t="shared" si="65"/>
        <v>7.1561872347908296E-32</v>
      </c>
      <c r="N328" s="49">
        <f t="shared" si="65"/>
        <v>1.1096578248312302E-30</v>
      </c>
      <c r="O328" s="49">
        <f t="shared" si="65"/>
        <v>1.5707467171193202E-29</v>
      </c>
      <c r="P328" s="49">
        <f t="shared" si="65"/>
        <v>2.0415398807356084E-28</v>
      </c>
      <c r="Q328" s="49">
        <f t="shared" si="65"/>
        <v>2.4485675579452007E-27</v>
      </c>
      <c r="R328" s="49">
        <f t="shared" si="65"/>
        <v>2.7217526234038701E-26</v>
      </c>
      <c r="S328" s="49">
        <f t="shared" si="65"/>
        <v>2.8145664995116069E-25</v>
      </c>
      <c r="T328" s="49">
        <f t="shared" si="65"/>
        <v>2.7167461148156158E-24</v>
      </c>
      <c r="U328" s="49">
        <f t="shared" si="65"/>
        <v>2.4549665498348524E-23</v>
      </c>
      <c r="V328" s="49">
        <f t="shared" si="65"/>
        <v>2.082314771380013E-22</v>
      </c>
      <c r="W328" s="47">
        <v>0.67500000000000004</v>
      </c>
    </row>
    <row r="329" spans="2:23" x14ac:dyDescent="0.25">
      <c r="B329" s="49">
        <f t="shared" si="64"/>
        <v>2.0799637424235066E-49</v>
      </c>
      <c r="C329" s="49">
        <f t="shared" si="64"/>
        <v>4.3221813134418766E-47</v>
      </c>
      <c r="D329" s="49">
        <f t="shared" si="64"/>
        <v>4.4463745280265586E-45</v>
      </c>
      <c r="E329" s="49">
        <f t="shared" si="64"/>
        <v>3.0189878368106608E-43</v>
      </c>
      <c r="F329" s="49">
        <f t="shared" si="64"/>
        <v>1.5218727663005787E-41</v>
      </c>
      <c r="G329" s="49">
        <f t="shared" si="64"/>
        <v>6.0749367526381422E-40</v>
      </c>
      <c r="H329" s="49">
        <f t="shared" si="64"/>
        <v>2.0000256994013044E-38</v>
      </c>
      <c r="I329" s="49">
        <f t="shared" si="64"/>
        <v>5.5853266367873574E-37</v>
      </c>
      <c r="J329" s="49">
        <f t="shared" si="64"/>
        <v>1.3504827355419339E-35</v>
      </c>
      <c r="K329" s="49">
        <f t="shared" si="64"/>
        <v>2.8717649803251526E-34</v>
      </c>
      <c r="L329" s="49">
        <f t="shared" si="65"/>
        <v>5.4371930565641829E-33</v>
      </c>
      <c r="M329" s="49">
        <f t="shared" si="65"/>
        <v>9.2572505332184558E-32</v>
      </c>
      <c r="N329" s="49">
        <f t="shared" si="65"/>
        <v>1.4289742915911109E-30</v>
      </c>
      <c r="O329" s="49">
        <f t="shared" si="65"/>
        <v>2.0136175388819417E-29</v>
      </c>
      <c r="P329" s="49">
        <f t="shared" si="65"/>
        <v>2.6053416524830699E-28</v>
      </c>
      <c r="Q329" s="49">
        <f t="shared" si="65"/>
        <v>3.1106806203622391E-27</v>
      </c>
      <c r="R329" s="49">
        <f t="shared" si="65"/>
        <v>3.4421441775532451E-26</v>
      </c>
      <c r="S329" s="49">
        <f t="shared" si="65"/>
        <v>3.5434767155427511E-25</v>
      </c>
      <c r="T329" s="49">
        <f t="shared" si="65"/>
        <v>3.4049081957195442E-24</v>
      </c>
      <c r="U329" s="49">
        <f t="shared" si="65"/>
        <v>3.0629567944871844E-23</v>
      </c>
      <c r="V329" s="49">
        <f t="shared" si="65"/>
        <v>2.5863143316053355E-22</v>
      </c>
      <c r="W329" s="47">
        <v>0.67400000000000004</v>
      </c>
    </row>
    <row r="330" spans="2:23" x14ac:dyDescent="0.25">
      <c r="B330" s="49">
        <f t="shared" si="64"/>
        <v>2.8254513365148959E-49</v>
      </c>
      <c r="C330" s="49">
        <f t="shared" si="64"/>
        <v>5.8447946174421154E-47</v>
      </c>
      <c r="D330" s="49">
        <f t="shared" si="64"/>
        <v>5.9855878177493948E-45</v>
      </c>
      <c r="E330" s="49">
        <f t="shared" si="64"/>
        <v>4.0457302150073411E-43</v>
      </c>
      <c r="F330" s="49">
        <f t="shared" si="64"/>
        <v>2.0302475872967977E-41</v>
      </c>
      <c r="G330" s="49">
        <f t="shared" si="64"/>
        <v>8.0676648123533749E-40</v>
      </c>
      <c r="H330" s="49">
        <f t="shared" si="64"/>
        <v>2.6440972878370969E-38</v>
      </c>
      <c r="I330" s="49">
        <f t="shared" si="64"/>
        <v>7.3506637536831307E-37</v>
      </c>
      <c r="J330" s="49">
        <f t="shared" si="64"/>
        <v>1.769308312005398E-35</v>
      </c>
      <c r="K330" s="49">
        <f t="shared" si="64"/>
        <v>3.745417793763313E-34</v>
      </c>
      <c r="L330" s="49">
        <f t="shared" si="65"/>
        <v>7.0593291635127189E-33</v>
      </c>
      <c r="M330" s="49">
        <f t="shared" si="65"/>
        <v>1.1964882388950398E-31</v>
      </c>
      <c r="N330" s="49">
        <f t="shared" si="65"/>
        <v>1.8386074872339376E-30</v>
      </c>
      <c r="O330" s="49">
        <f t="shared" si="65"/>
        <v>2.5791717579106202E-29</v>
      </c>
      <c r="P330" s="49">
        <f t="shared" si="65"/>
        <v>3.322057430462319E-28</v>
      </c>
      <c r="Q330" s="49">
        <f t="shared" si="65"/>
        <v>3.9485494526837621E-27</v>
      </c>
      <c r="R330" s="49">
        <f t="shared" si="65"/>
        <v>4.3496216297387811E-26</v>
      </c>
      <c r="S330" s="49">
        <f t="shared" si="65"/>
        <v>4.45751548894351E-25</v>
      </c>
      <c r="T330" s="49">
        <f t="shared" si="65"/>
        <v>4.2639309574872379E-24</v>
      </c>
      <c r="U330" s="49">
        <f t="shared" si="65"/>
        <v>3.8184557979230102E-23</v>
      </c>
      <c r="V330" s="49">
        <f t="shared" si="65"/>
        <v>3.2097487776391775E-22</v>
      </c>
      <c r="W330" s="47">
        <v>0.67300000000000004</v>
      </c>
    </row>
    <row r="331" spans="2:23" x14ac:dyDescent="0.25">
      <c r="B331" s="49">
        <f t="shared" si="64"/>
        <v>3.8345432661391296E-49</v>
      </c>
      <c r="C331" s="49">
        <f t="shared" si="64"/>
        <v>7.8964593632855092E-47</v>
      </c>
      <c r="D331" s="49">
        <f t="shared" si="64"/>
        <v>8.0502169168562283E-45</v>
      </c>
      <c r="E331" s="49">
        <f t="shared" si="64"/>
        <v>5.4167104423151049E-43</v>
      </c>
      <c r="F331" s="49">
        <f t="shared" si="64"/>
        <v>2.7059884788916574E-41</v>
      </c>
      <c r="G331" s="49">
        <f t="shared" si="64"/>
        <v>1.0704425219205056E-39</v>
      </c>
      <c r="H331" s="49">
        <f t="shared" si="64"/>
        <v>3.4924632571807841E-38</v>
      </c>
      <c r="I331" s="49">
        <f t="shared" si="64"/>
        <v>9.6654090758537017E-37</v>
      </c>
      <c r="J331" s="49">
        <f t="shared" si="64"/>
        <v>2.3159908763418051E-35</v>
      </c>
      <c r="K331" s="49">
        <f t="shared" si="64"/>
        <v>4.8806047008449347E-34</v>
      </c>
      <c r="L331" s="49">
        <f t="shared" si="65"/>
        <v>9.1575067859410261E-33</v>
      </c>
      <c r="M331" s="49">
        <f t="shared" si="65"/>
        <v>1.5451232840648125E-31</v>
      </c>
      <c r="N331" s="49">
        <f t="shared" si="65"/>
        <v>2.3636603559564667E-30</v>
      </c>
      <c r="O331" s="49">
        <f t="shared" si="65"/>
        <v>3.3007918310941968E-29</v>
      </c>
      <c r="P331" s="49">
        <f t="shared" si="65"/>
        <v>4.2324061612031566E-28</v>
      </c>
      <c r="Q331" s="49">
        <f t="shared" si="65"/>
        <v>5.0079576486758142E-27</v>
      </c>
      <c r="R331" s="49">
        <f t="shared" si="65"/>
        <v>5.4918412173595857E-26</v>
      </c>
      <c r="S331" s="49">
        <f t="shared" si="65"/>
        <v>5.6027774783820559E-25</v>
      </c>
      <c r="T331" s="49">
        <f t="shared" si="65"/>
        <v>5.3353796216494067E-24</v>
      </c>
      <c r="U331" s="49">
        <f t="shared" si="65"/>
        <v>4.7565081141448068E-23</v>
      </c>
      <c r="V331" s="49">
        <f t="shared" si="65"/>
        <v>3.9803158147691064E-22</v>
      </c>
      <c r="W331" s="47">
        <v>0.67200000000000004</v>
      </c>
    </row>
    <row r="332" spans="2:23" x14ac:dyDescent="0.25">
      <c r="B332" s="49">
        <f t="shared" si="64"/>
        <v>5.1991897788692572E-49</v>
      </c>
      <c r="C332" s="49">
        <f t="shared" si="64"/>
        <v>1.0658470244551301E-46</v>
      </c>
      <c r="D332" s="49">
        <f t="shared" si="64"/>
        <v>1.0817098584756439E-44</v>
      </c>
      <c r="E332" s="49">
        <f t="shared" si="64"/>
        <v>7.2456918305237027E-43</v>
      </c>
      <c r="F332" s="49">
        <f t="shared" si="64"/>
        <v>3.6033921637191883E-41</v>
      </c>
      <c r="G332" s="49">
        <f t="shared" si="64"/>
        <v>1.4190268598729409E-39</v>
      </c>
      <c r="H332" s="49">
        <f t="shared" si="64"/>
        <v>4.6089408061644384E-38</v>
      </c>
      <c r="I332" s="49">
        <f t="shared" si="64"/>
        <v>1.2697900100668635E-36</v>
      </c>
      <c r="J332" s="49">
        <f t="shared" si="64"/>
        <v>3.028944180684562E-35</v>
      </c>
      <c r="K332" s="49">
        <f t="shared" si="64"/>
        <v>6.354351216195606E-34</v>
      </c>
      <c r="L332" s="49">
        <f t="shared" si="65"/>
        <v>1.1869116764279299E-32</v>
      </c>
      <c r="M332" s="49">
        <f t="shared" si="65"/>
        <v>1.9936471618369208E-31</v>
      </c>
      <c r="N332" s="49">
        <f t="shared" si="65"/>
        <v>3.0360904140514648E-30</v>
      </c>
      <c r="O332" s="49">
        <f t="shared" si="65"/>
        <v>4.220780002952892E-29</v>
      </c>
      <c r="P332" s="49">
        <f t="shared" si="65"/>
        <v>5.3877492882652206E-28</v>
      </c>
      <c r="Q332" s="49">
        <f t="shared" si="65"/>
        <v>6.3463889312347595E-27</v>
      </c>
      <c r="R332" s="49">
        <f t="shared" si="65"/>
        <v>6.9283619884149799E-26</v>
      </c>
      <c r="S332" s="49">
        <f t="shared" si="65"/>
        <v>7.036604332462927E-25</v>
      </c>
      <c r="T332" s="49">
        <f t="shared" si="65"/>
        <v>6.6707224784152908E-24</v>
      </c>
      <c r="U332" s="49">
        <f t="shared" si="65"/>
        <v>5.9203072678718841E-23</v>
      </c>
      <c r="V332" s="49">
        <f t="shared" si="65"/>
        <v>4.9319958559890459E-22</v>
      </c>
      <c r="W332" s="47">
        <v>0.67100000000000004</v>
      </c>
    </row>
    <row r="333" spans="2:23" x14ac:dyDescent="0.25">
      <c r="B333" s="49">
        <f t="shared" ref="B333:K342" si="66">_xlfn.HYPGEOM.DIST(B$2,comau,tongtheN*$W333,tongtheN,TRUE)</f>
        <v>7.0429785593082683E-49</v>
      </c>
      <c r="C333" s="49">
        <f t="shared" si="66"/>
        <v>1.4373386236028753E-46</v>
      </c>
      <c r="D333" s="49">
        <f t="shared" si="66"/>
        <v>1.4521745411129935E-44</v>
      </c>
      <c r="E333" s="49">
        <f t="shared" si="66"/>
        <v>9.6834921313294311E-43</v>
      </c>
      <c r="F333" s="49">
        <f t="shared" si="66"/>
        <v>4.7941112173910438E-41</v>
      </c>
      <c r="G333" s="49">
        <f t="shared" si="66"/>
        <v>1.8794550858916126E-39</v>
      </c>
      <c r="H333" s="49">
        <f t="shared" si="66"/>
        <v>6.0769767156360627E-38</v>
      </c>
      <c r="I333" s="49">
        <f t="shared" si="66"/>
        <v>1.6667244884497143E-36</v>
      </c>
      <c r="J333" s="49">
        <f t="shared" si="66"/>
        <v>3.9579383788092938E-35</v>
      </c>
      <c r="K333" s="49">
        <f t="shared" si="66"/>
        <v>8.2659965566278836E-34</v>
      </c>
      <c r="L333" s="49">
        <f t="shared" ref="L333:V342" si="67">_xlfn.HYPGEOM.DIST(L$2,comau,tongtheN*$W333,tongtheN,TRUE)</f>
        <v>1.5370538076474866E-32</v>
      </c>
      <c r="M333" s="49">
        <f t="shared" si="67"/>
        <v>2.5701949788295588E-31</v>
      </c>
      <c r="N333" s="49">
        <f t="shared" si="67"/>
        <v>3.8965480618022617E-30</v>
      </c>
      <c r="O333" s="49">
        <f t="shared" si="67"/>
        <v>5.392698046881687E-29</v>
      </c>
      <c r="P333" s="49">
        <f t="shared" si="67"/>
        <v>6.8528200446515373E-28</v>
      </c>
      <c r="Q333" s="49">
        <f t="shared" si="67"/>
        <v>8.035959402013186E-27</v>
      </c>
      <c r="R333" s="49">
        <f t="shared" si="67"/>
        <v>8.7335596388577549E-26</v>
      </c>
      <c r="S333" s="49">
        <f t="shared" si="67"/>
        <v>8.8302728173919307E-25</v>
      </c>
      <c r="T333" s="49">
        <f t="shared" si="67"/>
        <v>8.3336406278598545E-24</v>
      </c>
      <c r="U333" s="49">
        <f t="shared" si="67"/>
        <v>7.3630494885761119E-23</v>
      </c>
      <c r="V333" s="49">
        <f t="shared" si="67"/>
        <v>6.106445185310562E-22</v>
      </c>
      <c r="W333" s="47">
        <v>0.67</v>
      </c>
    </row>
    <row r="334" spans="2:23" x14ac:dyDescent="0.25">
      <c r="B334" s="49">
        <f t="shared" si="66"/>
        <v>9.531871076646929E-49</v>
      </c>
      <c r="C334" s="49">
        <f t="shared" si="66"/>
        <v>1.9365444196051213E-46</v>
      </c>
      <c r="D334" s="49">
        <f t="shared" si="66"/>
        <v>1.9477537543489635E-44</v>
      </c>
      <c r="E334" s="49">
        <f t="shared" si="66"/>
        <v>1.2929877293088947E-42</v>
      </c>
      <c r="F334" s="49">
        <f t="shared" si="66"/>
        <v>6.372619518731306E-41</v>
      </c>
      <c r="G334" s="49">
        <f t="shared" si="66"/>
        <v>2.4870794164199291E-39</v>
      </c>
      <c r="H334" s="49">
        <f t="shared" si="66"/>
        <v>8.0055917324410902E-38</v>
      </c>
      <c r="I334" s="49">
        <f t="shared" si="66"/>
        <v>2.1858392020719792E-36</v>
      </c>
      <c r="J334" s="49">
        <f t="shared" si="66"/>
        <v>5.167402991078532E-35</v>
      </c>
      <c r="K334" s="49">
        <f t="shared" si="66"/>
        <v>1.0743550600504468E-33</v>
      </c>
      <c r="L334" s="49">
        <f t="shared" si="67"/>
        <v>1.9888013881254743E-32</v>
      </c>
      <c r="M334" s="49">
        <f t="shared" si="67"/>
        <v>3.3106905184996152E-31</v>
      </c>
      <c r="N334" s="49">
        <f t="shared" si="67"/>
        <v>4.99669897737001E-30</v>
      </c>
      <c r="O334" s="49">
        <f t="shared" si="67"/>
        <v>6.8843093224978619E-29</v>
      </c>
      <c r="P334" s="49">
        <f t="shared" si="67"/>
        <v>8.7091392912750794E-28</v>
      </c>
      <c r="Q334" s="49">
        <f t="shared" si="67"/>
        <v>1.0167070201927181E-26</v>
      </c>
      <c r="R334" s="49">
        <f t="shared" si="67"/>
        <v>1.100023921141731E-25</v>
      </c>
      <c r="S334" s="49">
        <f t="shared" si="67"/>
        <v>1.1072312013366609E-24</v>
      </c>
      <c r="T334" s="49">
        <f t="shared" si="67"/>
        <v>1.0402864827416172E-23</v>
      </c>
      <c r="U334" s="49">
        <f t="shared" si="67"/>
        <v>9.1501997514293982E-23</v>
      </c>
      <c r="V334" s="49">
        <f t="shared" si="67"/>
        <v>7.5546909434119168E-22</v>
      </c>
      <c r="W334" s="47">
        <v>0.66900000000000004</v>
      </c>
    </row>
    <row r="335" spans="2:23" x14ac:dyDescent="0.25">
      <c r="B335" s="49">
        <f t="shared" si="66"/>
        <v>1.2888532092160161E-48</v>
      </c>
      <c r="C335" s="49">
        <f t="shared" si="66"/>
        <v>2.6067678658311596E-46</v>
      </c>
      <c r="D335" s="49">
        <f t="shared" si="66"/>
        <v>2.6101101505079804E-44</v>
      </c>
      <c r="E335" s="49">
        <f t="shared" si="66"/>
        <v>1.7249216910250533E-42</v>
      </c>
      <c r="F335" s="49">
        <f t="shared" si="66"/>
        <v>8.4633730255246637E-41</v>
      </c>
      <c r="G335" s="49">
        <f t="shared" si="66"/>
        <v>3.2882588184389798E-39</v>
      </c>
      <c r="H335" s="49">
        <f t="shared" si="66"/>
        <v>1.0537096909372453E-37</v>
      </c>
      <c r="I335" s="49">
        <f t="shared" si="66"/>
        <v>2.8641602151772192E-36</v>
      </c>
      <c r="J335" s="49">
        <f t="shared" si="66"/>
        <v>6.7406747790817661E-35</v>
      </c>
      <c r="K335" s="49">
        <f t="shared" si="66"/>
        <v>1.3951831478313964E-33</v>
      </c>
      <c r="L335" s="49">
        <f t="shared" si="67"/>
        <v>2.5711509305328929E-32</v>
      </c>
      <c r="M335" s="49">
        <f t="shared" si="67"/>
        <v>4.2609648705865483E-31</v>
      </c>
      <c r="N335" s="49">
        <f t="shared" si="67"/>
        <v>6.4021557195146916E-30</v>
      </c>
      <c r="O335" s="49">
        <f t="shared" si="67"/>
        <v>8.7812752678782323E-29</v>
      </c>
      <c r="P335" s="49">
        <f t="shared" si="67"/>
        <v>1.1059287236529804E-27</v>
      </c>
      <c r="Q335" s="49">
        <f t="shared" si="67"/>
        <v>1.2852954025905919E-26</v>
      </c>
      <c r="R335" s="49">
        <f t="shared" si="67"/>
        <v>1.3844110805076018E-25</v>
      </c>
      <c r="S335" s="49">
        <f t="shared" si="67"/>
        <v>1.3872593649685152E-24</v>
      </c>
      <c r="T335" s="49">
        <f t="shared" si="67"/>
        <v>1.2975657083109062E-23</v>
      </c>
      <c r="U335" s="49">
        <f t="shared" si="67"/>
        <v>1.1362259737806815E-22</v>
      </c>
      <c r="V335" s="49">
        <f t="shared" si="67"/>
        <v>9.3391917788300457E-22</v>
      </c>
      <c r="W335" s="47">
        <v>0.66800000000000004</v>
      </c>
    </row>
    <row r="336" spans="2:23" x14ac:dyDescent="0.25">
      <c r="B336" s="49">
        <f t="shared" si="66"/>
        <v>1.7411438144712246E-48</v>
      </c>
      <c r="C336" s="49">
        <f t="shared" si="66"/>
        <v>3.5057919656096307E-46</v>
      </c>
      <c r="D336" s="49">
        <f t="shared" si="66"/>
        <v>3.494584183535175E-44</v>
      </c>
      <c r="E336" s="49">
        <f t="shared" si="66"/>
        <v>2.2991073495963693E-42</v>
      </c>
      <c r="F336" s="49">
        <f t="shared" si="66"/>
        <v>1.123018379841792E-40</v>
      </c>
      <c r="G336" s="49">
        <f t="shared" si="66"/>
        <v>4.3437340235857685E-39</v>
      </c>
      <c r="H336" s="49">
        <f t="shared" si="66"/>
        <v>1.385710174680103E-37</v>
      </c>
      <c r="I336" s="49">
        <f t="shared" si="66"/>
        <v>3.7497585763809303E-36</v>
      </c>
      <c r="J336" s="49">
        <f t="shared" si="66"/>
        <v>8.7854563635732432E-35</v>
      </c>
      <c r="K336" s="49">
        <f t="shared" si="66"/>
        <v>1.8102874077457592E-33</v>
      </c>
      <c r="L336" s="49">
        <f t="shared" si="67"/>
        <v>3.3212354173091877E-32</v>
      </c>
      <c r="M336" s="49">
        <f t="shared" si="67"/>
        <v>5.4794411822017256E-31</v>
      </c>
      <c r="N336" s="49">
        <f t="shared" si="67"/>
        <v>8.196175403837725E-30</v>
      </c>
      <c r="O336" s="49">
        <f t="shared" si="67"/>
        <v>1.1191796123895614E-28</v>
      </c>
      <c r="P336" s="49">
        <f t="shared" si="67"/>
        <v>1.4032241309014521E-27</v>
      </c>
      <c r="Q336" s="49">
        <f t="shared" si="67"/>
        <v>1.6235329837802401E-26</v>
      </c>
      <c r="R336" s="49">
        <f t="shared" si="67"/>
        <v>1.7409330184776425E-25</v>
      </c>
      <c r="S336" s="49">
        <f t="shared" si="67"/>
        <v>1.7367371922593295E-24</v>
      </c>
      <c r="T336" s="49">
        <f t="shared" si="67"/>
        <v>1.6172080282066172E-23</v>
      </c>
      <c r="U336" s="49">
        <f t="shared" si="67"/>
        <v>1.4098146348355823E-22</v>
      </c>
      <c r="V336" s="49">
        <f t="shared" si="67"/>
        <v>1.1536341183984472E-21</v>
      </c>
      <c r="W336" s="47">
        <v>0.66700000000000004</v>
      </c>
    </row>
    <row r="337" spans="2:23" x14ac:dyDescent="0.25">
      <c r="B337" s="49">
        <f t="shared" si="66"/>
        <v>2.3500336698658918E-48</v>
      </c>
      <c r="C337" s="49">
        <f t="shared" si="66"/>
        <v>4.710653373394096E-46</v>
      </c>
      <c r="D337" s="49">
        <f t="shared" si="66"/>
        <v>4.6746206708933614E-44</v>
      </c>
      <c r="E337" s="49">
        <f t="shared" si="66"/>
        <v>3.061725748931674E-42</v>
      </c>
      <c r="F337" s="49">
        <f t="shared" si="66"/>
        <v>1.4888481006113984E-40</v>
      </c>
      <c r="G337" s="49">
        <f t="shared" si="66"/>
        <v>5.7330216020839516E-39</v>
      </c>
      <c r="H337" s="49">
        <f t="shared" si="66"/>
        <v>1.8207484051361469E-37</v>
      </c>
      <c r="I337" s="49">
        <f t="shared" si="66"/>
        <v>4.9049929472524731E-36</v>
      </c>
      <c r="J337" s="49">
        <f t="shared" si="66"/>
        <v>1.1440824950019666E-34</v>
      </c>
      <c r="K337" s="49">
        <f t="shared" si="66"/>
        <v>2.3469232411823999E-33</v>
      </c>
      <c r="L337" s="49">
        <f t="shared" si="67"/>
        <v>4.2865686404888834E-32</v>
      </c>
      <c r="M337" s="49">
        <f t="shared" si="67"/>
        <v>7.0405340930748956E-31</v>
      </c>
      <c r="N337" s="49">
        <f t="shared" si="67"/>
        <v>1.0484319951947594E-29</v>
      </c>
      <c r="O337" s="49">
        <f t="shared" si="67"/>
        <v>1.4252432515724813E-28</v>
      </c>
      <c r="P337" s="49">
        <f t="shared" si="67"/>
        <v>1.7790041088648157E-27</v>
      </c>
      <c r="Q337" s="49">
        <f t="shared" si="67"/>
        <v>2.0491430478113844E-26</v>
      </c>
      <c r="R337" s="49">
        <f t="shared" si="67"/>
        <v>2.187535241074291E-25</v>
      </c>
      <c r="S337" s="49">
        <f t="shared" si="67"/>
        <v>2.172548848186743E-24</v>
      </c>
      <c r="T337" s="49">
        <f t="shared" si="67"/>
        <v>2.0140230291127311E-23</v>
      </c>
      <c r="U337" s="49">
        <f t="shared" si="67"/>
        <v>1.7479312361753883E-22</v>
      </c>
      <c r="V337" s="49">
        <f t="shared" si="67"/>
        <v>1.4239506362524181E-21</v>
      </c>
      <c r="W337" s="47">
        <v>0.66600000000000004</v>
      </c>
    </row>
    <row r="338" spans="2:23" x14ac:dyDescent="0.25">
      <c r="B338" s="49">
        <f t="shared" si="66"/>
        <v>3.1690137295404735E-48</v>
      </c>
      <c r="C338" s="49">
        <f t="shared" si="66"/>
        <v>6.3239684749293638E-46</v>
      </c>
      <c r="D338" s="49">
        <f t="shared" si="66"/>
        <v>6.2476073949646288E-44</v>
      </c>
      <c r="E338" s="49">
        <f t="shared" si="66"/>
        <v>4.0737348459551728E-42</v>
      </c>
      <c r="F338" s="49">
        <f t="shared" si="66"/>
        <v>1.9721334606502405E-40</v>
      </c>
      <c r="G338" s="49">
        <f t="shared" si="66"/>
        <v>7.5601300406372586E-39</v>
      </c>
      <c r="H338" s="49">
        <f t="shared" si="66"/>
        <v>2.3903184118291411E-37</v>
      </c>
      <c r="I338" s="49">
        <f t="shared" si="66"/>
        <v>6.4106889822483002E-36</v>
      </c>
      <c r="J338" s="49">
        <f t="shared" si="66"/>
        <v>1.4886224049348804E-34</v>
      </c>
      <c r="K338" s="49">
        <f t="shared" si="66"/>
        <v>3.0400966745478915E-33</v>
      </c>
      <c r="L338" s="49">
        <f t="shared" si="67"/>
        <v>5.5278979561551865E-32</v>
      </c>
      <c r="M338" s="49">
        <f t="shared" si="67"/>
        <v>9.0389506936298892E-31</v>
      </c>
      <c r="N338" s="49">
        <f t="shared" si="67"/>
        <v>1.3400324871310906E-29</v>
      </c>
      <c r="O338" s="49">
        <f t="shared" si="67"/>
        <v>1.8135402671189642E-28</v>
      </c>
      <c r="P338" s="49">
        <f t="shared" si="67"/>
        <v>2.253610377990228E-27</v>
      </c>
      <c r="Q338" s="49">
        <f t="shared" si="67"/>
        <v>2.5842729781990858E-26</v>
      </c>
      <c r="R338" s="49">
        <f t="shared" si="67"/>
        <v>2.7465403193314508E-25</v>
      </c>
      <c r="S338" s="49">
        <f t="shared" si="67"/>
        <v>2.7156006194427856E-24</v>
      </c>
      <c r="T338" s="49">
        <f t="shared" si="67"/>
        <v>2.506264267797751E-23</v>
      </c>
      <c r="U338" s="49">
        <f t="shared" si="67"/>
        <v>2.1654768527928257E-22</v>
      </c>
      <c r="V338" s="49">
        <f t="shared" si="67"/>
        <v>1.7562714472446626E-21</v>
      </c>
      <c r="W338" s="47">
        <v>0.66500000000000004</v>
      </c>
    </row>
    <row r="339" spans="2:23" x14ac:dyDescent="0.25">
      <c r="B339" s="49">
        <f t="shared" si="66"/>
        <v>4.2695988646637908E-48</v>
      </c>
      <c r="C339" s="49">
        <f t="shared" si="66"/>
        <v>8.4823088285158986E-46</v>
      </c>
      <c r="D339" s="49">
        <f t="shared" si="66"/>
        <v>8.3425696641928333E-44</v>
      </c>
      <c r="E339" s="49">
        <f t="shared" si="66"/>
        <v>5.4155292674135528E-42</v>
      </c>
      <c r="F339" s="49">
        <f t="shared" si="66"/>
        <v>2.6100378967996685E-40</v>
      </c>
      <c r="G339" s="49">
        <f t="shared" si="66"/>
        <v>9.960989421311176E-39</v>
      </c>
      <c r="H339" s="49">
        <f t="shared" si="66"/>
        <v>3.1353933063461227E-37</v>
      </c>
      <c r="I339" s="49">
        <f t="shared" si="66"/>
        <v>8.3715216940621456E-36</v>
      </c>
      <c r="J339" s="49">
        <f t="shared" si="66"/>
        <v>1.9352989939344173E-34</v>
      </c>
      <c r="K339" s="49">
        <f t="shared" si="66"/>
        <v>3.934731878045875E-33</v>
      </c>
      <c r="L339" s="49">
        <f t="shared" si="67"/>
        <v>7.1228275076006969E-32</v>
      </c>
      <c r="M339" s="49">
        <f t="shared" si="67"/>
        <v>1.1595127799807698E-30</v>
      </c>
      <c r="N339" s="49">
        <f t="shared" si="67"/>
        <v>1.7113484193155313E-29</v>
      </c>
      <c r="O339" s="49">
        <f t="shared" si="67"/>
        <v>2.3057722221807744E-28</v>
      </c>
      <c r="P339" s="49">
        <f t="shared" si="67"/>
        <v>2.8525590994432712E-27</v>
      </c>
      <c r="Q339" s="49">
        <f t="shared" si="67"/>
        <v>3.2565771933548113E-26</v>
      </c>
      <c r="R339" s="49">
        <f t="shared" si="67"/>
        <v>3.4456941891137845E-25</v>
      </c>
      <c r="S339" s="49">
        <f t="shared" si="67"/>
        <v>3.3917593624092795E-24</v>
      </c>
      <c r="T339" s="49">
        <f t="shared" si="67"/>
        <v>3.1164131914787804E-23</v>
      </c>
      <c r="U339" s="49">
        <f t="shared" si="67"/>
        <v>2.6807199768100066E-22</v>
      </c>
      <c r="V339" s="49">
        <f t="shared" si="67"/>
        <v>2.1645120876838285E-21</v>
      </c>
      <c r="W339" s="47">
        <v>0.66400000000000003</v>
      </c>
    </row>
    <row r="340" spans="2:23" x14ac:dyDescent="0.25">
      <c r="B340" s="49">
        <f t="shared" si="66"/>
        <v>5.7473182496997975E-48</v>
      </c>
      <c r="C340" s="49">
        <f t="shared" si="66"/>
        <v>1.136728047820308E-45</v>
      </c>
      <c r="D340" s="49">
        <f t="shared" si="66"/>
        <v>1.1130302280903581E-43</v>
      </c>
      <c r="E340" s="49">
        <f t="shared" si="66"/>
        <v>7.1930479932763535E-42</v>
      </c>
      <c r="F340" s="49">
        <f t="shared" si="66"/>
        <v>3.4513112192222603E-40</v>
      </c>
      <c r="G340" s="49">
        <f t="shared" si="66"/>
        <v>1.3113100485197829E-38</v>
      </c>
      <c r="H340" s="49">
        <f t="shared" si="66"/>
        <v>4.1092342056851807E-37</v>
      </c>
      <c r="I340" s="49">
        <f t="shared" si="66"/>
        <v>1.0922941465151464E-35</v>
      </c>
      <c r="J340" s="49">
        <f t="shared" si="66"/>
        <v>2.5139115549052674E-34</v>
      </c>
      <c r="K340" s="49">
        <f t="shared" si="66"/>
        <v>5.0884346694103717E-33</v>
      </c>
      <c r="L340" s="49">
        <f t="shared" si="67"/>
        <v>9.1704163702020672E-32</v>
      </c>
      <c r="M340" s="49">
        <f t="shared" si="67"/>
        <v>1.4862100374421058E-30</v>
      </c>
      <c r="N340" s="49">
        <f t="shared" si="67"/>
        <v>2.1837936033060766E-29</v>
      </c>
      <c r="O340" s="49">
        <f t="shared" si="67"/>
        <v>2.9292643018399588E-28</v>
      </c>
      <c r="P340" s="49">
        <f t="shared" si="67"/>
        <v>3.6078322982993677E-27</v>
      </c>
      <c r="Q340" s="49">
        <f t="shared" si="67"/>
        <v>4.1005599253797771E-26</v>
      </c>
      <c r="R340" s="49">
        <f t="shared" si="67"/>
        <v>4.3194574662299928E-25</v>
      </c>
      <c r="S340" s="49">
        <f t="shared" si="67"/>
        <v>4.2330053114439372E-24</v>
      </c>
      <c r="T340" s="49">
        <f t="shared" si="67"/>
        <v>3.8721376243893735E-23</v>
      </c>
      <c r="U340" s="49">
        <f t="shared" si="67"/>
        <v>3.3160408364504123E-22</v>
      </c>
      <c r="V340" s="49">
        <f t="shared" si="67"/>
        <v>2.6656421347172147E-21</v>
      </c>
      <c r="W340" s="47">
        <v>0.66300000000000003</v>
      </c>
    </row>
    <row r="341" spans="2:23" x14ac:dyDescent="0.25">
      <c r="B341" s="49">
        <f t="shared" si="66"/>
        <v>7.7296693573149646E-48</v>
      </c>
      <c r="C341" s="49">
        <f t="shared" si="66"/>
        <v>1.5220167703635309E-45</v>
      </c>
      <c r="D341" s="49">
        <f t="shared" si="66"/>
        <v>1.4836699868965091E-43</v>
      </c>
      <c r="E341" s="49">
        <f t="shared" si="66"/>
        <v>9.5457732445770432E-42</v>
      </c>
      <c r="F341" s="49">
        <f t="shared" si="66"/>
        <v>4.5598484595586355E-40</v>
      </c>
      <c r="G341" s="49">
        <f t="shared" si="66"/>
        <v>1.7248055822212291E-38</v>
      </c>
      <c r="H341" s="49">
        <f t="shared" si="66"/>
        <v>5.3810185173907782E-37</v>
      </c>
      <c r="I341" s="49">
        <f t="shared" si="66"/>
        <v>1.4240079254008947E-35</v>
      </c>
      <c r="J341" s="49">
        <f t="shared" si="66"/>
        <v>3.2628145972939454E-34</v>
      </c>
      <c r="K341" s="49">
        <f t="shared" si="66"/>
        <v>6.5750130870894228E-33</v>
      </c>
      <c r="L341" s="49">
        <f t="shared" si="67"/>
        <v>1.17970093633389E-31</v>
      </c>
      <c r="M341" s="49">
        <f t="shared" si="67"/>
        <v>1.9034171027304929E-30</v>
      </c>
      <c r="N341" s="49">
        <f t="shared" si="67"/>
        <v>2.7844328901837732E-29</v>
      </c>
      <c r="O341" s="49">
        <f t="shared" si="67"/>
        <v>3.7183958272367578E-28</v>
      </c>
      <c r="P341" s="49">
        <f t="shared" si="67"/>
        <v>4.5594854064201027E-27</v>
      </c>
      <c r="Q341" s="49">
        <f t="shared" si="67"/>
        <v>5.1592389329586637E-26</v>
      </c>
      <c r="R341" s="49">
        <f t="shared" si="67"/>
        <v>5.4105979591087111E-25</v>
      </c>
      <c r="S341" s="49">
        <f t="shared" si="67"/>
        <v>5.278847159291429E-24</v>
      </c>
      <c r="T341" s="49">
        <f t="shared" si="67"/>
        <v>4.807462829518789E-23</v>
      </c>
      <c r="U341" s="49">
        <f t="shared" si="67"/>
        <v>4.0988365421327701E-22</v>
      </c>
      <c r="V341" s="49">
        <f t="shared" si="67"/>
        <v>3.280340287825113E-21</v>
      </c>
      <c r="W341" s="47">
        <v>0.66200000000000003</v>
      </c>
    </row>
    <row r="342" spans="2:23" x14ac:dyDescent="0.25">
      <c r="B342" s="49">
        <f t="shared" si="66"/>
        <v>1.0386670316910623E-47</v>
      </c>
      <c r="C342" s="49">
        <f t="shared" si="66"/>
        <v>2.0361271763332942E-45</v>
      </c>
      <c r="D342" s="49">
        <f t="shared" si="66"/>
        <v>1.9760280624299158E-43</v>
      </c>
      <c r="E342" s="49">
        <f t="shared" si="66"/>
        <v>1.2657197541489628E-41</v>
      </c>
      <c r="F342" s="49">
        <f t="shared" si="66"/>
        <v>6.0193255322136912E-40</v>
      </c>
      <c r="G342" s="49">
        <f t="shared" si="66"/>
        <v>2.2667774911829949E-38</v>
      </c>
      <c r="H342" s="49">
        <f t="shared" si="66"/>
        <v>7.0405228190848755E-37</v>
      </c>
      <c r="I342" s="49">
        <f t="shared" si="66"/>
        <v>1.8549187424271133E-35</v>
      </c>
      <c r="J342" s="49">
        <f t="shared" si="66"/>
        <v>4.231334265911848E-34</v>
      </c>
      <c r="K342" s="49">
        <f t="shared" si="66"/>
        <v>8.488958904502362E-33</v>
      </c>
      <c r="L342" s="49">
        <f t="shared" si="67"/>
        <v>1.5163625208026086E-31</v>
      </c>
      <c r="M342" s="49">
        <f t="shared" si="67"/>
        <v>2.43578444054544E-30</v>
      </c>
      <c r="N342" s="49">
        <f t="shared" si="67"/>
        <v>3.5474467905745314E-29</v>
      </c>
      <c r="O342" s="49">
        <f t="shared" si="67"/>
        <v>4.7163878617946781E-28</v>
      </c>
      <c r="P342" s="49">
        <f t="shared" si="67"/>
        <v>5.757646791685028E-27</v>
      </c>
      <c r="Q342" s="49">
        <f t="shared" si="67"/>
        <v>6.4862053062009273E-26</v>
      </c>
      <c r="R342" s="49">
        <f t="shared" si="67"/>
        <v>6.772153169856958E-25</v>
      </c>
      <c r="S342" s="49">
        <f t="shared" si="67"/>
        <v>6.5780577944665822E-24</v>
      </c>
      <c r="T342" s="49">
        <f t="shared" si="67"/>
        <v>5.9642012415727968E-23</v>
      </c>
      <c r="U342" s="49">
        <f t="shared" si="67"/>
        <v>5.0626210090834866E-22</v>
      </c>
      <c r="V342" s="49">
        <f t="shared" si="67"/>
        <v>4.0337866929204721E-21</v>
      </c>
      <c r="W342" s="47">
        <v>0.66100000000000003</v>
      </c>
    </row>
    <row r="343" spans="2:23" x14ac:dyDescent="0.25">
      <c r="B343" s="49">
        <f t="shared" ref="B343:K352" si="68">_xlfn.HYPGEOM.DIST(B$2,comau,tongtheN*$W343,tongtheN,TRUE)</f>
        <v>1.3944847723469306E-47</v>
      </c>
      <c r="C343" s="49">
        <f t="shared" si="68"/>
        <v>2.7215428670927872E-45</v>
      </c>
      <c r="D343" s="49">
        <f t="shared" si="68"/>
        <v>2.6295203628281401E-43</v>
      </c>
      <c r="E343" s="49">
        <f t="shared" si="68"/>
        <v>1.6768509298488599E-41</v>
      </c>
      <c r="F343" s="49">
        <f t="shared" si="68"/>
        <v>7.9392326139370898E-40</v>
      </c>
      <c r="G343" s="49">
        <f t="shared" si="68"/>
        <v>2.9765537575451079E-38</v>
      </c>
      <c r="H343" s="49">
        <f t="shared" si="68"/>
        <v>9.2041620197396997E-37</v>
      </c>
      <c r="I343" s="49">
        <f t="shared" si="68"/>
        <v>2.4142326496010366E-35</v>
      </c>
      <c r="J343" s="49">
        <f t="shared" si="68"/>
        <v>5.4828560977127959E-34</v>
      </c>
      <c r="K343" s="49">
        <f t="shared" si="68"/>
        <v>1.0951147910244155E-32</v>
      </c>
      <c r="L343" s="49">
        <f t="shared" ref="L343:V352" si="69">_xlfn.HYPGEOM.DIST(L$2,comau,tongtheN*$W343,tongtheN,TRUE)</f>
        <v>1.9475310711091834E-31</v>
      </c>
      <c r="M343" s="49">
        <f t="shared" si="69"/>
        <v>3.1145607545590752E-30</v>
      </c>
      <c r="N343" s="49">
        <f t="shared" si="69"/>
        <v>4.5159687922845E-29</v>
      </c>
      <c r="O343" s="49">
        <f t="shared" si="69"/>
        <v>5.9775353541684146E-28</v>
      </c>
      <c r="P343" s="49">
        <f t="shared" si="69"/>
        <v>7.2650029843700995E-27</v>
      </c>
      <c r="Q343" s="49">
        <f t="shared" si="69"/>
        <v>8.1481717593828812E-26</v>
      </c>
      <c r="R343" s="49">
        <f t="shared" si="69"/>
        <v>8.4698469510599608E-25</v>
      </c>
      <c r="S343" s="49">
        <f t="shared" si="69"/>
        <v>8.1908017911050835E-24</v>
      </c>
      <c r="T343" s="49">
        <f t="shared" si="69"/>
        <v>7.3936967346256641E-23</v>
      </c>
      <c r="U343" s="49">
        <f t="shared" si="69"/>
        <v>6.2483606024839507E-22</v>
      </c>
      <c r="V343" s="49">
        <f t="shared" si="69"/>
        <v>4.9566205736523988E-21</v>
      </c>
      <c r="W343" s="47">
        <v>0.66</v>
      </c>
    </row>
    <row r="344" spans="2:23" x14ac:dyDescent="0.25">
      <c r="B344" s="49">
        <f t="shared" si="68"/>
        <v>1.8705762904240667E-47</v>
      </c>
      <c r="C344" s="49">
        <f t="shared" si="68"/>
        <v>3.6345652461793847E-45</v>
      </c>
      <c r="D344" s="49">
        <f t="shared" si="68"/>
        <v>3.4961477102363328E-43</v>
      </c>
      <c r="E344" s="49">
        <f t="shared" si="68"/>
        <v>2.2196472055785542E-41</v>
      </c>
      <c r="F344" s="49">
        <f t="shared" si="68"/>
        <v>1.046272032561865E-39</v>
      </c>
      <c r="G344" s="49">
        <f t="shared" si="68"/>
        <v>3.9053212190619869E-38</v>
      </c>
      <c r="H344" s="49">
        <f t="shared" si="68"/>
        <v>1.202277141529956E-36</v>
      </c>
      <c r="I344" s="49">
        <f t="shared" si="68"/>
        <v>3.1396203834801082E-35</v>
      </c>
      <c r="J344" s="49">
        <f t="shared" si="68"/>
        <v>7.0987675360842896E-34</v>
      </c>
      <c r="K344" s="49">
        <f t="shared" si="68"/>
        <v>1.4116084760745514E-32</v>
      </c>
      <c r="L344" s="49">
        <f t="shared" si="69"/>
        <v>2.499297500076556E-31</v>
      </c>
      <c r="M344" s="49">
        <f t="shared" si="69"/>
        <v>3.9793283619100971E-30</v>
      </c>
      <c r="N344" s="49">
        <f t="shared" si="69"/>
        <v>5.7443884624985042E-29</v>
      </c>
      <c r="O344" s="49">
        <f t="shared" si="69"/>
        <v>7.5699922613367992E-28</v>
      </c>
      <c r="P344" s="49">
        <f t="shared" si="69"/>
        <v>9.1598852670783222E-27</v>
      </c>
      <c r="Q344" s="49">
        <f t="shared" si="69"/>
        <v>1.0228122916086969E-25</v>
      </c>
      <c r="R344" s="49">
        <f t="shared" si="69"/>
        <v>1.0585063224319867E-24</v>
      </c>
      <c r="S344" s="49">
        <f t="shared" si="69"/>
        <v>1.01912411620145E-23</v>
      </c>
      <c r="T344" s="49">
        <f t="shared" si="69"/>
        <v>9.1589510764197604E-23</v>
      </c>
      <c r="U344" s="49">
        <f t="shared" si="69"/>
        <v>7.7060948545300218E-22</v>
      </c>
      <c r="V344" s="49">
        <f t="shared" si="69"/>
        <v>6.086096831825058E-21</v>
      </c>
      <c r="W344" s="47">
        <v>0.65900000000000003</v>
      </c>
    </row>
    <row r="345" spans="2:23" x14ac:dyDescent="0.25">
      <c r="B345" s="49">
        <f t="shared" si="68"/>
        <v>2.5070528863020625E-47</v>
      </c>
      <c r="C345" s="49">
        <f t="shared" si="68"/>
        <v>4.8497454846251957E-45</v>
      </c>
      <c r="D345" s="49">
        <f t="shared" si="68"/>
        <v>4.6444571810856102E-43</v>
      </c>
      <c r="E345" s="49">
        <f t="shared" si="68"/>
        <v>2.9356763474829153E-41</v>
      </c>
      <c r="F345" s="49">
        <f t="shared" si="68"/>
        <v>1.3776795193485669E-39</v>
      </c>
      <c r="G345" s="49">
        <f t="shared" si="68"/>
        <v>5.1196475027909079E-38</v>
      </c>
      <c r="H345" s="49">
        <f t="shared" si="68"/>
        <v>1.5691626696729986E-36</v>
      </c>
      <c r="I345" s="49">
        <f t="shared" si="68"/>
        <v>4.0796319043695745E-35</v>
      </c>
      <c r="J345" s="49">
        <f t="shared" si="68"/>
        <v>9.1834878929274385E-34</v>
      </c>
      <c r="K345" s="49">
        <f t="shared" si="68"/>
        <v>1.8181103804598754E-32</v>
      </c>
      <c r="L345" s="49">
        <f t="shared" si="69"/>
        <v>3.2048349847483232E-31</v>
      </c>
      <c r="M345" s="49">
        <f t="shared" si="69"/>
        <v>5.0801869036502179E-30</v>
      </c>
      <c r="N345" s="49">
        <f t="shared" si="69"/>
        <v>7.3012362343118737E-29</v>
      </c>
      <c r="O345" s="49">
        <f t="shared" si="69"/>
        <v>9.5792440371321116E-28</v>
      </c>
      <c r="P345" s="49">
        <f t="shared" si="69"/>
        <v>1.1540100289360643E-26</v>
      </c>
      <c r="Q345" s="49">
        <f t="shared" si="69"/>
        <v>1.2829206920440418E-25</v>
      </c>
      <c r="R345" s="49">
        <f t="shared" si="69"/>
        <v>1.3218502485926604E-24</v>
      </c>
      <c r="S345" s="49">
        <f t="shared" si="69"/>
        <v>1.2670724567599493E-23</v>
      </c>
      <c r="T345" s="49">
        <f t="shared" si="69"/>
        <v>1.1337214438889427E-22</v>
      </c>
      <c r="U345" s="49">
        <f t="shared" si="69"/>
        <v>9.49690168857635E-22</v>
      </c>
      <c r="V345" s="49">
        <f t="shared" si="69"/>
        <v>7.4674819640811694E-21</v>
      </c>
      <c r="W345" s="47">
        <v>0.65800000000000003</v>
      </c>
    </row>
    <row r="346" spans="2:23" x14ac:dyDescent="0.25">
      <c r="B346" s="49">
        <f t="shared" si="68"/>
        <v>3.3572228345175796E-47</v>
      </c>
      <c r="C346" s="49">
        <f t="shared" si="68"/>
        <v>6.4657181592995977E-45</v>
      </c>
      <c r="D346" s="49">
        <f t="shared" si="68"/>
        <v>6.1647325708017446E-43</v>
      </c>
      <c r="E346" s="49">
        <f t="shared" si="68"/>
        <v>3.879441681170263E-41</v>
      </c>
      <c r="F346" s="49">
        <f t="shared" si="68"/>
        <v>1.8125557216650645E-39</v>
      </c>
      <c r="G346" s="49">
        <f t="shared" si="68"/>
        <v>6.7060329867450884E-38</v>
      </c>
      <c r="H346" s="49">
        <f t="shared" si="68"/>
        <v>2.0463335341781551E-36</v>
      </c>
      <c r="I346" s="49">
        <f t="shared" si="68"/>
        <v>5.2967886735354119E-35</v>
      </c>
      <c r="J346" s="49">
        <f t="shared" si="68"/>
        <v>1.1870880729294844E-33</v>
      </c>
      <c r="K346" s="49">
        <f t="shared" si="68"/>
        <v>2.3398044962686639E-32</v>
      </c>
      <c r="L346" s="49">
        <f t="shared" si="69"/>
        <v>4.1062887403313952E-31</v>
      </c>
      <c r="M346" s="49">
        <f t="shared" si="69"/>
        <v>6.4804991370343205E-30</v>
      </c>
      <c r="N346" s="49">
        <f t="shared" si="69"/>
        <v>9.2727940739218438E-29</v>
      </c>
      <c r="O346" s="49">
        <f t="shared" si="69"/>
        <v>1.2112433896591318E-27</v>
      </c>
      <c r="P346" s="49">
        <f t="shared" si="69"/>
        <v>1.4527680534447011E-26</v>
      </c>
      <c r="Q346" s="49">
        <f t="shared" si="69"/>
        <v>1.6079539291033187E-25</v>
      </c>
      <c r="R346" s="49">
        <f t="shared" si="69"/>
        <v>1.6494674594011576E-24</v>
      </c>
      <c r="S346" s="49">
        <f t="shared" si="69"/>
        <v>1.5741687798141098E-23</v>
      </c>
      <c r="T346" s="49">
        <f t="shared" si="69"/>
        <v>1.4023138969687049E-22</v>
      </c>
      <c r="U346" s="49">
        <f t="shared" si="69"/>
        <v>1.1695278682134478E-21</v>
      </c>
      <c r="V346" s="49">
        <f t="shared" si="69"/>
        <v>9.1557376210054621E-21</v>
      </c>
      <c r="W346" s="47">
        <v>0.65700000000000003</v>
      </c>
    </row>
    <row r="347" spans="2:23" x14ac:dyDescent="0.25">
      <c r="B347" s="49">
        <f t="shared" si="68"/>
        <v>4.4918744249875948E-47</v>
      </c>
      <c r="C347" s="49">
        <f t="shared" si="68"/>
        <v>8.6128736252662094E-45</v>
      </c>
      <c r="D347" s="49">
        <f t="shared" si="68"/>
        <v>8.1757898709667192E-43</v>
      </c>
      <c r="E347" s="49">
        <f t="shared" si="68"/>
        <v>5.1223494497007256E-41</v>
      </c>
      <c r="F347" s="49">
        <f t="shared" si="68"/>
        <v>2.3827373583985613E-39</v>
      </c>
      <c r="G347" s="49">
        <f t="shared" si="68"/>
        <v>8.7767893928034713E-38</v>
      </c>
      <c r="H347" s="49">
        <f t="shared" si="68"/>
        <v>2.6664409246707091E-36</v>
      </c>
      <c r="I347" s="49">
        <f t="shared" si="68"/>
        <v>6.8715408265275483E-35</v>
      </c>
      <c r="J347" s="49">
        <f t="shared" si="68"/>
        <v>1.5332422291474208E-33</v>
      </c>
      <c r="K347" s="49">
        <f t="shared" si="68"/>
        <v>3.0088059126205805E-32</v>
      </c>
      <c r="L347" s="49">
        <f t="shared" si="69"/>
        <v>5.2571613525451571E-31</v>
      </c>
      <c r="M347" s="49">
        <f t="shared" si="69"/>
        <v>8.2603408863780953E-30</v>
      </c>
      <c r="N347" s="49">
        <f t="shared" si="69"/>
        <v>1.1767611297560617E-28</v>
      </c>
      <c r="O347" s="49">
        <f t="shared" si="69"/>
        <v>1.5303748772584587E-27</v>
      </c>
      <c r="P347" s="49">
        <f t="shared" si="69"/>
        <v>1.8274771184884869E-26</v>
      </c>
      <c r="Q347" s="49">
        <f t="shared" si="69"/>
        <v>2.0138128524520839E-25</v>
      </c>
      <c r="R347" s="49">
        <f t="shared" si="69"/>
        <v>2.0567415099515894E-24</v>
      </c>
      <c r="S347" s="49">
        <f t="shared" si="69"/>
        <v>1.9542420727333867E-23</v>
      </c>
      <c r="T347" s="49">
        <f t="shared" si="69"/>
        <v>1.7332615066456725E-22</v>
      </c>
      <c r="U347" s="49">
        <f t="shared" si="69"/>
        <v>1.439202639861838E-21</v>
      </c>
      <c r="V347" s="49">
        <f t="shared" si="69"/>
        <v>1.1217549651403401E-20</v>
      </c>
      <c r="W347" s="47">
        <v>0.65600000000000003</v>
      </c>
    </row>
    <row r="348" spans="2:23" x14ac:dyDescent="0.25">
      <c r="B348" s="49">
        <f t="shared" si="68"/>
        <v>6.0049300685904715E-47</v>
      </c>
      <c r="C348" s="49">
        <f t="shared" si="68"/>
        <v>1.1463440531709938E-44</v>
      </c>
      <c r="D348" s="49">
        <f t="shared" si="68"/>
        <v>1.0833866932765458E-42</v>
      </c>
      <c r="E348" s="49">
        <f t="shared" si="68"/>
        <v>6.757875252816376E-41</v>
      </c>
      <c r="F348" s="49">
        <f t="shared" si="68"/>
        <v>3.1297141340610867E-39</v>
      </c>
      <c r="G348" s="49">
        <f t="shared" si="68"/>
        <v>1.1477625693444112E-37</v>
      </c>
      <c r="H348" s="49">
        <f t="shared" si="68"/>
        <v>3.4716553223891258E-36</v>
      </c>
      <c r="I348" s="49">
        <f t="shared" si="68"/>
        <v>8.9073272384145485E-35</v>
      </c>
      <c r="J348" s="49">
        <f t="shared" si="68"/>
        <v>1.9787598927585738E-33</v>
      </c>
      <c r="K348" s="49">
        <f t="shared" si="68"/>
        <v>3.8660367600724314E-32</v>
      </c>
      <c r="L348" s="49">
        <f t="shared" si="69"/>
        <v>6.7253213457497523E-31</v>
      </c>
      <c r="M348" s="49">
        <f t="shared" si="69"/>
        <v>1.0520832485302523E-29</v>
      </c>
      <c r="N348" s="49">
        <f t="shared" si="69"/>
        <v>1.4922148247224347E-28</v>
      </c>
      <c r="O348" s="49">
        <f t="shared" si="69"/>
        <v>1.9321119580460714E-27</v>
      </c>
      <c r="P348" s="49">
        <f t="shared" si="69"/>
        <v>2.2970919890466609E-26</v>
      </c>
      <c r="Q348" s="49">
        <f t="shared" si="69"/>
        <v>2.5202180075170556E-25</v>
      </c>
      <c r="R348" s="49">
        <f t="shared" si="69"/>
        <v>2.5626653417216598E-24</v>
      </c>
      <c r="S348" s="49">
        <f t="shared" si="69"/>
        <v>2.4242889047281613E-23</v>
      </c>
      <c r="T348" s="49">
        <f t="shared" si="69"/>
        <v>2.1407434832553704E-22</v>
      </c>
      <c r="U348" s="49">
        <f t="shared" si="69"/>
        <v>1.7697737182083853E-21</v>
      </c>
      <c r="V348" s="49">
        <f t="shared" si="69"/>
        <v>1.3733771817071843E-20</v>
      </c>
      <c r="W348" s="47">
        <v>0.65500000000000003</v>
      </c>
    </row>
    <row r="349" spans="2:23" x14ac:dyDescent="0.25">
      <c r="B349" s="49">
        <f t="shared" si="68"/>
        <v>8.0209043271774817E-47</v>
      </c>
      <c r="C349" s="49">
        <f t="shared" si="68"/>
        <v>1.5244724946555403E-44</v>
      </c>
      <c r="D349" s="49">
        <f t="shared" si="68"/>
        <v>1.4344243419102386E-42</v>
      </c>
      <c r="E349" s="49">
        <f t="shared" si="68"/>
        <v>8.908286649828847E-41</v>
      </c>
      <c r="F349" s="49">
        <f t="shared" si="68"/>
        <v>4.1075124302479763E-39</v>
      </c>
      <c r="G349" s="49">
        <f t="shared" si="68"/>
        <v>1.499742955331273E-37</v>
      </c>
      <c r="H349" s="49">
        <f t="shared" si="68"/>
        <v>4.516399013675862E-36</v>
      </c>
      <c r="I349" s="49">
        <f t="shared" si="68"/>
        <v>1.1537040894485231E-34</v>
      </c>
      <c r="J349" s="49">
        <f t="shared" si="68"/>
        <v>2.5517131632643427E-33</v>
      </c>
      <c r="K349" s="49">
        <f t="shared" si="68"/>
        <v>4.9636013608584351E-32</v>
      </c>
      <c r="L349" s="49">
        <f t="shared" si="69"/>
        <v>8.5967949750473674E-31</v>
      </c>
      <c r="M349" s="49">
        <f t="shared" si="69"/>
        <v>1.3389572885366977E-29</v>
      </c>
      <c r="N349" s="49">
        <f t="shared" si="69"/>
        <v>1.8907824298625502E-28</v>
      </c>
      <c r="O349" s="49">
        <f t="shared" si="69"/>
        <v>2.4374550395063582E-27</v>
      </c>
      <c r="P349" s="49">
        <f t="shared" si="69"/>
        <v>2.8852097187364702E-26</v>
      </c>
      <c r="Q349" s="49">
        <f t="shared" si="69"/>
        <v>3.1516092828683472E-25</v>
      </c>
      <c r="R349" s="49">
        <f t="shared" si="69"/>
        <v>3.1906710961109332E-24</v>
      </c>
      <c r="S349" s="49">
        <f t="shared" si="69"/>
        <v>3.0051839111228483E-23</v>
      </c>
      <c r="T349" s="49">
        <f t="shared" si="69"/>
        <v>2.6420957063814861E-22</v>
      </c>
      <c r="U349" s="49">
        <f t="shared" si="69"/>
        <v>2.1747013592044406E-21</v>
      </c>
      <c r="V349" s="49">
        <f t="shared" si="69"/>
        <v>1.6802366873049862E-20</v>
      </c>
      <c r="W349" s="47">
        <v>0.65400000000000003</v>
      </c>
    </row>
    <row r="350" spans="2:23" x14ac:dyDescent="0.25">
      <c r="B350" s="49">
        <f t="shared" si="68"/>
        <v>1.070473349296458E-46</v>
      </c>
      <c r="C350" s="49">
        <f t="shared" si="68"/>
        <v>2.0256480473660728E-44</v>
      </c>
      <c r="D350" s="49">
        <f t="shared" si="68"/>
        <v>1.897641756246574E-42</v>
      </c>
      <c r="E350" s="49">
        <f t="shared" si="68"/>
        <v>1.1733383769835221E-40</v>
      </c>
      <c r="F350" s="49">
        <f t="shared" si="68"/>
        <v>5.386427644549508E-39</v>
      </c>
      <c r="G350" s="49">
        <f t="shared" si="68"/>
        <v>1.9580869965408197E-37</v>
      </c>
      <c r="H350" s="49">
        <f t="shared" si="68"/>
        <v>5.8708507449903175E-36</v>
      </c>
      <c r="I350" s="49">
        <f t="shared" si="68"/>
        <v>1.493128354439479E-34</v>
      </c>
      <c r="J350" s="49">
        <f t="shared" si="68"/>
        <v>3.2879783684770696E-33</v>
      </c>
      <c r="K350" s="49">
        <f t="shared" si="68"/>
        <v>6.367791165178447E-32</v>
      </c>
      <c r="L350" s="49">
        <f t="shared" si="69"/>
        <v>1.0980541570547991E-30</v>
      </c>
      <c r="M350" s="49">
        <f t="shared" si="69"/>
        <v>1.7027452085784932E-29</v>
      </c>
      <c r="N350" s="49">
        <f t="shared" si="69"/>
        <v>2.3939813169391169E-28</v>
      </c>
      <c r="O350" s="49">
        <f t="shared" si="69"/>
        <v>3.0726464986612298E-27</v>
      </c>
      <c r="P350" s="49">
        <f t="shared" si="69"/>
        <v>3.6211850349434444E-26</v>
      </c>
      <c r="Q350" s="49">
        <f t="shared" si="69"/>
        <v>3.9382532287554689E-25</v>
      </c>
      <c r="R350" s="49">
        <f t="shared" si="69"/>
        <v>3.9696467833011073E-24</v>
      </c>
      <c r="S350" s="49">
        <f t="shared" si="69"/>
        <v>3.7225462535787064E-23</v>
      </c>
      <c r="T350" s="49">
        <f t="shared" si="69"/>
        <v>3.2584984016255943E-22</v>
      </c>
      <c r="U350" s="49">
        <f t="shared" si="69"/>
        <v>2.6703565512615477E-21</v>
      </c>
      <c r="V350" s="49">
        <f t="shared" si="69"/>
        <v>2.0541943788046205E-20</v>
      </c>
      <c r="W350" s="47">
        <v>0.65300000000000002</v>
      </c>
    </row>
    <row r="351" spans="2:23" x14ac:dyDescent="0.25">
      <c r="B351" s="49">
        <f t="shared" si="68"/>
        <v>1.4274720478440023E-46</v>
      </c>
      <c r="C351" s="49">
        <f t="shared" si="68"/>
        <v>2.6893680262027072E-44</v>
      </c>
      <c r="D351" s="49">
        <f t="shared" si="68"/>
        <v>2.5083912827074072E-42</v>
      </c>
      <c r="E351" s="49">
        <f t="shared" si="68"/>
        <v>1.5441854809075414E-40</v>
      </c>
      <c r="F351" s="49">
        <f t="shared" si="68"/>
        <v>7.0578511755302618E-39</v>
      </c>
      <c r="G351" s="49">
        <f t="shared" si="68"/>
        <v>2.5544622262110001E-37</v>
      </c>
      <c r="H351" s="49">
        <f t="shared" si="68"/>
        <v>7.6254372679912205E-36</v>
      </c>
      <c r="I351" s="49">
        <f t="shared" si="68"/>
        <v>1.9308896816222903E-34</v>
      </c>
      <c r="J351" s="49">
        <f t="shared" si="68"/>
        <v>4.2333706077969842E-33</v>
      </c>
      <c r="K351" s="49">
        <f t="shared" si="68"/>
        <v>8.1628836200934491E-32</v>
      </c>
      <c r="L351" s="49">
        <f t="shared" si="69"/>
        <v>1.4014463089800998E-30</v>
      </c>
      <c r="M351" s="49">
        <f t="shared" si="69"/>
        <v>2.1637185188258501E-29</v>
      </c>
      <c r="N351" s="49">
        <f t="shared" si="69"/>
        <v>3.0288010675613342E-28</v>
      </c>
      <c r="O351" s="49">
        <f t="shared" si="69"/>
        <v>3.8704549992060694E-27</v>
      </c>
      <c r="P351" s="49">
        <f t="shared" si="69"/>
        <v>4.5415085309634329E-26</v>
      </c>
      <c r="Q351" s="49">
        <f t="shared" si="69"/>
        <v>4.9176050095294011E-25</v>
      </c>
      <c r="R351" s="49">
        <f t="shared" si="69"/>
        <v>4.9351809973437479E-24</v>
      </c>
      <c r="S351" s="49">
        <f t="shared" si="69"/>
        <v>4.6077955534379082E-23</v>
      </c>
      <c r="T351" s="49">
        <f t="shared" si="69"/>
        <v>4.0158103321413155E-22</v>
      </c>
      <c r="U351" s="49">
        <f t="shared" si="69"/>
        <v>3.2766364680114276E-21</v>
      </c>
      <c r="V351" s="49">
        <f t="shared" si="69"/>
        <v>2.509600900545988E-20</v>
      </c>
      <c r="W351" s="47">
        <v>0.65200000000000002</v>
      </c>
    </row>
    <row r="352" spans="2:23" x14ac:dyDescent="0.25">
      <c r="B352" s="49">
        <f t="shared" si="68"/>
        <v>1.9019568807350849E-46</v>
      </c>
      <c r="C352" s="49">
        <f t="shared" si="68"/>
        <v>3.5676347267129891E-44</v>
      </c>
      <c r="D352" s="49">
        <f t="shared" si="68"/>
        <v>3.3130106645301964E-42</v>
      </c>
      <c r="E352" s="49">
        <f t="shared" si="68"/>
        <v>2.0306017223233376E-40</v>
      </c>
      <c r="F352" s="49">
        <f t="shared" si="68"/>
        <v>9.2405082784137739E-39</v>
      </c>
      <c r="G352" s="49">
        <f t="shared" si="68"/>
        <v>3.3298240667114046E-37</v>
      </c>
      <c r="H352" s="49">
        <f t="shared" si="68"/>
        <v>9.8965852966527138E-36</v>
      </c>
      <c r="I352" s="49">
        <f t="shared" si="68"/>
        <v>2.4950387441270824E-34</v>
      </c>
      <c r="J352" s="49">
        <f t="shared" si="68"/>
        <v>5.446352555832191E-33</v>
      </c>
      <c r="K352" s="49">
        <f t="shared" si="68"/>
        <v>1.0455941161022909E-31</v>
      </c>
      <c r="L352" s="49">
        <f t="shared" si="69"/>
        <v>1.7872961277465728E-30</v>
      </c>
      <c r="M352" s="49">
        <f t="shared" si="69"/>
        <v>2.7473995323193119E-29</v>
      </c>
      <c r="N352" s="49">
        <f t="shared" si="69"/>
        <v>3.8290701578105922E-28</v>
      </c>
      <c r="O352" s="49">
        <f t="shared" si="69"/>
        <v>4.8717685645891116E-27</v>
      </c>
      <c r="P352" s="49">
        <f t="shared" si="69"/>
        <v>5.6915083665008312E-26</v>
      </c>
      <c r="Q352" s="49">
        <f t="shared" si="69"/>
        <v>6.1359823519657873E-25</v>
      </c>
      <c r="R352" s="49">
        <f t="shared" si="69"/>
        <v>6.13108575313548E-24</v>
      </c>
      <c r="S352" s="49">
        <f t="shared" si="69"/>
        <v>5.6994378286382506E-23</v>
      </c>
      <c r="T352" s="49">
        <f t="shared" si="69"/>
        <v>4.945580016469219E-22</v>
      </c>
      <c r="U352" s="49">
        <f t="shared" si="69"/>
        <v>4.0177070858989822E-21</v>
      </c>
      <c r="V352" s="49">
        <f t="shared" si="69"/>
        <v>3.0638072378648067E-20</v>
      </c>
      <c r="W352" s="47">
        <v>0.65100000000000002</v>
      </c>
    </row>
    <row r="353" spans="2:23" x14ac:dyDescent="0.25">
      <c r="B353" s="49">
        <f t="shared" ref="B353:K362" si="70">_xlfn.HYPGEOM.DIST(B$2,comau,tongtheN*$W353,tongtheN,TRUE)</f>
        <v>2.532077967806099E-46</v>
      </c>
      <c r="C353" s="49">
        <f t="shared" si="70"/>
        <v>4.7288599827015305E-44</v>
      </c>
      <c r="D353" s="49">
        <f t="shared" si="70"/>
        <v>4.3721885956247556E-42</v>
      </c>
      <c r="E353" s="49">
        <f t="shared" si="70"/>
        <v>2.6680939274228404E-40</v>
      </c>
      <c r="F353" s="49">
        <f t="shared" si="70"/>
        <v>1.2088512982437375E-38</v>
      </c>
      <c r="G353" s="49">
        <f t="shared" si="70"/>
        <v>4.3370989175249768E-37</v>
      </c>
      <c r="H353" s="49">
        <f t="shared" si="70"/>
        <v>1.2834081997536016E-35</v>
      </c>
      <c r="I353" s="49">
        <f t="shared" si="70"/>
        <v>3.2215029078600313E-34</v>
      </c>
      <c r="J353" s="49">
        <f t="shared" si="70"/>
        <v>7.0014694573245472E-33</v>
      </c>
      <c r="K353" s="49">
        <f t="shared" si="70"/>
        <v>1.338286913903058E-31</v>
      </c>
      <c r="L353" s="49">
        <f t="shared" ref="L353:V362" si="71">_xlfn.HYPGEOM.DIST(L$2,comau,tongtheN*$W353,tongtheN,TRUE)</f>
        <v>2.2776433996154331E-30</v>
      </c>
      <c r="M353" s="49">
        <f t="shared" si="71"/>
        <v>3.4858976778305881E-29</v>
      </c>
      <c r="N353" s="49">
        <f t="shared" si="71"/>
        <v>4.8371577415951135E-28</v>
      </c>
      <c r="O353" s="49">
        <f t="shared" si="71"/>
        <v>6.1275692133001767E-27</v>
      </c>
      <c r="P353" s="49">
        <f t="shared" si="71"/>
        <v>7.1274499159813224E-26</v>
      </c>
      <c r="Q353" s="49">
        <f t="shared" si="71"/>
        <v>7.650621504556567E-25</v>
      </c>
      <c r="R353" s="49">
        <f t="shared" si="71"/>
        <v>7.6112582798095891E-24</v>
      </c>
      <c r="S353" s="49">
        <f t="shared" si="71"/>
        <v>7.044630440834644E-23</v>
      </c>
      <c r="T353" s="49">
        <f t="shared" si="71"/>
        <v>6.0862706908030257E-22</v>
      </c>
      <c r="U353" s="49">
        <f t="shared" si="71"/>
        <v>4.9228986251623249E-21</v>
      </c>
      <c r="V353" s="49">
        <f t="shared" si="71"/>
        <v>3.7377775417091981E-20</v>
      </c>
      <c r="W353" s="47">
        <v>0.65</v>
      </c>
    </row>
    <row r="354" spans="2:23" x14ac:dyDescent="0.25">
      <c r="B354" s="49">
        <f t="shared" si="70"/>
        <v>3.3682077496010116E-46</v>
      </c>
      <c r="C354" s="49">
        <f t="shared" si="70"/>
        <v>6.2629719518712989E-44</v>
      </c>
      <c r="D354" s="49">
        <f t="shared" si="70"/>
        <v>5.7653467306286498E-42</v>
      </c>
      <c r="E354" s="49">
        <f t="shared" si="70"/>
        <v>3.5029224480244048E-40</v>
      </c>
      <c r="F354" s="49">
        <f t="shared" si="70"/>
        <v>1.5801761430472764E-38</v>
      </c>
      <c r="G354" s="49">
        <f t="shared" si="70"/>
        <v>5.6446305493619674E-37</v>
      </c>
      <c r="H354" s="49">
        <f t="shared" si="70"/>
        <v>1.6630486750949401E-35</v>
      </c>
      <c r="I354" s="49">
        <f t="shared" si="70"/>
        <v>4.1562631328889929E-34</v>
      </c>
      <c r="J354" s="49">
        <f t="shared" si="70"/>
        <v>8.9937017644016788E-33</v>
      </c>
      <c r="K354" s="49">
        <f t="shared" si="70"/>
        <v>1.711605731493855E-31</v>
      </c>
      <c r="L354" s="49">
        <f t="shared" si="71"/>
        <v>2.9003199599801584E-30</v>
      </c>
      <c r="M354" s="49">
        <f t="shared" si="71"/>
        <v>4.4195798629562799E-29</v>
      </c>
      <c r="N354" s="49">
        <f t="shared" si="71"/>
        <v>6.106091169880345E-28</v>
      </c>
      <c r="O354" s="49">
        <f t="shared" si="71"/>
        <v>7.7013787958817335E-27</v>
      </c>
      <c r="P354" s="49">
        <f t="shared" si="71"/>
        <v>8.9191245875433893E-26</v>
      </c>
      <c r="Q354" s="49">
        <f t="shared" si="71"/>
        <v>9.5322006074609753E-25</v>
      </c>
      <c r="R354" s="49">
        <f t="shared" si="71"/>
        <v>9.4419556244132554E-24</v>
      </c>
      <c r="S354" s="49">
        <f t="shared" si="71"/>
        <v>8.701085267483084E-23</v>
      </c>
      <c r="T354" s="49">
        <f t="shared" si="71"/>
        <v>7.4847431728095018E-22</v>
      </c>
      <c r="U354" s="49">
        <f t="shared" si="71"/>
        <v>6.0277845249114568E-21</v>
      </c>
      <c r="V354" s="49">
        <f t="shared" si="71"/>
        <v>4.556824153330683E-20</v>
      </c>
      <c r="W354" s="47">
        <v>0.64900000000000002</v>
      </c>
    </row>
    <row r="355" spans="2:23" x14ac:dyDescent="0.25">
      <c r="B355" s="49">
        <f t="shared" si="70"/>
        <v>4.4768039287904432E-46</v>
      </c>
      <c r="C355" s="49">
        <f t="shared" si="70"/>
        <v>8.2880891183939803E-44</v>
      </c>
      <c r="D355" s="49">
        <f t="shared" si="70"/>
        <v>7.5963407439832716E-42</v>
      </c>
      <c r="E355" s="49">
        <f t="shared" si="70"/>
        <v>4.5953111486940502E-40</v>
      </c>
      <c r="F355" s="49">
        <f t="shared" si="70"/>
        <v>2.0639332325546179E-38</v>
      </c>
      <c r="G355" s="49">
        <f t="shared" si="70"/>
        <v>7.3406036187189507E-37</v>
      </c>
      <c r="H355" s="49">
        <f t="shared" si="70"/>
        <v>2.1533156838383964E-35</v>
      </c>
      <c r="I355" s="49">
        <f t="shared" si="70"/>
        <v>5.3581229053641022E-34</v>
      </c>
      <c r="J355" s="49">
        <f t="shared" si="70"/>
        <v>1.1543976491812123E-32</v>
      </c>
      <c r="K355" s="49">
        <f t="shared" si="70"/>
        <v>2.1874011813192203E-31</v>
      </c>
      <c r="L355" s="49">
        <f t="shared" si="71"/>
        <v>3.6904459272865345E-30</v>
      </c>
      <c r="M355" s="49">
        <f t="shared" si="71"/>
        <v>5.5991568863755435E-29</v>
      </c>
      <c r="N355" s="49">
        <f t="shared" si="71"/>
        <v>7.7021889202590288E-28</v>
      </c>
      <c r="O355" s="49">
        <f t="shared" si="71"/>
        <v>9.6722863208952746E-27</v>
      </c>
      <c r="P355" s="49">
        <f t="shared" si="71"/>
        <v>1.1153039525095533E-25</v>
      </c>
      <c r="Q355" s="49">
        <f t="shared" si="71"/>
        <v>1.1867934565806956E-24</v>
      </c>
      <c r="R355" s="49">
        <f t="shared" si="71"/>
        <v>1.1704571663724167E-23</v>
      </c>
      <c r="S355" s="49">
        <f t="shared" si="71"/>
        <v>1.073938159923954E-22</v>
      </c>
      <c r="T355" s="49">
        <f t="shared" si="71"/>
        <v>9.1980496941551963E-22</v>
      </c>
      <c r="U355" s="49">
        <f t="shared" si="71"/>
        <v>7.3754806851267018E-21</v>
      </c>
      <c r="V355" s="49">
        <f t="shared" si="71"/>
        <v>5.551488600272633E-20</v>
      </c>
      <c r="W355" s="47">
        <v>0.64800000000000002</v>
      </c>
    </row>
    <row r="356" spans="2:23" x14ac:dyDescent="0.25">
      <c r="B356" s="49">
        <f t="shared" si="70"/>
        <v>5.9454767442284006E-46</v>
      </c>
      <c r="C356" s="49">
        <f t="shared" si="70"/>
        <v>1.0959235746044116E-43</v>
      </c>
      <c r="D356" s="49">
        <f t="shared" si="70"/>
        <v>1.0000871810078975E-41</v>
      </c>
      <c r="E356" s="49">
        <f t="shared" si="70"/>
        <v>6.023601697579873E-40</v>
      </c>
      <c r="F356" s="49">
        <f t="shared" si="70"/>
        <v>2.6936751485624938E-38</v>
      </c>
      <c r="G356" s="49">
        <f t="shared" si="70"/>
        <v>9.5387170794992964E-37</v>
      </c>
      <c r="H356" s="49">
        <f t="shared" si="70"/>
        <v>2.7859601585365548E-35</v>
      </c>
      <c r="I356" s="49">
        <f t="shared" si="70"/>
        <v>6.9022276063248777E-34</v>
      </c>
      <c r="J356" s="49">
        <f t="shared" si="70"/>
        <v>1.4806140633851867E-32</v>
      </c>
      <c r="K356" s="49">
        <f t="shared" si="70"/>
        <v>2.7933487169508261E-31</v>
      </c>
      <c r="L356" s="49">
        <f t="shared" si="71"/>
        <v>4.692305774247542E-30</v>
      </c>
      <c r="M356" s="49">
        <f t="shared" si="71"/>
        <v>7.0882876570399255E-29</v>
      </c>
      <c r="N356" s="49">
        <f t="shared" si="71"/>
        <v>9.7083320564743925E-28</v>
      </c>
      <c r="O356" s="49">
        <f t="shared" si="71"/>
        <v>1.2138692366096184E-26</v>
      </c>
      <c r="P356" s="49">
        <f t="shared" si="71"/>
        <v>1.3936344902623726E-25</v>
      </c>
      <c r="Q356" s="49">
        <f t="shared" si="71"/>
        <v>1.4765368216330277E-24</v>
      </c>
      <c r="R356" s="49">
        <f t="shared" si="71"/>
        <v>1.4499025147894987E-23</v>
      </c>
      <c r="S356" s="49">
        <f t="shared" si="71"/>
        <v>1.3245775038866197E-22</v>
      </c>
      <c r="T356" s="49">
        <f t="shared" si="71"/>
        <v>1.1295602433725666E-21</v>
      </c>
      <c r="U356" s="49">
        <f t="shared" si="71"/>
        <v>9.0182088818966627E-21</v>
      </c>
      <c r="V356" s="49">
        <f t="shared" si="71"/>
        <v>6.7585968422024151E-20</v>
      </c>
      <c r="W356" s="47">
        <v>0.64700000000000002</v>
      </c>
    </row>
    <row r="357" spans="2:23" x14ac:dyDescent="0.25">
      <c r="B357" s="49">
        <f t="shared" si="70"/>
        <v>7.8896309127315442E-46</v>
      </c>
      <c r="C357" s="49">
        <f t="shared" si="70"/>
        <v>1.4479714493095604E-43</v>
      </c>
      <c r="D357" s="49">
        <f t="shared" si="70"/>
        <v>1.3156114323611673E-41</v>
      </c>
      <c r="E357" s="49">
        <f t="shared" si="70"/>
        <v>7.8896258874560727E-40</v>
      </c>
      <c r="F357" s="49">
        <f t="shared" si="70"/>
        <v>3.5128218047014502E-38</v>
      </c>
      <c r="G357" s="49">
        <f t="shared" si="70"/>
        <v>1.2385455234829578E-36</v>
      </c>
      <c r="H357" s="49">
        <f t="shared" si="70"/>
        <v>3.6017071695433306E-35</v>
      </c>
      <c r="I357" s="49">
        <f t="shared" si="70"/>
        <v>8.8845344138417747E-34</v>
      </c>
      <c r="J357" s="49">
        <f t="shared" si="70"/>
        <v>1.8975778063747296E-32</v>
      </c>
      <c r="K357" s="49">
        <f t="shared" si="70"/>
        <v>3.5644756334015253E-31</v>
      </c>
      <c r="L357" s="49">
        <f t="shared" si="71"/>
        <v>5.9616989710581614E-30</v>
      </c>
      <c r="M357" s="49">
        <f t="shared" si="71"/>
        <v>8.9668274091850908E-29</v>
      </c>
      <c r="N357" s="49">
        <f t="shared" si="71"/>
        <v>1.2228026191022622E-27</v>
      </c>
      <c r="O357" s="49">
        <f t="shared" si="71"/>
        <v>1.5222937172284498E-26</v>
      </c>
      <c r="P357" s="49">
        <f t="shared" si="71"/>
        <v>1.7401665994595391E-25</v>
      </c>
      <c r="Q357" s="49">
        <f t="shared" si="71"/>
        <v>1.8357022117873465E-24</v>
      </c>
      <c r="R357" s="49">
        <f t="shared" si="71"/>
        <v>1.7947890375886162E-23</v>
      </c>
      <c r="S357" s="49">
        <f t="shared" si="71"/>
        <v>1.6325606436732906E-22</v>
      </c>
      <c r="T357" s="49">
        <f t="shared" si="71"/>
        <v>1.386179324017013E-21</v>
      </c>
      <c r="U357" s="49">
        <f t="shared" si="71"/>
        <v>1.101917680153997E-20</v>
      </c>
      <c r="V357" s="49">
        <f t="shared" si="71"/>
        <v>8.2225223847537088E-20</v>
      </c>
      <c r="W357" s="47">
        <v>0.64600000000000002</v>
      </c>
    </row>
    <row r="358" spans="2:23" x14ac:dyDescent="0.25">
      <c r="B358" s="49">
        <f t="shared" si="70"/>
        <v>1.046116488367853E-45</v>
      </c>
      <c r="C358" s="49">
        <f t="shared" si="70"/>
        <v>1.9115934984464834E-43</v>
      </c>
      <c r="D358" s="49">
        <f t="shared" si="70"/>
        <v>1.7293213106281158E-41</v>
      </c>
      <c r="E358" s="49">
        <f t="shared" si="70"/>
        <v>1.0325647886612049E-39</v>
      </c>
      <c r="F358" s="49">
        <f t="shared" si="70"/>
        <v>4.5775196875635848E-38</v>
      </c>
      <c r="G358" s="49">
        <f t="shared" si="70"/>
        <v>1.6069399417928672E-36</v>
      </c>
      <c r="H358" s="49">
        <f t="shared" si="70"/>
        <v>4.652753358628658E-35</v>
      </c>
      <c r="I358" s="49">
        <f t="shared" si="70"/>
        <v>1.1427485315251203E-33</v>
      </c>
      <c r="J358" s="49">
        <f t="shared" si="70"/>
        <v>2.4301349166451952E-32</v>
      </c>
      <c r="K358" s="49">
        <f t="shared" si="70"/>
        <v>4.5450816415426263E-31</v>
      </c>
      <c r="L358" s="49">
        <f t="shared" si="71"/>
        <v>7.5688831418421142E-30</v>
      </c>
      <c r="M358" s="49">
        <f t="shared" si="71"/>
        <v>1.1334876289227571E-28</v>
      </c>
      <c r="N358" s="49">
        <f t="shared" si="71"/>
        <v>1.5390441408862441E-27</v>
      </c>
      <c r="O358" s="49">
        <f t="shared" si="71"/>
        <v>1.9077016964806643E-26</v>
      </c>
      <c r="P358" s="49">
        <f t="shared" si="71"/>
        <v>2.1713044333892815E-25</v>
      </c>
      <c r="Q358" s="49">
        <f t="shared" si="71"/>
        <v>2.2806078690915896E-24</v>
      </c>
      <c r="R358" s="49">
        <f t="shared" si="71"/>
        <v>2.2201429830838059E-23</v>
      </c>
      <c r="S358" s="49">
        <f t="shared" si="71"/>
        <v>2.010743622787629E-22</v>
      </c>
      <c r="T358" s="49">
        <f t="shared" si="71"/>
        <v>1.6999156281003804E-21</v>
      </c>
      <c r="U358" s="49">
        <f t="shared" si="71"/>
        <v>1.3454837297720881E-20</v>
      </c>
      <c r="V358" s="49">
        <f t="shared" si="71"/>
        <v>9.996697200972787E-20</v>
      </c>
      <c r="W358" s="47">
        <v>0.64500000000000002</v>
      </c>
    </row>
    <row r="359" spans="2:23" x14ac:dyDescent="0.25">
      <c r="B359" s="49">
        <f t="shared" si="70"/>
        <v>1.3859855948536765E-45</v>
      </c>
      <c r="C359" s="49">
        <f t="shared" si="70"/>
        <v>2.5216733888200579E-43</v>
      </c>
      <c r="D359" s="49">
        <f t="shared" si="70"/>
        <v>2.2713493116865431E-41</v>
      </c>
      <c r="E359" s="49">
        <f t="shared" si="70"/>
        <v>1.3503328484638124E-39</v>
      </c>
      <c r="F359" s="49">
        <f t="shared" si="70"/>
        <v>5.9603173333767246E-38</v>
      </c>
      <c r="G359" s="49">
        <f t="shared" si="70"/>
        <v>2.0833144214369109E-36</v>
      </c>
      <c r="H359" s="49">
        <f t="shared" si="70"/>
        <v>6.0059485726256655E-35</v>
      </c>
      <c r="I359" s="49">
        <f t="shared" si="70"/>
        <v>1.4687201822495186E-33</v>
      </c>
      <c r="J359" s="49">
        <f t="shared" si="70"/>
        <v>3.1098254950179689E-32</v>
      </c>
      <c r="K359" s="49">
        <f t="shared" si="70"/>
        <v>5.7911527266666144E-31</v>
      </c>
      <c r="L359" s="49">
        <f t="shared" si="71"/>
        <v>9.602256463828444E-30</v>
      </c>
      <c r="M359" s="49">
        <f t="shared" si="71"/>
        <v>1.4317821964236039E-28</v>
      </c>
      <c r="N359" s="49">
        <f t="shared" si="71"/>
        <v>1.9356661220701794E-27</v>
      </c>
      <c r="O359" s="49">
        <f t="shared" si="71"/>
        <v>2.3889639466260598E-26</v>
      </c>
      <c r="P359" s="49">
        <f t="shared" si="71"/>
        <v>2.707323747095893E-25</v>
      </c>
      <c r="Q359" s="49">
        <f t="shared" si="71"/>
        <v>2.831333689703876E-24</v>
      </c>
      <c r="R359" s="49">
        <f t="shared" si="71"/>
        <v>2.7443721544038034E-23</v>
      </c>
      <c r="S359" s="49">
        <f t="shared" si="71"/>
        <v>2.4748055137429548E-22</v>
      </c>
      <c r="T359" s="49">
        <f t="shared" si="71"/>
        <v>2.0832183570779514E-21</v>
      </c>
      <c r="U359" s="49">
        <f t="shared" si="71"/>
        <v>1.6417601552309539E-20</v>
      </c>
      <c r="V359" s="49">
        <f t="shared" si="71"/>
        <v>1.2145417878815875E-19</v>
      </c>
      <c r="W359" s="47">
        <v>0.64400000000000002</v>
      </c>
    </row>
    <row r="360" spans="2:23" x14ac:dyDescent="0.25">
      <c r="B360" s="49">
        <f t="shared" si="70"/>
        <v>1.8348249135361965E-45</v>
      </c>
      <c r="C360" s="49">
        <f t="shared" si="70"/>
        <v>3.3238527968355706E-43</v>
      </c>
      <c r="D360" s="49">
        <f t="shared" si="70"/>
        <v>2.9809468779946754E-41</v>
      </c>
      <c r="E360" s="49">
        <f t="shared" si="70"/>
        <v>1.7645291649719463E-39</v>
      </c>
      <c r="F360" s="49">
        <f t="shared" si="70"/>
        <v>7.7548865642097217E-38</v>
      </c>
      <c r="G360" s="49">
        <f t="shared" si="70"/>
        <v>2.6988535551912611E-36</v>
      </c>
      <c r="H360" s="49">
        <f t="shared" si="70"/>
        <v>7.7468461901252512E-35</v>
      </c>
      <c r="I360" s="49">
        <f t="shared" si="70"/>
        <v>1.8862602968381122E-33</v>
      </c>
      <c r="J360" s="49">
        <f t="shared" si="70"/>
        <v>3.9766580650817739E-32</v>
      </c>
      <c r="K360" s="49">
        <f t="shared" si="70"/>
        <v>7.3733928247649238E-31</v>
      </c>
      <c r="L360" s="49">
        <f t="shared" si="71"/>
        <v>1.2172961726563169E-29</v>
      </c>
      <c r="M360" s="49">
        <f t="shared" si="71"/>
        <v>1.8072615893542483E-28</v>
      </c>
      <c r="N360" s="49">
        <f t="shared" si="71"/>
        <v>2.4327425174205325E-27</v>
      </c>
      <c r="O360" s="49">
        <f t="shared" si="71"/>
        <v>2.9894926305903319E-26</v>
      </c>
      <c r="P360" s="49">
        <f t="shared" si="71"/>
        <v>3.3732681843642426E-25</v>
      </c>
      <c r="Q360" s="49">
        <f t="shared" si="71"/>
        <v>3.5125712650458473E-24</v>
      </c>
      <c r="R360" s="49">
        <f t="shared" si="71"/>
        <v>3.3900114258806708E-23</v>
      </c>
      <c r="S360" s="49">
        <f t="shared" si="71"/>
        <v>3.0438552930214746E-22</v>
      </c>
      <c r="T360" s="49">
        <f t="shared" si="71"/>
        <v>2.5511925075567721E-21</v>
      </c>
      <c r="U360" s="49">
        <f t="shared" si="71"/>
        <v>2.001909516833137E-20</v>
      </c>
      <c r="V360" s="49">
        <f t="shared" si="71"/>
        <v>1.474600325556998E-19</v>
      </c>
      <c r="W360" s="47">
        <v>0.64300000000000002</v>
      </c>
    </row>
    <row r="361" spans="2:23" x14ac:dyDescent="0.25">
      <c r="B361" s="49">
        <f t="shared" si="70"/>
        <v>2.4271113480249175E-45</v>
      </c>
      <c r="C361" s="49">
        <f t="shared" si="70"/>
        <v>4.3778036605953468E-43</v>
      </c>
      <c r="D361" s="49">
        <f t="shared" si="70"/>
        <v>3.9092053798513589E-41</v>
      </c>
      <c r="E361" s="49">
        <f t="shared" si="70"/>
        <v>2.3040037808364749E-39</v>
      </c>
      <c r="F361" s="49">
        <f t="shared" si="70"/>
        <v>1.008208257302032E-37</v>
      </c>
      <c r="G361" s="49">
        <f t="shared" si="70"/>
        <v>3.4936142479257246E-36</v>
      </c>
      <c r="H361" s="49">
        <f t="shared" si="70"/>
        <v>9.9848555896695052E-35</v>
      </c>
      <c r="I361" s="49">
        <f t="shared" si="70"/>
        <v>2.4206952403034766E-33</v>
      </c>
      <c r="J361" s="49">
        <f t="shared" si="70"/>
        <v>5.0813465484349815E-32</v>
      </c>
      <c r="K361" s="49">
        <f t="shared" si="70"/>
        <v>9.381028744902367E-31</v>
      </c>
      <c r="L361" s="49">
        <f t="shared" si="71"/>
        <v>1.5420638678896234E-29</v>
      </c>
      <c r="M361" s="49">
        <f t="shared" si="71"/>
        <v>2.2795579615545946E-28</v>
      </c>
      <c r="N361" s="49">
        <f t="shared" si="71"/>
        <v>3.0552715485976658E-27</v>
      </c>
      <c r="O361" s="49">
        <f t="shared" si="71"/>
        <v>3.7383139345656733E-26</v>
      </c>
      <c r="P361" s="49">
        <f t="shared" si="71"/>
        <v>4.2000490133476436E-25</v>
      </c>
      <c r="Q361" s="49">
        <f t="shared" si="71"/>
        <v>4.3546621451144037E-24</v>
      </c>
      <c r="R361" s="49">
        <f t="shared" si="71"/>
        <v>4.1846292006352337E-23</v>
      </c>
      <c r="S361" s="49">
        <f t="shared" si="71"/>
        <v>3.7411663690919172E-22</v>
      </c>
      <c r="T361" s="49">
        <f t="shared" si="71"/>
        <v>3.1221531032031939E-21</v>
      </c>
      <c r="U361" s="49">
        <f t="shared" si="71"/>
        <v>2.4394063257790156E-20</v>
      </c>
      <c r="V361" s="49">
        <f t="shared" si="71"/>
        <v>1.7891370247842145E-19</v>
      </c>
      <c r="W361" s="47">
        <v>0.64200000000000002</v>
      </c>
    </row>
    <row r="362" spans="2:23" x14ac:dyDescent="0.25">
      <c r="B362" s="49">
        <f t="shared" si="70"/>
        <v>3.2080847691220983E-45</v>
      </c>
      <c r="C362" s="49">
        <f t="shared" si="70"/>
        <v>5.7614819970007019E-43</v>
      </c>
      <c r="D362" s="49">
        <f t="shared" si="70"/>
        <v>5.1225775300355442E-41</v>
      </c>
      <c r="E362" s="49">
        <f t="shared" si="70"/>
        <v>3.0061158061907814E-39</v>
      </c>
      <c r="F362" s="49">
        <f t="shared" si="70"/>
        <v>1.3097716847102129E-37</v>
      </c>
      <c r="G362" s="49">
        <f t="shared" si="70"/>
        <v>4.5190120857603363E-36</v>
      </c>
      <c r="H362" s="49">
        <f t="shared" si="70"/>
        <v>1.2859791944151797E-34</v>
      </c>
      <c r="I362" s="49">
        <f t="shared" si="70"/>
        <v>3.1042471261354889E-33</v>
      </c>
      <c r="J362" s="49">
        <f t="shared" si="70"/>
        <v>6.4881284655837567E-32</v>
      </c>
      <c r="K362" s="49">
        <f t="shared" si="70"/>
        <v>1.1926582190547805E-30</v>
      </c>
      <c r="L362" s="49">
        <f t="shared" si="71"/>
        <v>1.952060602226316E-29</v>
      </c>
      <c r="M362" s="49">
        <f t="shared" si="71"/>
        <v>2.8732107281227301E-28</v>
      </c>
      <c r="N362" s="49">
        <f t="shared" si="71"/>
        <v>3.8343618679041062E-27</v>
      </c>
      <c r="O362" s="49">
        <f t="shared" si="71"/>
        <v>4.6713892558135565E-26</v>
      </c>
      <c r="P362" s="49">
        <f t="shared" si="71"/>
        <v>5.2257935728703203E-25</v>
      </c>
      <c r="Q362" s="49">
        <f t="shared" si="71"/>
        <v>5.3948651438442734E-24</v>
      </c>
      <c r="R362" s="49">
        <f t="shared" si="71"/>
        <v>5.1619288129684804E-23</v>
      </c>
      <c r="S362" s="49">
        <f t="shared" si="71"/>
        <v>4.5950650216840861E-22</v>
      </c>
      <c r="T362" s="49">
        <f t="shared" si="71"/>
        <v>3.8182925046293684E-21</v>
      </c>
      <c r="U362" s="49">
        <f t="shared" si="71"/>
        <v>2.9705050798440099E-20</v>
      </c>
      <c r="V362" s="49">
        <f t="shared" si="71"/>
        <v>2.1693106922416136E-19</v>
      </c>
      <c r="W362" s="47">
        <v>0.64100000000000001</v>
      </c>
    </row>
    <row r="363" spans="2:23" x14ac:dyDescent="0.25">
      <c r="B363" s="49">
        <f t="shared" ref="B363:K372" si="72">_xlfn.HYPGEOM.DIST(B$2,comau,tongtheN*$W363,tongtheN,TRUE)</f>
        <v>4.2370629655079141E-45</v>
      </c>
      <c r="C363" s="49">
        <f t="shared" si="72"/>
        <v>7.5766536192989891E-43</v>
      </c>
      <c r="D363" s="49">
        <f t="shared" si="72"/>
        <v>6.7074313394883205E-41</v>
      </c>
      <c r="E363" s="49">
        <f t="shared" si="72"/>
        <v>3.9192071607311263E-39</v>
      </c>
      <c r="F363" s="49">
        <f t="shared" si="72"/>
        <v>1.7002519808956069E-37</v>
      </c>
      <c r="G363" s="49">
        <f t="shared" si="72"/>
        <v>5.8409939132005639E-36</v>
      </c>
      <c r="H363" s="49">
        <f t="shared" si="72"/>
        <v>1.6550196325389235E-34</v>
      </c>
      <c r="I363" s="49">
        <f t="shared" si="72"/>
        <v>3.9778817612382635E-33</v>
      </c>
      <c r="J363" s="49">
        <f t="shared" si="72"/>
        <v>8.2783128721236604E-32</v>
      </c>
      <c r="K363" s="49">
        <f t="shared" si="72"/>
        <v>1.5151850489158215E-30</v>
      </c>
      <c r="L363" s="49">
        <f t="shared" ref="L363:V372" si="73">_xlfn.HYPGEOM.DIST(L$2,comau,tongtheN*$W363,tongtheN,TRUE)</f>
        <v>2.4692822117145016E-29</v>
      </c>
      <c r="M363" s="49">
        <f t="shared" si="73"/>
        <v>3.6188716713953485E-28</v>
      </c>
      <c r="N363" s="49">
        <f t="shared" si="73"/>
        <v>4.8086992024821054E-27</v>
      </c>
      <c r="O363" s="49">
        <f t="shared" si="73"/>
        <v>5.8332414317311115E-26</v>
      </c>
      <c r="P363" s="49">
        <f t="shared" si="73"/>
        <v>6.4974975563171894E-25</v>
      </c>
      <c r="Q363" s="49">
        <f t="shared" si="73"/>
        <v>6.6789021726048819E-24</v>
      </c>
      <c r="R363" s="49">
        <f t="shared" si="73"/>
        <v>6.3630859065072841E-23</v>
      </c>
      <c r="S363" s="49">
        <f t="shared" si="73"/>
        <v>5.6400042892891372E-22</v>
      </c>
      <c r="T363" s="49">
        <f t="shared" si="73"/>
        <v>4.666483338485423E-21</v>
      </c>
      <c r="U363" s="49">
        <f t="shared" si="73"/>
        <v>3.6148008498655425E-20</v>
      </c>
      <c r="V363" s="49">
        <f t="shared" si="73"/>
        <v>2.6285136410810804E-19</v>
      </c>
      <c r="W363" s="47">
        <v>0.64</v>
      </c>
    </row>
    <row r="364" spans="2:23" x14ac:dyDescent="0.25">
      <c r="B364" s="49">
        <f t="shared" si="72"/>
        <v>5.5917638053323925E-45</v>
      </c>
      <c r="C364" s="49">
        <f t="shared" si="72"/>
        <v>9.9560667624580981E-43</v>
      </c>
      <c r="D364" s="49">
        <f t="shared" si="72"/>
        <v>8.7759350597539942E-41</v>
      </c>
      <c r="E364" s="49">
        <f t="shared" si="72"/>
        <v>5.1057850862103204E-39</v>
      </c>
      <c r="F364" s="49">
        <f t="shared" si="72"/>
        <v>2.2054900816836836E-37</v>
      </c>
      <c r="G364" s="49">
        <f t="shared" si="72"/>
        <v>7.5440830989336248E-36</v>
      </c>
      <c r="H364" s="49">
        <f t="shared" si="72"/>
        <v>2.1283897076199646E-34</v>
      </c>
      <c r="I364" s="49">
        <f t="shared" si="72"/>
        <v>5.0936439056451275E-33</v>
      </c>
      <c r="J364" s="49">
        <f t="shared" si="72"/>
        <v>1.0554743846564646E-31</v>
      </c>
      <c r="K364" s="49">
        <f t="shared" si="72"/>
        <v>1.9235396953594139E-30</v>
      </c>
      <c r="L364" s="49">
        <f t="shared" si="73"/>
        <v>3.1213057175834879E-29</v>
      </c>
      <c r="M364" s="49">
        <f t="shared" si="73"/>
        <v>4.5548007161466613E-28</v>
      </c>
      <c r="N364" s="49">
        <f t="shared" si="73"/>
        <v>6.0263585619308463E-27</v>
      </c>
      <c r="O364" s="49">
        <f t="shared" si="73"/>
        <v>7.278955080635379E-26</v>
      </c>
      <c r="P364" s="49">
        <f t="shared" si="73"/>
        <v>8.073048230247976E-25</v>
      </c>
      <c r="Q364" s="49">
        <f t="shared" si="73"/>
        <v>8.2628425542667702E-24</v>
      </c>
      <c r="R364" s="49">
        <f t="shared" si="73"/>
        <v>7.838371266127623E-23</v>
      </c>
      <c r="S364" s="49">
        <f t="shared" si="73"/>
        <v>6.9178611570536031E-22</v>
      </c>
      <c r="T364" s="49">
        <f t="shared" si="73"/>
        <v>5.6992439741885221E-21</v>
      </c>
      <c r="U364" s="49">
        <f t="shared" si="73"/>
        <v>4.3959002807303198E-20</v>
      </c>
      <c r="V364" s="49">
        <f t="shared" si="73"/>
        <v>3.182808243767295E-19</v>
      </c>
      <c r="W364" s="47">
        <v>0.63900000000000001</v>
      </c>
    </row>
    <row r="365" spans="2:23" x14ac:dyDescent="0.25">
      <c r="B365" s="49">
        <f t="shared" si="72"/>
        <v>7.3739364773809078E-45</v>
      </c>
      <c r="C365" s="49">
        <f t="shared" si="72"/>
        <v>1.3072755639392169E-42</v>
      </c>
      <c r="D365" s="49">
        <f t="shared" si="72"/>
        <v>1.1473656580694063E-40</v>
      </c>
      <c r="E365" s="49">
        <f t="shared" si="72"/>
        <v>6.6466135423598123E-39</v>
      </c>
      <c r="F365" s="49">
        <f t="shared" si="72"/>
        <v>2.8587279238766568E-37</v>
      </c>
      <c r="G365" s="49">
        <f t="shared" si="72"/>
        <v>9.7365338621187093E-36</v>
      </c>
      <c r="H365" s="49">
        <f t="shared" si="72"/>
        <v>2.7351406700682951E-34</v>
      </c>
      <c r="I365" s="49">
        <f t="shared" si="72"/>
        <v>6.5176062778744004E-33</v>
      </c>
      <c r="J365" s="49">
        <f t="shared" si="72"/>
        <v>1.3447411864452984E-31</v>
      </c>
      <c r="K365" s="49">
        <f t="shared" si="72"/>
        <v>2.4401925418191413E-30</v>
      </c>
      <c r="L365" s="49">
        <f t="shared" si="73"/>
        <v>3.9426813128915081E-29</v>
      </c>
      <c r="M365" s="49">
        <f t="shared" si="73"/>
        <v>5.7287212116743897E-28</v>
      </c>
      <c r="N365" s="49">
        <f t="shared" si="73"/>
        <v>7.5470419066166959E-27</v>
      </c>
      <c r="O365" s="49">
        <f t="shared" si="73"/>
        <v>9.0766354564293441E-26</v>
      </c>
      <c r="P365" s="49">
        <f t="shared" si="73"/>
        <v>1.0023700200179447E-24</v>
      </c>
      <c r="Q365" s="49">
        <f t="shared" si="73"/>
        <v>1.0215398402416468E-23</v>
      </c>
      <c r="R365" s="49">
        <f t="shared" si="73"/>
        <v>9.6491187286801063E-23</v>
      </c>
      <c r="S365" s="49">
        <f t="shared" si="73"/>
        <v>8.4795024474811253E-22</v>
      </c>
      <c r="T365" s="49">
        <f t="shared" si="73"/>
        <v>6.9558986969878277E-21</v>
      </c>
      <c r="U365" s="49">
        <f t="shared" si="73"/>
        <v>5.3422242334162818E-20</v>
      </c>
      <c r="V365" s="49">
        <f t="shared" si="73"/>
        <v>3.8514467465082603E-19</v>
      </c>
      <c r="W365" s="47">
        <v>0.63800000000000001</v>
      </c>
    </row>
    <row r="366" spans="2:23" x14ac:dyDescent="0.25">
      <c r="B366" s="49">
        <f t="shared" si="72"/>
        <v>9.7166929133453156E-45</v>
      </c>
      <c r="C366" s="49">
        <f t="shared" si="72"/>
        <v>1.7152099209337612E-42</v>
      </c>
      <c r="D366" s="49">
        <f t="shared" si="72"/>
        <v>1.4989369645205376E-40</v>
      </c>
      <c r="E366" s="49">
        <f t="shared" si="72"/>
        <v>8.6459692667288973E-39</v>
      </c>
      <c r="F366" s="49">
        <f t="shared" si="72"/>
        <v>3.7026971080310159E-37</v>
      </c>
      <c r="G366" s="49">
        <f t="shared" si="72"/>
        <v>1.2556894060650753E-35</v>
      </c>
      <c r="H366" s="49">
        <f t="shared" si="72"/>
        <v>3.5122903573442848E-34</v>
      </c>
      <c r="I366" s="49">
        <f t="shared" si="72"/>
        <v>8.3335910013392236E-33</v>
      </c>
      <c r="J366" s="49">
        <f t="shared" si="72"/>
        <v>1.7120503358322931E-31</v>
      </c>
      <c r="K366" s="49">
        <f t="shared" si="72"/>
        <v>3.0934004804693206E-30</v>
      </c>
      <c r="L366" s="49">
        <f t="shared" si="73"/>
        <v>4.9766655029274374E-29</v>
      </c>
      <c r="M366" s="49">
        <f t="shared" si="73"/>
        <v>7.2001195600601781E-28</v>
      </c>
      <c r="N366" s="49">
        <f t="shared" si="73"/>
        <v>9.4448392948201848E-27</v>
      </c>
      <c r="O366" s="49">
        <f t="shared" si="73"/>
        <v>1.1310428885780503E-25</v>
      </c>
      <c r="P366" s="49">
        <f t="shared" si="73"/>
        <v>1.2437102925945714E-24</v>
      </c>
      <c r="Q366" s="49">
        <f t="shared" si="73"/>
        <v>1.2620718886469333E-23</v>
      </c>
      <c r="R366" s="49">
        <f t="shared" si="73"/>
        <v>1.1870109978700764E-22</v>
      </c>
      <c r="S366" s="49">
        <f t="shared" si="73"/>
        <v>1.0386673837315227E-21</v>
      </c>
      <c r="T366" s="49">
        <f t="shared" si="73"/>
        <v>8.4839709335897493E-21</v>
      </c>
      <c r="U366" s="49">
        <f t="shared" si="73"/>
        <v>6.4879672744160754E-20</v>
      </c>
      <c r="V366" s="49">
        <f t="shared" si="73"/>
        <v>4.6574898283312802E-19</v>
      </c>
      <c r="W366" s="47">
        <v>0.63700000000000001</v>
      </c>
    </row>
    <row r="367" spans="2:23" x14ac:dyDescent="0.25">
      <c r="B367" s="49">
        <f t="shared" si="72"/>
        <v>1.2794045738852062E-44</v>
      </c>
      <c r="C367" s="49">
        <f t="shared" si="72"/>
        <v>2.2487439766737399E-42</v>
      </c>
      <c r="D367" s="49">
        <f t="shared" si="72"/>
        <v>1.9567698609901238E-40</v>
      </c>
      <c r="E367" s="49">
        <f t="shared" si="72"/>
        <v>1.1238389201697487E-38</v>
      </c>
      <c r="F367" s="49">
        <f t="shared" si="72"/>
        <v>4.7922882950931292E-37</v>
      </c>
      <c r="G367" s="49">
        <f t="shared" si="72"/>
        <v>1.6182355416005124E-35</v>
      </c>
      <c r="H367" s="49">
        <f t="shared" si="72"/>
        <v>4.5069742621197234E-34</v>
      </c>
      <c r="I367" s="49">
        <f t="shared" si="72"/>
        <v>1.0647862548842248E-32</v>
      </c>
      <c r="J367" s="49">
        <f t="shared" si="72"/>
        <v>2.1781250942201308E-31</v>
      </c>
      <c r="K367" s="49">
        <f t="shared" si="72"/>
        <v>3.9186722754933196E-30</v>
      </c>
      <c r="L367" s="49">
        <f t="shared" si="73"/>
        <v>6.277377538310098E-29</v>
      </c>
      <c r="M367" s="49">
        <f t="shared" si="73"/>
        <v>9.0430936812529024E-28</v>
      </c>
      <c r="N367" s="49">
        <f t="shared" si="73"/>
        <v>1.1811633677691621E-26</v>
      </c>
      <c r="O367" s="49">
        <f t="shared" si="73"/>
        <v>1.408423056812344E-25</v>
      </c>
      <c r="P367" s="49">
        <f t="shared" si="73"/>
        <v>1.5421000491062989E-24</v>
      </c>
      <c r="Q367" s="49">
        <f t="shared" si="73"/>
        <v>1.5581789568500207E-23</v>
      </c>
      <c r="R367" s="49">
        <f t="shared" si="73"/>
        <v>1.4592462648911764E-22</v>
      </c>
      <c r="S367" s="49">
        <f t="shared" si="73"/>
        <v>1.271427719527775E-21</v>
      </c>
      <c r="T367" s="49">
        <f t="shared" si="73"/>
        <v>1.0340855263353969E-20</v>
      </c>
      <c r="U367" s="49">
        <f t="shared" si="73"/>
        <v>7.8742439257168635E-20</v>
      </c>
      <c r="V367" s="49">
        <f t="shared" si="73"/>
        <v>5.6285421925266499E-19</v>
      </c>
      <c r="W367" s="47">
        <v>0.63600000000000001</v>
      </c>
    </row>
    <row r="368" spans="2:23" x14ac:dyDescent="0.25">
      <c r="B368" s="49">
        <f t="shared" si="72"/>
        <v>1.6833307838187893E-44</v>
      </c>
      <c r="C368" s="49">
        <f t="shared" si="72"/>
        <v>2.9460297638178214E-42</v>
      </c>
      <c r="D368" s="49">
        <f t="shared" si="72"/>
        <v>2.5525411725341999E-40</v>
      </c>
      <c r="E368" s="49">
        <f t="shared" si="72"/>
        <v>1.4597326287717516E-38</v>
      </c>
      <c r="F368" s="49">
        <f t="shared" si="72"/>
        <v>6.1979603928457032E-37</v>
      </c>
      <c r="G368" s="49">
        <f t="shared" si="72"/>
        <v>2.083937053915991E-35</v>
      </c>
      <c r="H368" s="49">
        <f t="shared" si="72"/>
        <v>5.7791683836257431E-34</v>
      </c>
      <c r="I368" s="49">
        <f t="shared" si="72"/>
        <v>1.359504169871734E-32</v>
      </c>
      <c r="J368" s="49">
        <f t="shared" si="72"/>
        <v>2.7691036598076801E-31</v>
      </c>
      <c r="K368" s="49">
        <f t="shared" si="72"/>
        <v>4.9605987561840536E-30</v>
      </c>
      <c r="L368" s="49">
        <f t="shared" si="73"/>
        <v>7.9124807021054196E-29</v>
      </c>
      <c r="M368" s="49">
        <f t="shared" si="73"/>
        <v>1.1349878923215499E-27</v>
      </c>
      <c r="N368" s="49">
        <f t="shared" si="73"/>
        <v>1.4761296570196688E-26</v>
      </c>
      <c r="O368" s="49">
        <f t="shared" si="73"/>
        <v>1.7526233134223256E-25</v>
      </c>
      <c r="P368" s="49">
        <f t="shared" si="73"/>
        <v>1.9107749911187322E-24</v>
      </c>
      <c r="Q368" s="49">
        <f t="shared" si="73"/>
        <v>1.922456511983138E-23</v>
      </c>
      <c r="R368" s="49">
        <f t="shared" si="73"/>
        <v>1.7927125665918198E-22</v>
      </c>
      <c r="S368" s="49">
        <f t="shared" si="73"/>
        <v>1.5553114288294617E-21</v>
      </c>
      <c r="T368" s="49">
        <f t="shared" si="73"/>
        <v>1.2595822708769653E-20</v>
      </c>
      <c r="U368" s="49">
        <f t="shared" si="73"/>
        <v>9.5504571517414989E-20</v>
      </c>
      <c r="V368" s="49">
        <f t="shared" si="73"/>
        <v>6.7976267772435444E-19</v>
      </c>
      <c r="W368" s="47">
        <v>0.63500000000000001</v>
      </c>
    </row>
    <row r="369" spans="2:23" x14ac:dyDescent="0.25">
      <c r="B369" s="49">
        <f t="shared" si="72"/>
        <v>2.2131200443513984E-44</v>
      </c>
      <c r="C369" s="49">
        <f t="shared" si="72"/>
        <v>3.8566515721634011E-42</v>
      </c>
      <c r="D369" s="49">
        <f t="shared" si="72"/>
        <v>3.3272400717988757E-40</v>
      </c>
      <c r="E369" s="49">
        <f t="shared" si="72"/>
        <v>1.8946245503154452E-38</v>
      </c>
      <c r="F369" s="49">
        <f t="shared" si="72"/>
        <v>8.0100914940326592E-37</v>
      </c>
      <c r="G369" s="49">
        <f t="shared" si="72"/>
        <v>2.681714268803935E-35</v>
      </c>
      <c r="H369" s="49">
        <f t="shared" si="72"/>
        <v>7.4051334587324874E-34</v>
      </c>
      <c r="I369" s="49">
        <f t="shared" si="72"/>
        <v>1.7345553049952188E-32</v>
      </c>
      <c r="J369" s="49">
        <f t="shared" si="72"/>
        <v>3.5179311815849825E-31</v>
      </c>
      <c r="K369" s="49">
        <f t="shared" si="72"/>
        <v>6.2751371169716713E-30</v>
      </c>
      <c r="L369" s="49">
        <f t="shared" si="73"/>
        <v>9.9665139435817078E-29</v>
      </c>
      <c r="M369" s="49">
        <f t="shared" si="73"/>
        <v>1.42352096047879E-27</v>
      </c>
      <c r="N369" s="49">
        <f t="shared" si="73"/>
        <v>1.8434854859908612E-26</v>
      </c>
      <c r="O369" s="49">
        <f t="shared" si="73"/>
        <v>2.1794502915213391E-25</v>
      </c>
      <c r="P369" s="49">
        <f t="shared" si="73"/>
        <v>2.3659835447484167E-24</v>
      </c>
      <c r="Q369" s="49">
        <f t="shared" si="73"/>
        <v>2.3702990356308447E-23</v>
      </c>
      <c r="R369" s="49">
        <f t="shared" si="73"/>
        <v>2.2009106773880496E-22</v>
      </c>
      <c r="S369" s="49">
        <f t="shared" si="73"/>
        <v>1.9013190231078597E-21</v>
      </c>
      <c r="T369" s="49">
        <f t="shared" si="73"/>
        <v>1.5332424196593748E-20</v>
      </c>
      <c r="U369" s="49">
        <f t="shared" si="73"/>
        <v>1.1575931130941218E-19</v>
      </c>
      <c r="V369" s="49">
        <f t="shared" si="73"/>
        <v>8.2042230502078411E-19</v>
      </c>
      <c r="W369" s="47">
        <v>0.63400000000000001</v>
      </c>
    </row>
    <row r="370" spans="2:23" x14ac:dyDescent="0.25">
      <c r="B370" s="49">
        <f t="shared" si="72"/>
        <v>2.9074763882947218E-44</v>
      </c>
      <c r="C370" s="49">
        <f t="shared" si="72"/>
        <v>5.0450049219990241E-42</v>
      </c>
      <c r="D370" s="49">
        <f t="shared" si="72"/>
        <v>4.3338675409111704E-40</v>
      </c>
      <c r="E370" s="49">
        <f t="shared" si="72"/>
        <v>2.4572838091438709E-38</v>
      </c>
      <c r="F370" s="49">
        <f t="shared" si="72"/>
        <v>1.0344527831390844E-36</v>
      </c>
      <c r="G370" s="49">
        <f t="shared" si="72"/>
        <v>3.4484753645898913E-35</v>
      </c>
      <c r="H370" s="49">
        <f t="shared" si="72"/>
        <v>9.4817686851056158E-34</v>
      </c>
      <c r="I370" s="49">
        <f t="shared" si="72"/>
        <v>2.2114997336975944E-32</v>
      </c>
      <c r="J370" s="49">
        <f t="shared" si="72"/>
        <v>4.4661037483112733E-31</v>
      </c>
      <c r="K370" s="49">
        <f t="shared" si="72"/>
        <v>7.9324600687459395E-30</v>
      </c>
      <c r="L370" s="49">
        <f t="shared" si="73"/>
        <v>1.2545028818788541E-28</v>
      </c>
      <c r="M370" s="49">
        <f t="shared" si="73"/>
        <v>1.784171063336637E-27</v>
      </c>
      <c r="N370" s="49">
        <f t="shared" si="73"/>
        <v>2.3006849316451573E-26</v>
      </c>
      <c r="O370" s="49">
        <f t="shared" si="73"/>
        <v>2.7083811622563465E-25</v>
      </c>
      <c r="P370" s="49">
        <f t="shared" si="73"/>
        <v>2.9276594078467402E-24</v>
      </c>
      <c r="Q370" s="49">
        <f t="shared" si="73"/>
        <v>2.9205096569134526E-23</v>
      </c>
      <c r="R370" s="49">
        <f t="shared" si="73"/>
        <v>2.7002582305070462E-22</v>
      </c>
      <c r="S370" s="49">
        <f t="shared" si="73"/>
        <v>2.3227688320135413E-21</v>
      </c>
      <c r="T370" s="49">
        <f t="shared" si="73"/>
        <v>1.8651369413751169E-20</v>
      </c>
      <c r="U370" s="49">
        <f t="shared" si="73"/>
        <v>1.4021858116852693E-19</v>
      </c>
      <c r="V370" s="49">
        <f t="shared" si="73"/>
        <v>9.8954994086421384E-19</v>
      </c>
      <c r="W370" s="47">
        <v>0.63300000000000001</v>
      </c>
    </row>
    <row r="371" spans="2:23" x14ac:dyDescent="0.25">
      <c r="B371" s="49">
        <f t="shared" si="72"/>
        <v>3.8168483519485159E-44</v>
      </c>
      <c r="C371" s="49">
        <f t="shared" si="72"/>
        <v>6.5946605189118866E-42</v>
      </c>
      <c r="D371" s="49">
        <f t="shared" si="72"/>
        <v>5.6409073450249731E-40</v>
      </c>
      <c r="E371" s="49">
        <f t="shared" si="72"/>
        <v>3.1847217490656486E-38</v>
      </c>
      <c r="F371" s="49">
        <f t="shared" si="72"/>
        <v>1.3349655696467119E-36</v>
      </c>
      <c r="G371" s="49">
        <f t="shared" si="72"/>
        <v>4.4312895874837399E-35</v>
      </c>
      <c r="H371" s="49">
        <f t="shared" si="72"/>
        <v>1.2132111321055124E-33</v>
      </c>
      <c r="I371" s="49">
        <f t="shared" si="72"/>
        <v>2.8175937962511047E-32</v>
      </c>
      <c r="J371" s="49">
        <f t="shared" si="72"/>
        <v>5.6658518702638413E-31</v>
      </c>
      <c r="K371" s="49">
        <f t="shared" si="72"/>
        <v>1.0020507123908111E-29</v>
      </c>
      <c r="L371" s="49">
        <f t="shared" si="73"/>
        <v>1.5779722958969015E-28</v>
      </c>
      <c r="M371" s="49">
        <f t="shared" si="73"/>
        <v>2.2346558046306305E-27</v>
      </c>
      <c r="N371" s="49">
        <f t="shared" si="73"/>
        <v>2.8693154499672581E-26</v>
      </c>
      <c r="O371" s="49">
        <f t="shared" si="73"/>
        <v>3.363400059005978E-25</v>
      </c>
      <c r="P371" s="49">
        <f t="shared" si="73"/>
        <v>3.6202412807226993E-24</v>
      </c>
      <c r="Q371" s="49">
        <f t="shared" si="73"/>
        <v>3.596039864643275E-23</v>
      </c>
      <c r="R371" s="49">
        <f t="shared" si="73"/>
        <v>3.3107069344924216E-22</v>
      </c>
      <c r="S371" s="49">
        <f t="shared" si="73"/>
        <v>2.8357749648261123E-21</v>
      </c>
      <c r="T371" s="49">
        <f t="shared" si="73"/>
        <v>2.2673972900821207E-20</v>
      </c>
      <c r="U371" s="49">
        <f t="shared" si="73"/>
        <v>1.6973618344667142E-19</v>
      </c>
      <c r="V371" s="49">
        <f t="shared" si="73"/>
        <v>1.1927775054676168E-18</v>
      </c>
      <c r="W371" s="47">
        <v>0.63200000000000001</v>
      </c>
    </row>
    <row r="372" spans="2:23" x14ac:dyDescent="0.25">
      <c r="B372" s="49">
        <f t="shared" si="72"/>
        <v>5.0069453190568805E-44</v>
      </c>
      <c r="C372" s="49">
        <f t="shared" si="72"/>
        <v>8.6139963374529716E-42</v>
      </c>
      <c r="D372" s="49">
        <f t="shared" si="72"/>
        <v>7.33678588784338E-40</v>
      </c>
      <c r="E372" s="49">
        <f t="shared" si="72"/>
        <v>4.1245196098729577E-38</v>
      </c>
      <c r="F372" s="49">
        <f t="shared" si="72"/>
        <v>1.7215408077409615E-36</v>
      </c>
      <c r="G372" s="49">
        <f t="shared" si="72"/>
        <v>5.6901427699235583E-35</v>
      </c>
      <c r="H372" s="49">
        <f t="shared" si="72"/>
        <v>1.5512279006505893E-33</v>
      </c>
      <c r="I372" s="49">
        <f t="shared" si="72"/>
        <v>3.5872713572030255E-32</v>
      </c>
      <c r="J372" s="49">
        <f t="shared" si="72"/>
        <v>7.182872365468356E-31</v>
      </c>
      <c r="K372" s="49">
        <f t="shared" si="72"/>
        <v>1.2649408082718736E-29</v>
      </c>
      <c r="L372" s="49">
        <f t="shared" si="73"/>
        <v>1.9834805878897397E-28</v>
      </c>
      <c r="M372" s="49">
        <f t="shared" si="73"/>
        <v>2.7969701682144514E-27</v>
      </c>
      <c r="N372" s="49">
        <f t="shared" si="73"/>
        <v>3.5760589632038399E-26</v>
      </c>
      <c r="O372" s="49">
        <f t="shared" si="73"/>
        <v>4.1740214701580849E-25</v>
      </c>
      <c r="P372" s="49">
        <f t="shared" si="73"/>
        <v>4.4736713434197549E-24</v>
      </c>
      <c r="Q372" s="49">
        <f t="shared" si="73"/>
        <v>4.4248864760758371E-23</v>
      </c>
      <c r="R372" s="49">
        <f t="shared" si="73"/>
        <v>4.056487640973477E-22</v>
      </c>
      <c r="S372" s="49">
        <f t="shared" si="73"/>
        <v>3.4598216789496568E-21</v>
      </c>
      <c r="T372" s="49">
        <f t="shared" si="73"/>
        <v>2.7546276543556874E-20</v>
      </c>
      <c r="U372" s="49">
        <f t="shared" si="73"/>
        <v>2.0533542728537083E-19</v>
      </c>
      <c r="V372" s="49">
        <f t="shared" si="73"/>
        <v>1.4368252993009785E-18</v>
      </c>
      <c r="W372" s="47">
        <v>0.63100000000000001</v>
      </c>
    </row>
    <row r="373" spans="2:23" x14ac:dyDescent="0.25">
      <c r="B373" s="49">
        <f t="shared" ref="B373:K382" si="74">_xlfn.HYPGEOM.DIST(B$2,comau,tongtheN*$W373,tongtheN,TRUE)</f>
        <v>6.5632925478621884E-44</v>
      </c>
      <c r="C373" s="49">
        <f t="shared" si="74"/>
        <v>1.124346123896241E-41</v>
      </c>
      <c r="D373" s="49">
        <f t="shared" si="74"/>
        <v>9.535598685646639E-40</v>
      </c>
      <c r="E373" s="49">
        <f t="shared" si="74"/>
        <v>5.3378040961604065E-38</v>
      </c>
      <c r="F373" s="49">
        <f t="shared" si="74"/>
        <v>2.2184727416124045E-36</v>
      </c>
      <c r="G373" s="49">
        <f t="shared" si="74"/>
        <v>7.3014287881368716E-35</v>
      </c>
      <c r="H373" s="49">
        <f t="shared" si="74"/>
        <v>1.98202273235879E-33</v>
      </c>
      <c r="I373" s="49">
        <f t="shared" si="74"/>
        <v>4.5640041003746719E-32</v>
      </c>
      <c r="J373" s="49">
        <f t="shared" si="74"/>
        <v>9.0997440962710544E-31</v>
      </c>
      <c r="K373" s="49">
        <f t="shared" si="74"/>
        <v>1.5956989264872907E-29</v>
      </c>
      <c r="L373" s="49">
        <f t="shared" ref="L373:V382" si="75">_xlfn.HYPGEOM.DIST(L$2,comau,tongtheN*$W373,tongtheN,TRUE)</f>
        <v>2.491488773674923E-28</v>
      </c>
      <c r="M373" s="49">
        <f t="shared" si="75"/>
        <v>3.498400968194648E-27</v>
      </c>
      <c r="N373" s="49">
        <f t="shared" si="75"/>
        <v>4.4538722897881999E-26</v>
      </c>
      <c r="O373" s="49">
        <f t="shared" si="75"/>
        <v>5.1765415815698585E-25</v>
      </c>
      <c r="P373" s="49">
        <f t="shared" si="75"/>
        <v>5.5246106719838049E-24</v>
      </c>
      <c r="Q373" s="49">
        <f t="shared" si="75"/>
        <v>5.4411785968653461E-23</v>
      </c>
      <c r="R373" s="49">
        <f t="shared" si="75"/>
        <v>4.9670091744504275E-22</v>
      </c>
      <c r="S373" s="49">
        <f t="shared" si="75"/>
        <v>4.2184531645442249E-21</v>
      </c>
      <c r="T373" s="49">
        <f t="shared" si="75"/>
        <v>3.3443978124929482E-20</v>
      </c>
      <c r="U373" s="49">
        <f t="shared" si="75"/>
        <v>2.48242008072467E-19</v>
      </c>
      <c r="V373" s="49">
        <f t="shared" si="75"/>
        <v>1.7297073157517208E-18</v>
      </c>
      <c r="W373" s="47">
        <v>0.63</v>
      </c>
    </row>
    <row r="374" spans="2:23" x14ac:dyDescent="0.25">
      <c r="B374" s="49">
        <f t="shared" si="74"/>
        <v>8.5971275486007018E-44</v>
      </c>
      <c r="C374" s="49">
        <f t="shared" si="74"/>
        <v>1.4664936215317169E-41</v>
      </c>
      <c r="D374" s="49">
        <f t="shared" si="74"/>
        <v>1.2384458084697201E-39</v>
      </c>
      <c r="E374" s="49">
        <f t="shared" si="74"/>
        <v>6.9030485532574128E-38</v>
      </c>
      <c r="F374" s="49">
        <f t="shared" si="74"/>
        <v>2.8568144282407005E-36</v>
      </c>
      <c r="G374" s="49">
        <f t="shared" si="74"/>
        <v>9.3623705030121521E-35</v>
      </c>
      <c r="H374" s="49">
        <f t="shared" si="74"/>
        <v>2.5306789769673993E-33</v>
      </c>
      <c r="I374" s="49">
        <f t="shared" si="74"/>
        <v>5.8026362843383136E-32</v>
      </c>
      <c r="J374" s="49">
        <f t="shared" si="74"/>
        <v>1.1520195890014707E-30</v>
      </c>
      <c r="K374" s="49">
        <f t="shared" si="74"/>
        <v>2.0115622969688304E-29</v>
      </c>
      <c r="L374" s="49">
        <f t="shared" si="75"/>
        <v>3.1274748958634292E-28</v>
      </c>
      <c r="M374" s="49">
        <f t="shared" si="75"/>
        <v>4.3727775810226249E-27</v>
      </c>
      <c r="N374" s="49">
        <f t="shared" si="75"/>
        <v>5.5434360337904266E-26</v>
      </c>
      <c r="O374" s="49">
        <f t="shared" si="75"/>
        <v>6.4155673539588693E-25</v>
      </c>
      <c r="P374" s="49">
        <f t="shared" si="75"/>
        <v>6.8179177786904767E-24</v>
      </c>
      <c r="Q374" s="49">
        <f t="shared" si="75"/>
        <v>6.6864939753160436E-23</v>
      </c>
      <c r="R374" s="49">
        <f t="shared" si="75"/>
        <v>6.077941969418598E-22</v>
      </c>
      <c r="S374" s="49">
        <f t="shared" si="75"/>
        <v>5.1401014158985365E-21</v>
      </c>
      <c r="T374" s="49">
        <f t="shared" si="75"/>
        <v>4.0578319857175028E-20</v>
      </c>
      <c r="U374" s="49">
        <f t="shared" si="75"/>
        <v>2.9992311365112261E-19</v>
      </c>
      <c r="V374" s="49">
        <f t="shared" si="75"/>
        <v>2.0809743298593178E-18</v>
      </c>
      <c r="W374" s="47">
        <v>0.629</v>
      </c>
    </row>
    <row r="375" spans="2:23" x14ac:dyDescent="0.25">
      <c r="B375" s="49">
        <f t="shared" si="74"/>
        <v>1.1253027473637238E-43</v>
      </c>
      <c r="C375" s="49">
        <f t="shared" si="74"/>
        <v>1.9113790644157802E-41</v>
      </c>
      <c r="D375" s="49">
        <f t="shared" si="74"/>
        <v>1.607291471340689E-39</v>
      </c>
      <c r="E375" s="49">
        <f t="shared" si="74"/>
        <v>8.9209254961105281E-38</v>
      </c>
      <c r="F375" s="49">
        <f t="shared" si="74"/>
        <v>3.6762306335280112E-36</v>
      </c>
      <c r="G375" s="49">
        <f t="shared" si="74"/>
        <v>1.1996613840020562E-34</v>
      </c>
      <c r="H375" s="49">
        <f t="shared" si="74"/>
        <v>3.2289585633006781E-33</v>
      </c>
      <c r="I375" s="49">
        <f t="shared" si="74"/>
        <v>7.372313010260454E-32</v>
      </c>
      <c r="J375" s="49">
        <f t="shared" si="74"/>
        <v>1.4574435714211986E-30</v>
      </c>
      <c r="K375" s="49">
        <f t="shared" si="74"/>
        <v>2.5340742223476913E-29</v>
      </c>
      <c r="L375" s="49">
        <f t="shared" si="75"/>
        <v>3.9231431243691819E-28</v>
      </c>
      <c r="M375" s="49">
        <f t="shared" si="75"/>
        <v>5.4620129897235382E-27</v>
      </c>
      <c r="N375" s="49">
        <f t="shared" si="75"/>
        <v>6.8949318381854983E-26</v>
      </c>
      <c r="O375" s="49">
        <f t="shared" si="75"/>
        <v>7.9458837776470009E-25</v>
      </c>
      <c r="P375" s="49">
        <f t="shared" si="75"/>
        <v>8.4084460910649028E-24</v>
      </c>
      <c r="Q375" s="49">
        <f t="shared" si="75"/>
        <v>8.21145215118202E-23</v>
      </c>
      <c r="R375" s="49">
        <f t="shared" si="75"/>
        <v>7.4325236889822449E-22</v>
      </c>
      <c r="S375" s="49">
        <f t="shared" si="75"/>
        <v>6.2590792101377592E-21</v>
      </c>
      <c r="T375" s="49">
        <f t="shared" si="75"/>
        <v>4.9203119495271673E-20</v>
      </c>
      <c r="U375" s="49">
        <f t="shared" si="75"/>
        <v>3.6213390770829147E-19</v>
      </c>
      <c r="V375" s="49">
        <f t="shared" si="75"/>
        <v>2.5020015364613019E-18</v>
      </c>
      <c r="W375" s="47">
        <v>0.628</v>
      </c>
    </row>
    <row r="376" spans="2:23" x14ac:dyDescent="0.25">
      <c r="B376" s="49">
        <f t="shared" si="74"/>
        <v>1.4718768838858946E-43</v>
      </c>
      <c r="C376" s="49">
        <f t="shared" si="74"/>
        <v>2.4894398698771518E-41</v>
      </c>
      <c r="D376" s="49">
        <f t="shared" si="74"/>
        <v>2.0845029645634307E-39</v>
      </c>
      <c r="E376" s="49">
        <f t="shared" si="74"/>
        <v>1.1520497056847952E-37</v>
      </c>
      <c r="F376" s="49">
        <f t="shared" si="74"/>
        <v>4.7273511999803821E-36</v>
      </c>
      <c r="G376" s="49">
        <f t="shared" si="74"/>
        <v>1.5361301546954481E-34</v>
      </c>
      <c r="H376" s="49">
        <f t="shared" si="74"/>
        <v>4.1170529060219384E-33</v>
      </c>
      <c r="I376" s="49">
        <f t="shared" si="74"/>
        <v>9.3601504368124006E-32</v>
      </c>
      <c r="J376" s="49">
        <f t="shared" si="74"/>
        <v>1.8425800602458914E-30</v>
      </c>
      <c r="K376" s="49">
        <f t="shared" si="74"/>
        <v>3.1901418745921222E-29</v>
      </c>
      <c r="L376" s="49">
        <f t="shared" si="75"/>
        <v>4.9179191783585464E-28</v>
      </c>
      <c r="M376" s="49">
        <f t="shared" si="75"/>
        <v>6.8180012959140944E-27</v>
      </c>
      <c r="N376" s="49">
        <f t="shared" si="75"/>
        <v>8.570221016459508E-26</v>
      </c>
      <c r="O376" s="49">
        <f t="shared" si="75"/>
        <v>9.8347326391852967E-25</v>
      </c>
      <c r="P376" s="49">
        <f t="shared" si="75"/>
        <v>1.0363227779883649E-23</v>
      </c>
      <c r="Q376" s="49">
        <f t="shared" si="75"/>
        <v>1.0077641383880788E-22</v>
      </c>
      <c r="R376" s="49">
        <f t="shared" si="75"/>
        <v>9.0831313101767418E-22</v>
      </c>
      <c r="S376" s="49">
        <f t="shared" si="75"/>
        <v>7.6167703785969088E-21</v>
      </c>
      <c r="T376" s="49">
        <f t="shared" si="75"/>
        <v>5.962316052657227E-20</v>
      </c>
      <c r="U376" s="49">
        <f t="shared" si="75"/>
        <v>4.3697274794776822E-19</v>
      </c>
      <c r="V376" s="49">
        <f t="shared" si="75"/>
        <v>3.0063286934493148E-18</v>
      </c>
      <c r="W376" s="47">
        <v>0.627</v>
      </c>
    </row>
    <row r="377" spans="2:23" x14ac:dyDescent="0.25">
      <c r="B377" s="49">
        <f t="shared" si="74"/>
        <v>1.9238064107376812E-43</v>
      </c>
      <c r="C377" s="49">
        <f t="shared" si="74"/>
        <v>3.2400095260523703E-41</v>
      </c>
      <c r="D377" s="49">
        <f t="shared" si="74"/>
        <v>2.701483248920584E-39</v>
      </c>
      <c r="E377" s="49">
        <f t="shared" si="74"/>
        <v>1.4867106879703558E-37</v>
      </c>
      <c r="F377" s="49">
        <f t="shared" si="74"/>
        <v>6.0747580499883354E-36</v>
      </c>
      <c r="G377" s="49">
        <f t="shared" si="74"/>
        <v>1.9656012025839091E-34</v>
      </c>
      <c r="H377" s="49">
        <f t="shared" si="74"/>
        <v>5.245785711214522E-33</v>
      </c>
      <c r="I377" s="49">
        <f t="shared" si="74"/>
        <v>1.1875832890940864E-31</v>
      </c>
      <c r="J377" s="49">
        <f t="shared" si="74"/>
        <v>2.3279049206877677E-30</v>
      </c>
      <c r="K377" s="49">
        <f t="shared" si="74"/>
        <v>4.0133495498830611E-29</v>
      </c>
      <c r="L377" s="49">
        <f t="shared" si="75"/>
        <v>6.1607986724686732E-28</v>
      </c>
      <c r="M377" s="49">
        <f t="shared" si="75"/>
        <v>8.5049526503982802E-27</v>
      </c>
      <c r="N377" s="49">
        <f t="shared" si="75"/>
        <v>1.0645513500235698E-25</v>
      </c>
      <c r="O377" s="49">
        <f t="shared" si="75"/>
        <v>1.2164591720342545E-24</v>
      </c>
      <c r="P377" s="49">
        <f t="shared" si="75"/>
        <v>1.2764125299684201E-23</v>
      </c>
      <c r="Q377" s="49">
        <f t="shared" si="75"/>
        <v>1.2359947825018846E-22</v>
      </c>
      <c r="R377" s="49">
        <f t="shared" si="75"/>
        <v>1.1093172877221699E-21</v>
      </c>
      <c r="S377" s="49">
        <f t="shared" si="75"/>
        <v>9.2630556845021343E-21</v>
      </c>
      <c r="T377" s="49">
        <f t="shared" si="75"/>
        <v>7.2204197958341329E-20</v>
      </c>
      <c r="U377" s="49">
        <f t="shared" si="75"/>
        <v>5.2694674016297737E-19</v>
      </c>
      <c r="V377" s="49">
        <f t="shared" si="75"/>
        <v>3.6100621089075364E-18</v>
      </c>
      <c r="W377" s="47">
        <v>0.626</v>
      </c>
    </row>
    <row r="378" spans="2:23" x14ac:dyDescent="0.25">
      <c r="B378" s="49">
        <f t="shared" si="74"/>
        <v>2.5127003230048815E-43</v>
      </c>
      <c r="C378" s="49">
        <f t="shared" si="74"/>
        <v>4.2138824010924681E-41</v>
      </c>
      <c r="D378" s="49">
        <f t="shared" si="74"/>
        <v>3.4986101622634702E-39</v>
      </c>
      <c r="E378" s="49">
        <f t="shared" si="74"/>
        <v>1.9172434318559345E-37</v>
      </c>
      <c r="F378" s="49">
        <f t="shared" si="74"/>
        <v>7.8007738869540782E-36</v>
      </c>
      <c r="G378" s="49">
        <f t="shared" si="74"/>
        <v>2.5134047461324513E-34</v>
      </c>
      <c r="H378" s="49">
        <f t="shared" si="74"/>
        <v>6.6793824787172707E-33</v>
      </c>
      <c r="I378" s="49">
        <f t="shared" si="74"/>
        <v>1.505736717028218E-31</v>
      </c>
      <c r="J378" s="49">
        <f t="shared" si="74"/>
        <v>2.939069597036182E-30</v>
      </c>
      <c r="K378" s="49">
        <f t="shared" si="74"/>
        <v>5.0455880160702492E-29</v>
      </c>
      <c r="L378" s="49">
        <f t="shared" si="75"/>
        <v>7.7126302041151997E-28</v>
      </c>
      <c r="M378" s="49">
        <f t="shared" si="75"/>
        <v>1.0602264594359904E-26</v>
      </c>
      <c r="N378" s="49">
        <f t="shared" si="75"/>
        <v>1.3214635368113438E-25</v>
      </c>
      <c r="O378" s="49">
        <f t="shared" si="75"/>
        <v>1.5036562180957875E-24</v>
      </c>
      <c r="P378" s="49">
        <f t="shared" si="75"/>
        <v>1.571104878572276E-23</v>
      </c>
      <c r="Q378" s="49">
        <f t="shared" si="75"/>
        <v>1.5149369141989601E-22</v>
      </c>
      <c r="R378" s="49">
        <f t="shared" si="75"/>
        <v>1.3539362508447424E-21</v>
      </c>
      <c r="S378" s="49">
        <f t="shared" si="75"/>
        <v>1.1258019887835264E-20</v>
      </c>
      <c r="T378" s="49">
        <f t="shared" si="75"/>
        <v>8.7384883467006217E-20</v>
      </c>
      <c r="U378" s="49">
        <f t="shared" si="75"/>
        <v>6.3504951536606653E-19</v>
      </c>
      <c r="V378" s="49">
        <f t="shared" si="75"/>
        <v>4.332349427794835E-18</v>
      </c>
      <c r="W378" s="47">
        <v>0.625</v>
      </c>
    </row>
    <row r="379" spans="2:23" x14ac:dyDescent="0.25">
      <c r="B379" s="49">
        <f t="shared" si="74"/>
        <v>3.2795263363908671E-43</v>
      </c>
      <c r="C379" s="49">
        <f t="shared" si="74"/>
        <v>5.4766078922198113E-41</v>
      </c>
      <c r="D379" s="49">
        <f t="shared" si="74"/>
        <v>4.5277657975533397E-39</v>
      </c>
      <c r="E379" s="49">
        <f t="shared" si="74"/>
        <v>2.4707294789900203E-37</v>
      </c>
      <c r="F379" s="49">
        <f t="shared" si="74"/>
        <v>1.001026456116095E-35</v>
      </c>
      <c r="G379" s="49">
        <f t="shared" si="74"/>
        <v>3.2116679238303397E-34</v>
      </c>
      <c r="H379" s="49">
        <f t="shared" si="74"/>
        <v>8.4989501972393292E-33</v>
      </c>
      <c r="I379" s="49">
        <f t="shared" si="74"/>
        <v>1.9078280613527178E-31</v>
      </c>
      <c r="J379" s="49">
        <f t="shared" si="74"/>
        <v>3.7081881188776159E-30</v>
      </c>
      <c r="K379" s="49">
        <f t="shared" si="74"/>
        <v>6.3390747279224593E-29</v>
      </c>
      <c r="L379" s="49">
        <f t="shared" si="75"/>
        <v>9.6489336243239405E-28</v>
      </c>
      <c r="M379" s="49">
        <f t="shared" si="75"/>
        <v>1.3208050788925248E-26</v>
      </c>
      <c r="N379" s="49">
        <f t="shared" si="75"/>
        <v>1.639302666603178E-25</v>
      </c>
      <c r="O379" s="49">
        <f t="shared" si="75"/>
        <v>1.8574494614682479E-24</v>
      </c>
      <c r="P379" s="49">
        <f t="shared" si="75"/>
        <v>1.9325857619157833E-23</v>
      </c>
      <c r="Q379" s="49">
        <f t="shared" si="75"/>
        <v>1.8556411238578145E-22</v>
      </c>
      <c r="R379" s="49">
        <f t="shared" si="75"/>
        <v>1.6514454607545085E-21</v>
      </c>
      <c r="S379" s="49">
        <f t="shared" si="75"/>
        <v>1.3673994190812724E-20</v>
      </c>
      <c r="T379" s="49">
        <f t="shared" si="75"/>
        <v>1.0569096939665451E-19</v>
      </c>
      <c r="U379" s="49">
        <f t="shared" si="75"/>
        <v>7.648534529266034E-19</v>
      </c>
      <c r="V379" s="49">
        <f t="shared" si="75"/>
        <v>5.1959400629177654E-18</v>
      </c>
      <c r="W379" s="47">
        <v>0.624</v>
      </c>
    </row>
    <row r="380" spans="2:23" x14ac:dyDescent="0.25">
      <c r="B380" s="49">
        <f t="shared" si="74"/>
        <v>4.2773450963511471E-43</v>
      </c>
      <c r="C380" s="49">
        <f t="shared" si="74"/>
        <v>7.1127184522617414E-41</v>
      </c>
      <c r="D380" s="49">
        <f t="shared" si="74"/>
        <v>5.8555687466816806E-39</v>
      </c>
      <c r="E380" s="49">
        <f t="shared" si="74"/>
        <v>3.1817925472174126E-37</v>
      </c>
      <c r="F380" s="49">
        <f t="shared" si="74"/>
        <v>1.2836722266942249E-35</v>
      </c>
      <c r="G380" s="49">
        <f t="shared" si="74"/>
        <v>4.1011113552761746E-34</v>
      </c>
      <c r="H380" s="49">
        <f t="shared" si="74"/>
        <v>1.0806846484772578E-32</v>
      </c>
      <c r="I380" s="49">
        <f t="shared" si="74"/>
        <v>2.4156619320794632E-31</v>
      </c>
      <c r="J380" s="49">
        <f t="shared" si="74"/>
        <v>4.6754388870962951E-30</v>
      </c>
      <c r="K380" s="49">
        <f t="shared" si="74"/>
        <v>7.9588570656450254E-29</v>
      </c>
      <c r="L380" s="49">
        <f t="shared" si="75"/>
        <v>1.2063376722516315E-27</v>
      </c>
      <c r="M380" s="49">
        <f t="shared" si="75"/>
        <v>1.6443474886878929E-26</v>
      </c>
      <c r="N380" s="49">
        <f t="shared" si="75"/>
        <v>2.0322629651774321E-25</v>
      </c>
      <c r="O380" s="49">
        <f t="shared" si="75"/>
        <v>2.2930011704263465E-24</v>
      </c>
      <c r="P380" s="49">
        <f t="shared" si="75"/>
        <v>2.3757088696456819E-23</v>
      </c>
      <c r="Q380" s="49">
        <f t="shared" si="75"/>
        <v>2.2715186372450651E-22</v>
      </c>
      <c r="R380" s="49">
        <f t="shared" si="75"/>
        <v>2.0130527943783895E-21</v>
      </c>
      <c r="S380" s="49">
        <f t="shared" si="75"/>
        <v>1.6597998458165437E-20</v>
      </c>
      <c r="T380" s="49">
        <f t="shared" si="75"/>
        <v>1.2775221678295916E-19</v>
      </c>
      <c r="U380" s="49">
        <f t="shared" si="75"/>
        <v>9.2061896664454784E-19</v>
      </c>
      <c r="V380" s="49">
        <f t="shared" si="75"/>
        <v>6.2278463207290672E-18</v>
      </c>
      <c r="W380" s="47">
        <v>0.623</v>
      </c>
    </row>
    <row r="381" spans="2:23" x14ac:dyDescent="0.25">
      <c r="B381" s="49">
        <f t="shared" si="74"/>
        <v>5.5748325447617561E-43</v>
      </c>
      <c r="C381" s="49">
        <f t="shared" si="74"/>
        <v>9.2311525944794212E-41</v>
      </c>
      <c r="D381" s="49">
        <f t="shared" si="74"/>
        <v>7.5675017624719851E-39</v>
      </c>
      <c r="E381" s="49">
        <f t="shared" si="74"/>
        <v>4.0946691597583648E-37</v>
      </c>
      <c r="F381" s="49">
        <f t="shared" si="74"/>
        <v>1.6449966093408909E-35</v>
      </c>
      <c r="G381" s="49">
        <f t="shared" si="74"/>
        <v>5.2333133882700674E-34</v>
      </c>
      <c r="H381" s="49">
        <f t="shared" si="74"/>
        <v>1.3732161949352455E-32</v>
      </c>
      <c r="I381" s="49">
        <f t="shared" si="74"/>
        <v>3.0566189432488032E-31</v>
      </c>
      <c r="J381" s="49">
        <f t="shared" si="74"/>
        <v>5.891056945938573E-30</v>
      </c>
      <c r="K381" s="49">
        <f t="shared" si="74"/>
        <v>9.9859121004813549E-29</v>
      </c>
      <c r="L381" s="49">
        <f t="shared" si="75"/>
        <v>1.5072061418837411E-27</v>
      </c>
      <c r="M381" s="49">
        <f t="shared" si="75"/>
        <v>2.0458069890050539E-26</v>
      </c>
      <c r="N381" s="49">
        <f t="shared" si="75"/>
        <v>2.5177862031091843E-25</v>
      </c>
      <c r="O381" s="49">
        <f t="shared" si="75"/>
        <v>2.8288618491867176E-24</v>
      </c>
      <c r="P381" s="49">
        <f t="shared" si="75"/>
        <v>2.9185683017682544E-23</v>
      </c>
      <c r="Q381" s="49">
        <f t="shared" si="75"/>
        <v>2.7788354452487799E-22</v>
      </c>
      <c r="R381" s="49">
        <f t="shared" si="75"/>
        <v>2.4522927764606135E-21</v>
      </c>
      <c r="S381" s="49">
        <f t="shared" si="75"/>
        <v>2.0134659680951103E-20</v>
      </c>
      <c r="T381" s="49">
        <f t="shared" si="75"/>
        <v>1.5432250996764406E-19</v>
      </c>
      <c r="U381" s="49">
        <f t="shared" si="75"/>
        <v>1.1074239326272481E-18</v>
      </c>
      <c r="V381" s="49">
        <f t="shared" si="75"/>
        <v>7.4601228465266938E-18</v>
      </c>
      <c r="W381" s="47">
        <v>0.622</v>
      </c>
    </row>
    <row r="382" spans="2:23" x14ac:dyDescent="0.25">
      <c r="B382" s="49">
        <f t="shared" si="74"/>
        <v>7.260814582364648E-43</v>
      </c>
      <c r="C382" s="49">
        <f t="shared" si="74"/>
        <v>1.197220596236294E-40</v>
      </c>
      <c r="D382" s="49">
        <f t="shared" si="74"/>
        <v>9.7731793892089923E-39</v>
      </c>
      <c r="E382" s="49">
        <f t="shared" si="74"/>
        <v>5.265839586737434E-37</v>
      </c>
      <c r="F382" s="49">
        <f t="shared" si="74"/>
        <v>2.1065883537178736E-35</v>
      </c>
      <c r="G382" s="49">
        <f t="shared" si="74"/>
        <v>6.6735619189778849E-34</v>
      </c>
      <c r="H382" s="49">
        <f t="shared" si="74"/>
        <v>1.7437594947703222E-32</v>
      </c>
      <c r="I382" s="49">
        <f t="shared" si="74"/>
        <v>3.8650591559721337E-31</v>
      </c>
      <c r="J382" s="49">
        <f t="shared" si="74"/>
        <v>7.41781034709191E-30</v>
      </c>
      <c r="K382" s="49">
        <f t="shared" si="74"/>
        <v>1.2520982597225549E-28</v>
      </c>
      <c r="L382" s="49">
        <f t="shared" si="75"/>
        <v>1.8818804605155085E-27</v>
      </c>
      <c r="M382" s="49">
        <f t="shared" si="75"/>
        <v>2.5436262977197471E-26</v>
      </c>
      <c r="N382" s="49">
        <f t="shared" si="75"/>
        <v>3.1172911446650588E-25</v>
      </c>
      <c r="O382" s="49">
        <f t="shared" si="75"/>
        <v>3.4877131159684964E-24</v>
      </c>
      <c r="P382" s="49">
        <f t="shared" si="75"/>
        <v>3.583191709301612E-23</v>
      </c>
      <c r="Q382" s="49">
        <f t="shared" si="75"/>
        <v>3.3973077340173373E-22</v>
      </c>
      <c r="R382" s="49">
        <f t="shared" si="75"/>
        <v>2.9854994902031141E-21</v>
      </c>
      <c r="S382" s="49">
        <f t="shared" si="75"/>
        <v>2.4409697436555745E-20</v>
      </c>
      <c r="T382" s="49">
        <f t="shared" si="75"/>
        <v>1.8630377148725158E-19</v>
      </c>
      <c r="U382" s="49">
        <f t="shared" si="75"/>
        <v>1.3313168791680235E-18</v>
      </c>
      <c r="V382" s="49">
        <f t="shared" si="75"/>
        <v>8.930785015621985E-18</v>
      </c>
      <c r="W382" s="47">
        <v>0.621</v>
      </c>
    </row>
    <row r="383" spans="2:23" x14ac:dyDescent="0.25">
      <c r="B383" s="49">
        <f t="shared" ref="B383:K392" si="76">_xlfn.HYPGEOM.DIST(B$2,comau,tongtheN*$W383,tongtheN,TRUE)</f>
        <v>9.4501010427091935E-43</v>
      </c>
      <c r="C383" s="49">
        <f t="shared" si="76"/>
        <v>1.5516435105275988E-40</v>
      </c>
      <c r="D383" s="49">
        <f t="shared" si="76"/>
        <v>1.2613065949627817E-38</v>
      </c>
      <c r="E383" s="49">
        <f t="shared" si="76"/>
        <v>6.767368522276837E-37</v>
      </c>
      <c r="F383" s="49">
        <f t="shared" si="76"/>
        <v>2.6958745865141578E-35</v>
      </c>
      <c r="G383" s="49">
        <f t="shared" si="76"/>
        <v>8.5044439285162188E-34</v>
      </c>
      <c r="H383" s="49">
        <f t="shared" si="76"/>
        <v>2.2128066816963407E-32</v>
      </c>
      <c r="I383" s="49">
        <f t="shared" si="76"/>
        <v>4.8840731151057427E-31</v>
      </c>
      <c r="J383" s="49">
        <f t="shared" si="76"/>
        <v>9.3340762707773758E-30</v>
      </c>
      <c r="K383" s="49">
        <f t="shared" si="76"/>
        <v>1.5689321112530418E-28</v>
      </c>
      <c r="L383" s="49">
        <f t="shared" ref="L383:V392" si="77">_xlfn.HYPGEOM.DIST(L$2,comau,tongtheN*$W383,tongtheN,TRUE)</f>
        <v>2.3481640354677153E-27</v>
      </c>
      <c r="M383" s="49">
        <f t="shared" si="77"/>
        <v>3.1605373976208964E-26</v>
      </c>
      <c r="N383" s="49">
        <f t="shared" si="77"/>
        <v>3.8570637932877271E-25</v>
      </c>
      <c r="O383" s="49">
        <f t="shared" si="77"/>
        <v>4.2972703251122539E-24</v>
      </c>
      <c r="P383" s="49">
        <f t="shared" si="77"/>
        <v>4.3963787491546027E-23</v>
      </c>
      <c r="Q383" s="49">
        <f t="shared" si="77"/>
        <v>4.1508189443259897E-22</v>
      </c>
      <c r="R383" s="49">
        <f t="shared" si="77"/>
        <v>3.6323735538837619E-21</v>
      </c>
      <c r="S383" s="49">
        <f t="shared" si="77"/>
        <v>2.957408398506178E-20</v>
      </c>
      <c r="T383" s="49">
        <f t="shared" si="77"/>
        <v>2.2477437814037759E-19</v>
      </c>
      <c r="U383" s="49">
        <f t="shared" si="77"/>
        <v>1.5994981927923423E-18</v>
      </c>
      <c r="V383" s="49">
        <f t="shared" si="77"/>
        <v>1.0684890396055447E-17</v>
      </c>
      <c r="W383" s="47">
        <v>0.62</v>
      </c>
    </row>
    <row r="384" spans="2:23" x14ac:dyDescent="0.25">
      <c r="B384" s="49">
        <f t="shared" si="76"/>
        <v>1.2290986268956595E-42</v>
      </c>
      <c r="C384" s="49">
        <f t="shared" si="76"/>
        <v>2.0096054967559657E-40</v>
      </c>
      <c r="D384" s="49">
        <f t="shared" si="76"/>
        <v>1.6267037583516017E-38</v>
      </c>
      <c r="E384" s="49">
        <f t="shared" si="76"/>
        <v>8.6911441850283057E-37</v>
      </c>
      <c r="F384" s="49">
        <f t="shared" si="76"/>
        <v>3.4476767257056287E-35</v>
      </c>
      <c r="G384" s="49">
        <f t="shared" si="76"/>
        <v>1.0830360651843079E-33</v>
      </c>
      <c r="H384" s="49">
        <f t="shared" si="76"/>
        <v>2.8061511280950534E-32</v>
      </c>
      <c r="I384" s="49">
        <f t="shared" si="76"/>
        <v>6.167665174628245E-31</v>
      </c>
      <c r="J384" s="49">
        <f t="shared" si="76"/>
        <v>1.1737659736922896E-29</v>
      </c>
      <c r="K384" s="49">
        <f t="shared" si="76"/>
        <v>1.9646553463395557E-28</v>
      </c>
      <c r="L384" s="49">
        <f t="shared" si="77"/>
        <v>2.9280820965031974E-27</v>
      </c>
      <c r="M384" s="49">
        <f t="shared" si="77"/>
        <v>3.9245414198488166E-26</v>
      </c>
      <c r="N384" s="49">
        <f t="shared" si="77"/>
        <v>4.7693432062411808E-25</v>
      </c>
      <c r="O384" s="49">
        <f t="shared" si="77"/>
        <v>5.2913786085952583E-24</v>
      </c>
      <c r="P384" s="49">
        <f t="shared" si="77"/>
        <v>5.3907146971416811E-23</v>
      </c>
      <c r="Q384" s="49">
        <f t="shared" si="77"/>
        <v>5.0682827801381607E-22</v>
      </c>
      <c r="R384" s="49">
        <f t="shared" si="77"/>
        <v>4.4166614627678341E-21</v>
      </c>
      <c r="S384" s="49">
        <f t="shared" si="77"/>
        <v>3.5809006595873755E-20</v>
      </c>
      <c r="T384" s="49">
        <f t="shared" si="77"/>
        <v>2.7102290523002888E-19</v>
      </c>
      <c r="U384" s="49">
        <f t="shared" si="77"/>
        <v>1.9205343366691611E-18</v>
      </c>
      <c r="V384" s="49">
        <f t="shared" si="77"/>
        <v>1.2775811484356972E-17</v>
      </c>
      <c r="W384" s="47">
        <v>0.61899999999999999</v>
      </c>
    </row>
    <row r="385" spans="2:23" x14ac:dyDescent="0.25">
      <c r="B385" s="49">
        <f t="shared" si="76"/>
        <v>1.5974886006563696E-42</v>
      </c>
      <c r="C385" s="49">
        <f t="shared" si="76"/>
        <v>2.6009518907408572E-40</v>
      </c>
      <c r="D385" s="49">
        <f t="shared" si="76"/>
        <v>2.096528737803109E-38</v>
      </c>
      <c r="E385" s="49">
        <f t="shared" si="76"/>
        <v>1.1154253959820886E-36</v>
      </c>
      <c r="F385" s="49">
        <f t="shared" si="76"/>
        <v>4.406174940611605E-35</v>
      </c>
      <c r="G385" s="49">
        <f t="shared" si="76"/>
        <v>1.3783203421160164E-33</v>
      </c>
      <c r="H385" s="49">
        <f t="shared" si="76"/>
        <v>3.5562378082565808E-32</v>
      </c>
      <c r="I385" s="49">
        <f t="shared" si="76"/>
        <v>7.7834741048012303E-31</v>
      </c>
      <c r="J385" s="49">
        <f t="shared" si="76"/>
        <v>1.4750531179191664E-29</v>
      </c>
      <c r="K385" s="49">
        <f t="shared" si="76"/>
        <v>2.4585921134848637E-28</v>
      </c>
      <c r="L385" s="49">
        <f t="shared" si="77"/>
        <v>3.6488656193308406E-27</v>
      </c>
      <c r="M385" s="49">
        <f t="shared" si="77"/>
        <v>4.8701083434230206E-26</v>
      </c>
      <c r="N385" s="49">
        <f t="shared" si="77"/>
        <v>5.8936450249243805E-25</v>
      </c>
      <c r="O385" s="49">
        <f t="shared" si="77"/>
        <v>6.5113429686537696E-24</v>
      </c>
      <c r="P385" s="49">
        <f t="shared" si="77"/>
        <v>6.6057950643165836E-23</v>
      </c>
      <c r="Q385" s="49">
        <f t="shared" si="77"/>
        <v>6.1846812436013304E-22</v>
      </c>
      <c r="R385" s="49">
        <f t="shared" si="77"/>
        <v>5.3669690750485178E-21</v>
      </c>
      <c r="S385" s="49">
        <f t="shared" si="77"/>
        <v>4.3331783261233714E-20</v>
      </c>
      <c r="T385" s="49">
        <f t="shared" si="77"/>
        <v>3.2658817417643908E-19</v>
      </c>
      <c r="U385" s="49">
        <f t="shared" si="77"/>
        <v>2.3046109455821496E-18</v>
      </c>
      <c r="V385" s="49">
        <f t="shared" si="77"/>
        <v>1.5266732660997897E-17</v>
      </c>
      <c r="W385" s="47">
        <v>0.61799999999999999</v>
      </c>
    </row>
    <row r="386" spans="2:23" x14ac:dyDescent="0.25">
      <c r="B386" s="49">
        <f t="shared" si="76"/>
        <v>2.0748710918006664E-42</v>
      </c>
      <c r="C386" s="49">
        <f t="shared" si="76"/>
        <v>3.3640157688118374E-40</v>
      </c>
      <c r="D386" s="49">
        <f t="shared" si="76"/>
        <v>2.700220575764087E-38</v>
      </c>
      <c r="E386" s="49">
        <f t="shared" si="76"/>
        <v>1.4305796885415924E-36</v>
      </c>
      <c r="F386" s="49">
        <f t="shared" si="76"/>
        <v>5.6273868364762885E-35</v>
      </c>
      <c r="G386" s="49">
        <f t="shared" si="76"/>
        <v>1.752948398574927E-33</v>
      </c>
      <c r="H386" s="49">
        <f t="shared" si="76"/>
        <v>4.5038522901599868E-32</v>
      </c>
      <c r="I386" s="49">
        <f t="shared" si="76"/>
        <v>9.8161610557411128E-31</v>
      </c>
      <c r="J386" s="49">
        <f t="shared" si="76"/>
        <v>1.8524700288437013E-29</v>
      </c>
      <c r="K386" s="49">
        <f t="shared" si="76"/>
        <v>3.0747221333612787E-28</v>
      </c>
      <c r="L386" s="49">
        <f t="shared" si="77"/>
        <v>4.5441605487571447E-27</v>
      </c>
      <c r="M386" s="49">
        <f t="shared" si="77"/>
        <v>6.0396449157460967E-26</v>
      </c>
      <c r="N386" s="49">
        <f t="shared" si="77"/>
        <v>7.2783737740546057E-25</v>
      </c>
      <c r="O386" s="49">
        <f t="shared" si="77"/>
        <v>8.0075414170104913E-24</v>
      </c>
      <c r="P386" s="49">
        <f t="shared" si="77"/>
        <v>8.0897042440310028E-23</v>
      </c>
      <c r="Q386" s="49">
        <f t="shared" si="77"/>
        <v>7.5423124408025158E-22</v>
      </c>
      <c r="R386" s="49">
        <f t="shared" si="77"/>
        <v>6.5177351461345495E-21</v>
      </c>
      <c r="S386" s="49">
        <f t="shared" si="77"/>
        <v>5.2402910761291491E-20</v>
      </c>
      <c r="T386" s="49">
        <f t="shared" si="77"/>
        <v>3.9330675277384014E-19</v>
      </c>
      <c r="U386" s="49">
        <f t="shared" si="77"/>
        <v>2.7638316764060139E-18</v>
      </c>
      <c r="V386" s="49">
        <f t="shared" si="77"/>
        <v>1.8232409833198357E-17</v>
      </c>
      <c r="W386" s="47">
        <v>0.61699999999999999</v>
      </c>
    </row>
    <row r="387" spans="2:23" x14ac:dyDescent="0.25">
      <c r="B387" s="49">
        <f t="shared" si="76"/>
        <v>2.6930743432528312E-42</v>
      </c>
      <c r="C387" s="49">
        <f t="shared" si="76"/>
        <v>4.347999190283149E-40</v>
      </c>
      <c r="D387" s="49">
        <f t="shared" si="76"/>
        <v>3.4754036433033552E-38</v>
      </c>
      <c r="E387" s="49">
        <f t="shared" si="76"/>
        <v>1.8335511481533879E-36</v>
      </c>
      <c r="F387" s="49">
        <f t="shared" si="76"/>
        <v>7.1822929671812772E-35</v>
      </c>
      <c r="G387" s="49">
        <f t="shared" si="76"/>
        <v>2.2279286329434463E-33</v>
      </c>
      <c r="H387" s="49">
        <f t="shared" si="76"/>
        <v>5.7002319371049708E-32</v>
      </c>
      <c r="I387" s="49">
        <f t="shared" si="76"/>
        <v>1.2371625925421336E-30</v>
      </c>
      <c r="J387" s="49">
        <f t="shared" si="76"/>
        <v>2.3249494099421926E-29</v>
      </c>
      <c r="K387" s="49">
        <f t="shared" si="76"/>
        <v>3.8427835765861944E-28</v>
      </c>
      <c r="L387" s="49">
        <f t="shared" si="77"/>
        <v>5.6555129929324457E-27</v>
      </c>
      <c r="M387" s="49">
        <f t="shared" si="77"/>
        <v>7.4852896583300273E-26</v>
      </c>
      <c r="N387" s="49">
        <f t="shared" si="77"/>
        <v>8.9827857345439191E-25</v>
      </c>
      <c r="O387" s="49">
        <f t="shared" si="77"/>
        <v>9.8413802061707745E-24</v>
      </c>
      <c r="P387" s="49">
        <f t="shared" si="77"/>
        <v>9.900799807581013E-23</v>
      </c>
      <c r="Q387" s="49">
        <f t="shared" si="77"/>
        <v>9.1922896495070253E-22</v>
      </c>
      <c r="R387" s="49">
        <f t="shared" si="77"/>
        <v>7.9103957044593669E-21</v>
      </c>
      <c r="S387" s="49">
        <f t="shared" si="77"/>
        <v>6.3334456844307992E-20</v>
      </c>
      <c r="T387" s="49">
        <f t="shared" si="77"/>
        <v>4.7336926172128158E-19</v>
      </c>
      <c r="U387" s="49">
        <f t="shared" si="77"/>
        <v>3.3125708786633932E-18</v>
      </c>
      <c r="V387" s="49">
        <f t="shared" si="77"/>
        <v>2.1761237652782593E-17</v>
      </c>
      <c r="W387" s="47">
        <v>0.61599999999999999</v>
      </c>
    </row>
    <row r="388" spans="2:23" x14ac:dyDescent="0.25">
      <c r="B388" s="49">
        <f t="shared" si="76"/>
        <v>3.4930996550931041E-42</v>
      </c>
      <c r="C388" s="49">
        <f t="shared" si="76"/>
        <v>5.616013404813078E-40</v>
      </c>
      <c r="D388" s="49">
        <f t="shared" si="76"/>
        <v>4.4701320413497995E-38</v>
      </c>
      <c r="E388" s="49">
        <f t="shared" si="76"/>
        <v>2.348469565298879E-36</v>
      </c>
      <c r="F388" s="49">
        <f t="shared" si="76"/>
        <v>9.1607754601695159E-35</v>
      </c>
      <c r="G388" s="49">
        <f t="shared" si="76"/>
        <v>2.8297498187461384E-33</v>
      </c>
      <c r="H388" s="49">
        <f t="shared" si="76"/>
        <v>7.2097032014578152E-32</v>
      </c>
      <c r="I388" s="49">
        <f t="shared" si="76"/>
        <v>1.5582251405924185E-30</v>
      </c>
      <c r="J388" s="49">
        <f t="shared" si="76"/>
        <v>2.9160569420928958E-29</v>
      </c>
      <c r="K388" s="49">
        <f t="shared" si="76"/>
        <v>4.7996327729733663E-28</v>
      </c>
      <c r="L388" s="49">
        <f t="shared" si="77"/>
        <v>7.0341922500725333E-27</v>
      </c>
      <c r="M388" s="49">
        <f t="shared" si="77"/>
        <v>9.2711064982079281E-26</v>
      </c>
      <c r="N388" s="49">
        <f t="shared" si="77"/>
        <v>1.1079377165818853E-24</v>
      </c>
      <c r="O388" s="49">
        <f t="shared" si="77"/>
        <v>1.2087662267134778E-23</v>
      </c>
      <c r="P388" s="49">
        <f t="shared" si="77"/>
        <v>1.210986433502435E-22</v>
      </c>
      <c r="Q388" s="49">
        <f t="shared" si="77"/>
        <v>1.1196341167831738E-21</v>
      </c>
      <c r="R388" s="49">
        <f t="shared" si="77"/>
        <v>9.5947758519308526E-21</v>
      </c>
      <c r="S388" s="49">
        <f t="shared" si="77"/>
        <v>7.6500046948480777E-20</v>
      </c>
      <c r="T388" s="49">
        <f t="shared" si="77"/>
        <v>5.6938708081962261E-19</v>
      </c>
      <c r="U388" s="49">
        <f t="shared" si="77"/>
        <v>3.9678895341985709E-18</v>
      </c>
      <c r="V388" s="49">
        <f t="shared" si="77"/>
        <v>2.5957676657814054E-17</v>
      </c>
      <c r="W388" s="47">
        <v>0.61499999999999999</v>
      </c>
    </row>
    <row r="389" spans="2:23" x14ac:dyDescent="0.25">
      <c r="B389" s="49">
        <f t="shared" si="76"/>
        <v>4.5277302902997633E-42</v>
      </c>
      <c r="C389" s="49">
        <f t="shared" si="76"/>
        <v>7.2489578777515517E-40</v>
      </c>
      <c r="D389" s="49">
        <f t="shared" si="76"/>
        <v>5.7457408251866019E-38</v>
      </c>
      <c r="E389" s="49">
        <f t="shared" si="76"/>
        <v>3.0060018777793382E-36</v>
      </c>
      <c r="F389" s="49">
        <f t="shared" si="76"/>
        <v>1.1676578142670194E-34</v>
      </c>
      <c r="G389" s="49">
        <f t="shared" si="76"/>
        <v>3.5917893942673459E-33</v>
      </c>
      <c r="H389" s="49">
        <f t="shared" si="76"/>
        <v>9.1129740449453331E-32</v>
      </c>
      <c r="I389" s="49">
        <f t="shared" si="76"/>
        <v>1.9613421129424767E-30</v>
      </c>
      <c r="J389" s="49">
        <f t="shared" si="76"/>
        <v>3.6551065990704479E-29</v>
      </c>
      <c r="K389" s="49">
        <f t="shared" si="76"/>
        <v>5.9909195301770946E-28</v>
      </c>
      <c r="L389" s="49">
        <f t="shared" si="77"/>
        <v>8.7434271444644451E-27</v>
      </c>
      <c r="M389" s="49">
        <f t="shared" si="77"/>
        <v>1.1475763919249975E-25</v>
      </c>
      <c r="N389" s="49">
        <f t="shared" si="77"/>
        <v>1.3656788292391453E-24</v>
      </c>
      <c r="O389" s="49">
        <f t="shared" si="77"/>
        <v>1.4837454452690389E-23</v>
      </c>
      <c r="P389" s="49">
        <f t="shared" si="77"/>
        <v>1.4802698935369143E-22</v>
      </c>
      <c r="Q389" s="49">
        <f t="shared" si="77"/>
        <v>1.3628970008907783E-21</v>
      </c>
      <c r="R389" s="49">
        <f t="shared" si="77"/>
        <v>1.1630752425244548E-20</v>
      </c>
      <c r="S389" s="49">
        <f t="shared" si="77"/>
        <v>9.2346741440607357E-20</v>
      </c>
      <c r="T389" s="49">
        <f t="shared" si="77"/>
        <v>6.8447132936427569E-19</v>
      </c>
      <c r="U389" s="49">
        <f t="shared" si="77"/>
        <v>4.7500255307278849E-18</v>
      </c>
      <c r="V389" s="49">
        <f t="shared" si="77"/>
        <v>3.0945101352634307E-17</v>
      </c>
      <c r="W389" s="47">
        <v>0.61399999999999999</v>
      </c>
    </row>
    <row r="390" spans="2:23" x14ac:dyDescent="0.25">
      <c r="B390" s="49">
        <f t="shared" si="76"/>
        <v>5.8648725336574279E-42</v>
      </c>
      <c r="C390" s="49">
        <f t="shared" si="76"/>
        <v>9.3504663948191574E-40</v>
      </c>
      <c r="D390" s="49">
        <f t="shared" si="76"/>
        <v>7.3804658099212693E-38</v>
      </c>
      <c r="E390" s="49">
        <f t="shared" si="76"/>
        <v>3.8450980908751355E-36</v>
      </c>
      <c r="F390" s="49">
        <f t="shared" si="76"/>
        <v>1.4873549162676801E-34</v>
      </c>
      <c r="G390" s="49">
        <f t="shared" si="76"/>
        <v>4.5560781722565942E-33</v>
      </c>
      <c r="H390" s="49">
        <f t="shared" si="76"/>
        <v>1.1511241663582756E-31</v>
      </c>
      <c r="I390" s="49">
        <f t="shared" si="76"/>
        <v>2.4671616451980918E-30</v>
      </c>
      <c r="J390" s="49">
        <f t="shared" si="76"/>
        <v>4.5785400341624033E-29</v>
      </c>
      <c r="K390" s="49">
        <f t="shared" si="76"/>
        <v>7.473150055553667E-28</v>
      </c>
      <c r="L390" s="49">
        <f t="shared" si="77"/>
        <v>1.0861147705350812E-26</v>
      </c>
      <c r="M390" s="49">
        <f t="shared" si="77"/>
        <v>1.419580511342694E-25</v>
      </c>
      <c r="N390" s="49">
        <f t="shared" si="77"/>
        <v>1.6823332314328139E-24</v>
      </c>
      <c r="O390" s="49">
        <f t="shared" si="77"/>
        <v>1.8201556559568295E-23</v>
      </c>
      <c r="P390" s="49">
        <f t="shared" si="77"/>
        <v>1.8083247257357809E-22</v>
      </c>
      <c r="Q390" s="49">
        <f t="shared" si="77"/>
        <v>1.6580043851600795E-21</v>
      </c>
      <c r="R390" s="49">
        <f t="shared" si="77"/>
        <v>1.4090239061031843E-20</v>
      </c>
      <c r="S390" s="49">
        <f t="shared" si="77"/>
        <v>1.1140915297653397E-19</v>
      </c>
      <c r="T390" s="49">
        <f t="shared" si="77"/>
        <v>8.2232632472578317E-19</v>
      </c>
      <c r="U390" s="49">
        <f t="shared" si="77"/>
        <v>5.6829712185245441E-18</v>
      </c>
      <c r="V390" s="49">
        <f t="shared" si="77"/>
        <v>3.6869140300371155E-17</v>
      </c>
      <c r="W390" s="47">
        <v>0.61299999999999999</v>
      </c>
    </row>
    <row r="391" spans="2:23" x14ac:dyDescent="0.25">
      <c r="B391" s="49">
        <f t="shared" si="76"/>
        <v>7.591831625491131E-42</v>
      </c>
      <c r="C391" s="49">
        <f t="shared" si="76"/>
        <v>1.205320976302015E-39</v>
      </c>
      <c r="D391" s="49">
        <f t="shared" si="76"/>
        <v>9.4740362207068849E-38</v>
      </c>
      <c r="E391" s="49">
        <f t="shared" si="76"/>
        <v>4.915196819386914E-36</v>
      </c>
      <c r="F391" s="49">
        <f t="shared" si="76"/>
        <v>1.8933492779699228E-34</v>
      </c>
      <c r="G391" s="49">
        <f t="shared" si="76"/>
        <v>5.775510296095467E-33</v>
      </c>
      <c r="H391" s="49">
        <f t="shared" si="76"/>
        <v>1.4531314234314033E-31</v>
      </c>
      <c r="I391" s="49">
        <f t="shared" si="76"/>
        <v>3.101446800747009E-30</v>
      </c>
      <c r="J391" s="49">
        <f t="shared" si="76"/>
        <v>5.7316315159358655E-29</v>
      </c>
      <c r="K391" s="49">
        <f t="shared" si="76"/>
        <v>9.316225609469117E-28</v>
      </c>
      <c r="L391" s="49">
        <f t="shared" si="77"/>
        <v>1.3483344343865372E-26</v>
      </c>
      <c r="M391" s="49">
        <f t="shared" si="77"/>
        <v>1.7549637096977406E-25</v>
      </c>
      <c r="N391" s="49">
        <f t="shared" si="77"/>
        <v>2.071128139567037E-24</v>
      </c>
      <c r="O391" s="49">
        <f t="shared" si="77"/>
        <v>2.2314695930260695E-23</v>
      </c>
      <c r="P391" s="49">
        <f t="shared" si="77"/>
        <v>2.2077356269782057E-22</v>
      </c>
      <c r="Q391" s="49">
        <f t="shared" si="77"/>
        <v>2.0157899132452954E-21</v>
      </c>
      <c r="R391" s="49">
        <f t="shared" si="77"/>
        <v>1.7059554791993884E-20</v>
      </c>
      <c r="S391" s="49">
        <f t="shared" si="77"/>
        <v>1.3432621669617903E-19</v>
      </c>
      <c r="T391" s="49">
        <f t="shared" si="77"/>
        <v>9.8736010898176395E-19</v>
      </c>
      <c r="U391" s="49">
        <f t="shared" si="77"/>
        <v>6.795153396239409E-18</v>
      </c>
      <c r="V391" s="49">
        <f t="shared" si="77"/>
        <v>4.3901590972418428E-17</v>
      </c>
      <c r="W391" s="47">
        <v>0.61199999999999999</v>
      </c>
    </row>
    <row r="392" spans="2:23" x14ac:dyDescent="0.25">
      <c r="B392" s="49">
        <f t="shared" si="76"/>
        <v>9.8207806660816551E-42</v>
      </c>
      <c r="C392" s="49">
        <f t="shared" si="76"/>
        <v>1.5526922089191484E-39</v>
      </c>
      <c r="D392" s="49">
        <f t="shared" si="76"/>
        <v>1.2153497966862742E-37</v>
      </c>
      <c r="E392" s="49">
        <f t="shared" si="76"/>
        <v>6.2790097003416592E-36</v>
      </c>
      <c r="F392" s="49">
        <f t="shared" si="76"/>
        <v>2.4086038960013245E-34</v>
      </c>
      <c r="G392" s="49">
        <f t="shared" si="76"/>
        <v>7.3166090634016599E-33</v>
      </c>
      <c r="H392" s="49">
        <f t="shared" si="76"/>
        <v>1.833199306207072E-31</v>
      </c>
      <c r="I392" s="49">
        <f t="shared" si="76"/>
        <v>3.8963226308506159E-30</v>
      </c>
      <c r="J392" s="49">
        <f t="shared" si="76"/>
        <v>7.1705939606949258E-29</v>
      </c>
      <c r="K392" s="49">
        <f t="shared" si="76"/>
        <v>1.1606564703979233E-27</v>
      </c>
      <c r="L392" s="49">
        <f t="shared" si="77"/>
        <v>1.6728181122650162E-26</v>
      </c>
      <c r="M392" s="49">
        <f t="shared" si="77"/>
        <v>2.1682393942443416E-25</v>
      </c>
      <c r="N392" s="49">
        <f t="shared" si="77"/>
        <v>2.5482068899171138E-24</v>
      </c>
      <c r="O392" s="49">
        <f t="shared" si="77"/>
        <v>2.734059638807751E-23</v>
      </c>
      <c r="P392" s="49">
        <f t="shared" si="77"/>
        <v>2.6937300933597887E-22</v>
      </c>
      <c r="Q392" s="49">
        <f t="shared" si="77"/>
        <v>2.4493059159831364E-21</v>
      </c>
      <c r="R392" s="49">
        <f t="shared" si="77"/>
        <v>2.0642248625468472E-20</v>
      </c>
      <c r="S392" s="49">
        <f t="shared" si="77"/>
        <v>1.6186110018433425E-19</v>
      </c>
      <c r="T392" s="49">
        <f t="shared" si="77"/>
        <v>1.1848150851419432E-18</v>
      </c>
      <c r="U392" s="49">
        <f t="shared" si="77"/>
        <v>8.1202334310995735E-18</v>
      </c>
      <c r="V392" s="49">
        <f t="shared" si="77"/>
        <v>5.2245005631018292E-17</v>
      </c>
      <c r="W392" s="47">
        <v>0.61099999999999999</v>
      </c>
    </row>
    <row r="393" spans="2:23" x14ac:dyDescent="0.25">
      <c r="B393" s="49">
        <f t="shared" ref="B393:K402" si="78">_xlfn.HYPGEOM.DIST(B$2,comau,tongtheN*$W393,tongtheN,TRUE)</f>
        <v>1.2695750881080702E-41</v>
      </c>
      <c r="C393" s="49">
        <f t="shared" si="78"/>
        <v>1.9988615519695477E-39</v>
      </c>
      <c r="D393" s="49">
        <f t="shared" si="78"/>
        <v>1.5580592653872564E-37</v>
      </c>
      <c r="E393" s="49">
        <f t="shared" si="78"/>
        <v>8.0160344124325627E-36</v>
      </c>
      <c r="F393" s="49">
        <f t="shared" si="78"/>
        <v>3.0621041621185549E-34</v>
      </c>
      <c r="G393" s="49">
        <f t="shared" si="78"/>
        <v>9.262986296429609E-33</v>
      </c>
      <c r="H393" s="49">
        <f t="shared" si="78"/>
        <v>2.3112020414281832E-31</v>
      </c>
      <c r="I393" s="49">
        <f t="shared" si="78"/>
        <v>4.891822412702479E-30</v>
      </c>
      <c r="J393" s="49">
        <f t="shared" si="78"/>
        <v>8.9651788429731577E-29</v>
      </c>
      <c r="K393" s="49">
        <f t="shared" si="78"/>
        <v>1.4450940665260129E-27</v>
      </c>
      <c r="L393" s="49">
        <f t="shared" ref="L393:V402" si="79">_xlfn.HYPGEOM.DIST(L$2,comau,tongtheN*$W393,tongtheN,TRUE)</f>
        <v>2.0741029379155369E-26</v>
      </c>
      <c r="M393" s="49">
        <f t="shared" si="79"/>
        <v>2.6771862128216974E-25</v>
      </c>
      <c r="N393" s="49">
        <f t="shared" si="79"/>
        <v>3.1332599991187799E-24</v>
      </c>
      <c r="O393" s="49">
        <f t="shared" si="79"/>
        <v>3.3478100136728607E-23</v>
      </c>
      <c r="P393" s="49">
        <f t="shared" si="79"/>
        <v>3.2847224730744653E-22</v>
      </c>
      <c r="Q393" s="49">
        <f t="shared" si="79"/>
        <v>2.9742685108365254E-21</v>
      </c>
      <c r="R393" s="49">
        <f t="shared" si="79"/>
        <v>2.4962465928554404E-20</v>
      </c>
      <c r="S393" s="49">
        <f t="shared" si="79"/>
        <v>1.9492482736335733E-19</v>
      </c>
      <c r="T393" s="49">
        <f t="shared" si="79"/>
        <v>1.4209223329140469E-18</v>
      </c>
      <c r="U393" s="49">
        <f t="shared" si="79"/>
        <v>9.6980481985868428E-18</v>
      </c>
      <c r="V393" s="49">
        <f t="shared" si="79"/>
        <v>6.2138060201790079E-17</v>
      </c>
      <c r="W393" s="47">
        <v>0.61</v>
      </c>
    </row>
    <row r="394" spans="2:23" x14ac:dyDescent="0.25">
      <c r="B394" s="49">
        <f t="shared" si="78"/>
        <v>1.6401560818148573E-41</v>
      </c>
      <c r="C394" s="49">
        <f t="shared" si="78"/>
        <v>2.5715571980696915E-39</v>
      </c>
      <c r="D394" s="49">
        <f t="shared" si="78"/>
        <v>1.9961102118482086E-37</v>
      </c>
      <c r="E394" s="49">
        <f t="shared" si="78"/>
        <v>1.0226984204937645E-35</v>
      </c>
      <c r="F394" s="49">
        <f t="shared" si="78"/>
        <v>3.8904143757508347E-34</v>
      </c>
      <c r="G394" s="49">
        <f t="shared" si="78"/>
        <v>1.1719666511896876E-32</v>
      </c>
      <c r="H394" s="49">
        <f t="shared" si="78"/>
        <v>2.9119971095208671E-31</v>
      </c>
      <c r="I394" s="49">
        <f t="shared" si="78"/>
        <v>6.1378036755311487E-30</v>
      </c>
      <c r="J394" s="49">
        <f t="shared" si="78"/>
        <v>1.120188386267192E-28</v>
      </c>
      <c r="K394" s="49">
        <f t="shared" si="78"/>
        <v>1.7981195631569031E-27</v>
      </c>
      <c r="L394" s="49">
        <f t="shared" si="79"/>
        <v>2.5700623953766674E-26</v>
      </c>
      <c r="M394" s="49">
        <f t="shared" si="79"/>
        <v>3.303569567978955E-25</v>
      </c>
      <c r="N394" s="49">
        <f t="shared" si="79"/>
        <v>3.8502902238413087E-24</v>
      </c>
      <c r="O394" s="49">
        <f t="shared" si="79"/>
        <v>4.0968557009709631E-23</v>
      </c>
      <c r="P394" s="49">
        <f t="shared" si="79"/>
        <v>4.0029677606870442E-22</v>
      </c>
      <c r="Q394" s="49">
        <f t="shared" si="79"/>
        <v>3.6095901252928888E-21</v>
      </c>
      <c r="R394" s="49">
        <f t="shared" si="79"/>
        <v>3.0168958226424578E-20</v>
      </c>
      <c r="S394" s="49">
        <f t="shared" si="79"/>
        <v>2.3460429295942759E-19</v>
      </c>
      <c r="T394" s="49">
        <f t="shared" si="79"/>
        <v>1.703083791773263E-18</v>
      </c>
      <c r="U394" s="49">
        <f t="shared" si="79"/>
        <v>1.1575715994328128E-17</v>
      </c>
      <c r="V394" s="49">
        <f t="shared" si="79"/>
        <v>7.3861836253840356E-17</v>
      </c>
      <c r="W394" s="47">
        <v>0.60899999999999999</v>
      </c>
    </row>
    <row r="395" spans="2:23" x14ac:dyDescent="0.25">
      <c r="B395" s="49">
        <f t="shared" si="78"/>
        <v>2.1175215114765578E-41</v>
      </c>
      <c r="C395" s="49">
        <f t="shared" si="78"/>
        <v>3.3061856547552521E-39</v>
      </c>
      <c r="D395" s="49">
        <f t="shared" si="78"/>
        <v>2.5556674678714078E-37</v>
      </c>
      <c r="E395" s="49">
        <f t="shared" si="78"/>
        <v>1.3039369590446585E-35</v>
      </c>
      <c r="F395" s="49">
        <f t="shared" si="78"/>
        <v>4.9396306347917449E-34</v>
      </c>
      <c r="G395" s="49">
        <f t="shared" si="78"/>
        <v>1.4818488774742138E-32</v>
      </c>
      <c r="H395" s="49">
        <f t="shared" si="78"/>
        <v>3.6666555641062136E-31</v>
      </c>
      <c r="I395" s="49">
        <f t="shared" si="78"/>
        <v>7.696321015408664E-30</v>
      </c>
      <c r="J395" s="49">
        <f t="shared" si="78"/>
        <v>1.3987908059067215E-28</v>
      </c>
      <c r="K395" s="49">
        <f t="shared" si="78"/>
        <v>2.2360027687785491E-27</v>
      </c>
      <c r="L395" s="49">
        <f t="shared" si="79"/>
        <v>3.1826587910231692E-26</v>
      </c>
      <c r="M395" s="49">
        <f t="shared" si="79"/>
        <v>4.0740196660100604E-25</v>
      </c>
      <c r="N395" s="49">
        <f t="shared" si="79"/>
        <v>4.7285395273694915E-24</v>
      </c>
      <c r="O395" s="49">
        <f t="shared" si="79"/>
        <v>5.0104738216060668E-23</v>
      </c>
      <c r="P395" s="49">
        <f t="shared" si="79"/>
        <v>4.8753468114835844E-22</v>
      </c>
      <c r="Q395" s="49">
        <f t="shared" si="79"/>
        <v>4.3780162465674969E-21</v>
      </c>
      <c r="R395" s="49">
        <f t="shared" si="79"/>
        <v>3.6439856636464683E-20</v>
      </c>
      <c r="S395" s="49">
        <f t="shared" si="79"/>
        <v>2.8219546449468564E-19</v>
      </c>
      <c r="T395" s="49">
        <f t="shared" si="79"/>
        <v>2.0400872210397545E-18</v>
      </c>
      <c r="U395" s="49">
        <f t="shared" si="79"/>
        <v>1.3808935603894625E-17</v>
      </c>
      <c r="V395" s="49">
        <f t="shared" si="79"/>
        <v>8.7747167226294873E-17</v>
      </c>
      <c r="W395" s="47">
        <v>0.60799999999999998</v>
      </c>
    </row>
    <row r="396" spans="2:23" x14ac:dyDescent="0.25">
      <c r="B396" s="49">
        <f t="shared" si="78"/>
        <v>2.7320446748918331E-41</v>
      </c>
      <c r="C396" s="49">
        <f t="shared" si="78"/>
        <v>4.2479293981428926E-39</v>
      </c>
      <c r="D396" s="49">
        <f t="shared" si="78"/>
        <v>3.2699782931273374E-37</v>
      </c>
      <c r="E396" s="49">
        <f t="shared" si="78"/>
        <v>1.6614527563378E-35</v>
      </c>
      <c r="F396" s="49">
        <f t="shared" si="78"/>
        <v>6.2678295465161841E-34</v>
      </c>
      <c r="G396" s="49">
        <f t="shared" si="78"/>
        <v>1.8724850714385714E-32</v>
      </c>
      <c r="H396" s="49">
        <f t="shared" si="78"/>
        <v>4.613991384420486E-31</v>
      </c>
      <c r="I396" s="49">
        <f t="shared" si="78"/>
        <v>9.6445628311185579E-30</v>
      </c>
      <c r="J396" s="49">
        <f t="shared" si="78"/>
        <v>1.7456025622835897E-28</v>
      </c>
      <c r="K396" s="49">
        <f t="shared" si="78"/>
        <v>2.7788091206992999E-27</v>
      </c>
      <c r="L396" s="49">
        <f t="shared" si="79"/>
        <v>3.9388624512168737E-26</v>
      </c>
      <c r="M396" s="49">
        <f t="shared" si="79"/>
        <v>5.0210994326078517E-25</v>
      </c>
      <c r="N396" s="49">
        <f t="shared" si="79"/>
        <v>5.8036115591859339E-24</v>
      </c>
      <c r="O396" s="49">
        <f t="shared" si="79"/>
        <v>6.1241582841779955E-23</v>
      </c>
      <c r="P396" s="49">
        <f t="shared" si="79"/>
        <v>5.9343088463034735E-22</v>
      </c>
      <c r="Q396" s="49">
        <f t="shared" si="79"/>
        <v>5.3068863579366072E-21</v>
      </c>
      <c r="R396" s="49">
        <f t="shared" si="79"/>
        <v>4.398835110655539E-20</v>
      </c>
      <c r="S396" s="49">
        <f t="shared" si="79"/>
        <v>3.3924270992693969E-19</v>
      </c>
      <c r="T396" s="49">
        <f t="shared" si="79"/>
        <v>2.4423596898107178E-18</v>
      </c>
      <c r="U396" s="49">
        <f t="shared" si="79"/>
        <v>1.6463511404010174E-17</v>
      </c>
      <c r="V396" s="49">
        <f t="shared" si="79"/>
        <v>1.0418322435849275E-16</v>
      </c>
      <c r="W396" s="47">
        <v>0.60699999999999998</v>
      </c>
    </row>
    <row r="397" spans="2:23" x14ac:dyDescent="0.25">
      <c r="B397" s="49">
        <f t="shared" si="78"/>
        <v>3.5226258115137575E-41</v>
      </c>
      <c r="C397" s="49">
        <f t="shared" si="78"/>
        <v>5.4544098226365587E-39</v>
      </c>
      <c r="D397" s="49">
        <f t="shared" si="78"/>
        <v>4.1812630673094372E-37</v>
      </c>
      <c r="E397" s="49">
        <f t="shared" si="78"/>
        <v>2.1156468318958126E-35</v>
      </c>
      <c r="F397" s="49">
        <f t="shared" si="78"/>
        <v>7.9481367734287104E-34</v>
      </c>
      <c r="G397" s="49">
        <f t="shared" si="78"/>
        <v>2.3646123084369407E-32</v>
      </c>
      <c r="H397" s="49">
        <f t="shared" si="78"/>
        <v>5.8024613969195816E-31</v>
      </c>
      <c r="I397" s="49">
        <f t="shared" si="78"/>
        <v>1.2078483825685994E-29</v>
      </c>
      <c r="J397" s="49">
        <f t="shared" si="78"/>
        <v>2.177058822555735E-28</v>
      </c>
      <c r="K397" s="49">
        <f t="shared" si="78"/>
        <v>3.4512703229933587E-27</v>
      </c>
      <c r="L397" s="49">
        <f t="shared" si="79"/>
        <v>4.8717739255199835E-26</v>
      </c>
      <c r="M397" s="49">
        <f t="shared" si="79"/>
        <v>6.1846025901751172E-25</v>
      </c>
      <c r="N397" s="49">
        <f t="shared" si="79"/>
        <v>7.1188300922187827E-24</v>
      </c>
      <c r="O397" s="49">
        <f t="shared" si="79"/>
        <v>7.4809146426198599E-23</v>
      </c>
      <c r="P397" s="49">
        <f t="shared" si="79"/>
        <v>7.2190021018090162E-22</v>
      </c>
      <c r="Q397" s="49">
        <f t="shared" si="79"/>
        <v>6.4290427600226388E-21</v>
      </c>
      <c r="R397" s="49">
        <f t="shared" si="79"/>
        <v>5.3069443482136411E-20</v>
      </c>
      <c r="S397" s="49">
        <f t="shared" si="79"/>
        <v>4.0758535461010868E-19</v>
      </c>
      <c r="T397" s="49">
        <f t="shared" si="79"/>
        <v>2.9222663337264668E-18</v>
      </c>
      <c r="U397" s="49">
        <f t="shared" si="79"/>
        <v>1.9617142814588465E-17</v>
      </c>
      <c r="V397" s="49">
        <f t="shared" si="79"/>
        <v>1.2362754589808671E-16</v>
      </c>
      <c r="W397" s="47">
        <v>0.60599999999999998</v>
      </c>
    </row>
    <row r="398" spans="2:23" x14ac:dyDescent="0.25">
      <c r="B398" s="49">
        <f t="shared" si="78"/>
        <v>4.5390545882707173E-41</v>
      </c>
      <c r="C398" s="49">
        <f t="shared" si="78"/>
        <v>6.9990657461556912E-39</v>
      </c>
      <c r="D398" s="49">
        <f t="shared" si="78"/>
        <v>5.3431036948677635E-37</v>
      </c>
      <c r="E398" s="49">
        <f t="shared" si="78"/>
        <v>2.6923002630366285E-35</v>
      </c>
      <c r="F398" s="49">
        <f t="shared" si="78"/>
        <v>1.0072569981686016E-33</v>
      </c>
      <c r="G398" s="49">
        <f t="shared" si="78"/>
        <v>2.9842142346404176E-32</v>
      </c>
      <c r="H398" s="49">
        <f t="shared" si="78"/>
        <v>7.2925241424887889E-31</v>
      </c>
      <c r="I398" s="49">
        <f t="shared" si="78"/>
        <v>1.5117295435443955E-29</v>
      </c>
      <c r="J398" s="49">
        <f t="shared" si="78"/>
        <v>2.7134912790320891E-28</v>
      </c>
      <c r="K398" s="49">
        <f t="shared" si="78"/>
        <v>4.2838512860900537E-27</v>
      </c>
      <c r="L398" s="49">
        <f t="shared" si="79"/>
        <v>6.0219932260011582E-26</v>
      </c>
      <c r="M398" s="49">
        <f t="shared" si="79"/>
        <v>7.6131305817744642E-25</v>
      </c>
      <c r="N398" s="49">
        <f t="shared" si="79"/>
        <v>8.7268820646346221E-24</v>
      </c>
      <c r="O398" s="49">
        <f t="shared" si="79"/>
        <v>9.1328193834723159E-23</v>
      </c>
      <c r="P398" s="49">
        <f t="shared" si="79"/>
        <v>8.7766294051550195E-22</v>
      </c>
      <c r="Q398" s="49">
        <f t="shared" si="79"/>
        <v>7.7839153974226274E-21</v>
      </c>
      <c r="R398" s="49">
        <f t="shared" si="79"/>
        <v>6.3987972873304445E-20</v>
      </c>
      <c r="S398" s="49">
        <f t="shared" si="79"/>
        <v>4.8941276528309604E-19</v>
      </c>
      <c r="T398" s="49">
        <f t="shared" si="79"/>
        <v>3.4944622636077433E-18</v>
      </c>
      <c r="U398" s="49">
        <f t="shared" si="79"/>
        <v>2.3361522744097346E-17</v>
      </c>
      <c r="V398" s="49">
        <f t="shared" si="79"/>
        <v>1.4661774565192798E-16</v>
      </c>
      <c r="W398" s="47">
        <v>0.60499999999999998</v>
      </c>
    </row>
    <row r="399" spans="2:23" x14ac:dyDescent="0.25">
      <c r="B399" s="49">
        <f t="shared" si="78"/>
        <v>5.8450185012397896E-41</v>
      </c>
      <c r="C399" s="49">
        <f t="shared" si="78"/>
        <v>8.9754371197875962E-39</v>
      </c>
      <c r="D399" s="49">
        <f t="shared" si="78"/>
        <v>6.8234589032822831E-37</v>
      </c>
      <c r="E399" s="49">
        <f t="shared" si="78"/>
        <v>3.4239729348208422E-35</v>
      </c>
      <c r="F399" s="49">
        <f t="shared" si="78"/>
        <v>1.2756848725367327E-33</v>
      </c>
      <c r="G399" s="49">
        <f t="shared" si="78"/>
        <v>3.7638286614987884E-32</v>
      </c>
      <c r="H399" s="49">
        <f t="shared" si="78"/>
        <v>9.1595668059528667E-31</v>
      </c>
      <c r="I399" s="49">
        <f t="shared" si="78"/>
        <v>1.8909013520536052E-29</v>
      </c>
      <c r="J399" s="49">
        <f t="shared" si="78"/>
        <v>3.3800369122954675E-28</v>
      </c>
      <c r="K399" s="49">
        <f t="shared" si="78"/>
        <v>5.3140568606515208E-27</v>
      </c>
      <c r="L399" s="49">
        <f t="shared" si="79"/>
        <v>7.4392895087039879E-26</v>
      </c>
      <c r="M399" s="49">
        <f t="shared" si="79"/>
        <v>9.3660071297866289E-25</v>
      </c>
      <c r="N399" s="49">
        <f t="shared" si="79"/>
        <v>1.0691803705263142E-23</v>
      </c>
      <c r="O399" s="49">
        <f t="shared" si="79"/>
        <v>1.1142896564046127E-22</v>
      </c>
      <c r="P399" s="49">
        <f t="shared" si="79"/>
        <v>1.0664072488547179E-21</v>
      </c>
      <c r="Q399" s="49">
        <f t="shared" si="79"/>
        <v>9.4188160394402179E-21</v>
      </c>
      <c r="R399" s="49">
        <f t="shared" si="79"/>
        <v>7.7108147624934763E-20</v>
      </c>
      <c r="S399" s="49">
        <f t="shared" si="79"/>
        <v>5.8732948608711164E-19</v>
      </c>
      <c r="T399" s="49">
        <f t="shared" si="79"/>
        <v>4.1763068495391331E-18</v>
      </c>
      <c r="U399" s="49">
        <f t="shared" si="79"/>
        <v>2.7804797008167686E-17</v>
      </c>
      <c r="V399" s="49">
        <f t="shared" si="79"/>
        <v>1.7378517446844587E-16</v>
      </c>
      <c r="W399" s="47">
        <v>0.60399999999999998</v>
      </c>
    </row>
    <row r="400" spans="2:23" x14ac:dyDescent="0.25">
      <c r="B400" s="49">
        <f t="shared" si="78"/>
        <v>7.5219314415401106E-41</v>
      </c>
      <c r="C400" s="49">
        <f t="shared" si="78"/>
        <v>1.1502593162251975E-38</v>
      </c>
      <c r="D400" s="49">
        <f t="shared" si="78"/>
        <v>8.7084686696663188E-37</v>
      </c>
      <c r="E400" s="49">
        <f t="shared" si="78"/>
        <v>4.3517607568983157E-35</v>
      </c>
      <c r="F400" s="49">
        <f t="shared" si="78"/>
        <v>1.6146410949103806E-33</v>
      </c>
      <c r="G400" s="49">
        <f t="shared" si="78"/>
        <v>4.7441761285058342E-32</v>
      </c>
      <c r="H400" s="49">
        <f t="shared" si="78"/>
        <v>1.1497534853409897E-30</v>
      </c>
      <c r="I400" s="49">
        <f t="shared" si="78"/>
        <v>2.3637308201015971E-29</v>
      </c>
      <c r="J400" s="49">
        <f t="shared" si="78"/>
        <v>4.2077551963204601E-28</v>
      </c>
      <c r="K400" s="49">
        <f t="shared" si="78"/>
        <v>6.5880313246506168E-27</v>
      </c>
      <c r="L400" s="49">
        <f t="shared" si="79"/>
        <v>9.1846359380755683E-26</v>
      </c>
      <c r="M400" s="49">
        <f t="shared" si="79"/>
        <v>1.1515601376456673E-24</v>
      </c>
      <c r="N400" s="49">
        <f t="shared" si="79"/>
        <v>1.309138000116358E-23</v>
      </c>
      <c r="O400" s="49">
        <f t="shared" si="79"/>
        <v>1.3587375097207574E-22</v>
      </c>
      <c r="P400" s="49">
        <f t="shared" si="79"/>
        <v>1.2949837212474418E-21</v>
      </c>
      <c r="Q400" s="49">
        <f t="shared" si="79"/>
        <v>1.139048134191775E-20</v>
      </c>
      <c r="R400" s="49">
        <f t="shared" si="79"/>
        <v>9.2864860338409446E-20</v>
      </c>
      <c r="S400" s="49">
        <f t="shared" si="79"/>
        <v>7.0443221771138729E-19</v>
      </c>
      <c r="T400" s="49">
        <f t="shared" si="79"/>
        <v>4.9883511637202666E-18</v>
      </c>
      <c r="U400" s="49">
        <f t="shared" si="79"/>
        <v>3.3074445211136983E-17</v>
      </c>
      <c r="V400" s="49">
        <f t="shared" si="79"/>
        <v>2.0587085155255266E-16</v>
      </c>
      <c r="W400" s="47">
        <v>0.60299999999999998</v>
      </c>
    </row>
    <row r="401" spans="2:23" x14ac:dyDescent="0.25">
      <c r="B401" s="49">
        <f t="shared" si="78"/>
        <v>9.6738030507095365E-41</v>
      </c>
      <c r="C401" s="49">
        <f t="shared" si="78"/>
        <v>1.4732006488233222E-38</v>
      </c>
      <c r="D401" s="49">
        <f t="shared" si="78"/>
        <v>1.110725140088381E-36</v>
      </c>
      <c r="E401" s="49">
        <f t="shared" si="78"/>
        <v>5.5275018891259421E-35</v>
      </c>
      <c r="F401" s="49">
        <f t="shared" si="78"/>
        <v>2.0423934311755325E-33</v>
      </c>
      <c r="G401" s="49">
        <f t="shared" si="78"/>
        <v>5.9761870163695751E-32</v>
      </c>
      <c r="H401" s="49">
        <f t="shared" si="78"/>
        <v>1.4423430427729789E-30</v>
      </c>
      <c r="I401" s="49">
        <f t="shared" si="78"/>
        <v>2.9529956507515207E-29</v>
      </c>
      <c r="J401" s="49">
        <f t="shared" si="78"/>
        <v>5.2350007530343806E-28</v>
      </c>
      <c r="K401" s="49">
        <f t="shared" si="78"/>
        <v>8.1625150721738495E-27</v>
      </c>
      <c r="L401" s="49">
        <f t="shared" si="79"/>
        <v>1.1332688170679716E-25</v>
      </c>
      <c r="M401" s="49">
        <f t="shared" si="79"/>
        <v>1.4150145178767321E-24</v>
      </c>
      <c r="N401" s="49">
        <f t="shared" si="79"/>
        <v>1.6020041870184173E-23</v>
      </c>
      <c r="O401" s="49">
        <f t="shared" si="79"/>
        <v>1.6558402344041574E-22</v>
      </c>
      <c r="P401" s="49">
        <f t="shared" si="79"/>
        <v>1.5716381777312262E-21</v>
      </c>
      <c r="Q401" s="49">
        <f t="shared" si="79"/>
        <v>1.3766911613739225E-20</v>
      </c>
      <c r="R401" s="49">
        <f t="shared" si="79"/>
        <v>1.1177711193830949E-19</v>
      </c>
      <c r="S401" s="49">
        <f t="shared" si="79"/>
        <v>8.4440074212950733E-19</v>
      </c>
      <c r="T401" s="49">
        <f t="shared" si="79"/>
        <v>5.9549111819242506E-18</v>
      </c>
      <c r="U401" s="49">
        <f t="shared" si="79"/>
        <v>3.9320653444107828E-17</v>
      </c>
      <c r="V401" s="49">
        <f t="shared" si="79"/>
        <v>2.4374403248048068E-16</v>
      </c>
      <c r="W401" s="47">
        <v>0.60199999999999998</v>
      </c>
    </row>
    <row r="402" spans="2:23" x14ac:dyDescent="0.25">
      <c r="B402" s="49">
        <f t="shared" si="78"/>
        <v>1.2433428044381422E-40</v>
      </c>
      <c r="C402" s="49">
        <f t="shared" si="78"/>
        <v>1.8856253172629251E-38</v>
      </c>
      <c r="D402" s="49">
        <f t="shared" si="78"/>
        <v>1.4157949291541421E-36</v>
      </c>
      <c r="E402" s="49">
        <f t="shared" si="78"/>
        <v>7.0165450537169124E-35</v>
      </c>
      <c r="F402" s="49">
        <f t="shared" si="78"/>
        <v>2.5818733125075847E-33</v>
      </c>
      <c r="G402" s="49">
        <f t="shared" si="78"/>
        <v>7.5235232550148788E-32</v>
      </c>
      <c r="H402" s="49">
        <f t="shared" si="78"/>
        <v>1.8082884163630933E-30</v>
      </c>
      <c r="I402" s="49">
        <f t="shared" si="78"/>
        <v>3.686926679520368E-29</v>
      </c>
      <c r="J402" s="49">
        <f t="shared" si="78"/>
        <v>6.5091088839367231E-28</v>
      </c>
      <c r="K402" s="49">
        <f t="shared" si="78"/>
        <v>1.0107236889987758E-26</v>
      </c>
      <c r="L402" s="49">
        <f t="shared" si="79"/>
        <v>1.3974801433203418E-25</v>
      </c>
      <c r="M402" s="49">
        <f t="shared" si="79"/>
        <v>1.7377147711793733E-24</v>
      </c>
      <c r="N402" s="49">
        <f t="shared" si="79"/>
        <v>1.9592362280008033E-23</v>
      </c>
      <c r="O402" s="49">
        <f t="shared" si="79"/>
        <v>2.0167304406132627E-22</v>
      </c>
      <c r="P402" s="49">
        <f t="shared" si="79"/>
        <v>1.9062901755410813E-21</v>
      </c>
      <c r="Q402" s="49">
        <f t="shared" si="79"/>
        <v>1.6629560724151087E-20</v>
      </c>
      <c r="R402" s="49">
        <f t="shared" si="79"/>
        <v>1.3446392898750089E-19</v>
      </c>
      <c r="S402" s="49">
        <f t="shared" si="79"/>
        <v>1.0116052595092456E-18</v>
      </c>
      <c r="T402" s="49">
        <f t="shared" si="79"/>
        <v>7.1047414577723091E-18</v>
      </c>
      <c r="U402" s="49">
        <f t="shared" si="79"/>
        <v>4.6720260580388591E-17</v>
      </c>
      <c r="V402" s="49">
        <f t="shared" si="79"/>
        <v>2.88423838392658E-16</v>
      </c>
      <c r="W402" s="47">
        <v>0.60099999999999998</v>
      </c>
    </row>
    <row r="403" spans="2:23" x14ac:dyDescent="0.25">
      <c r="B403" s="49">
        <f t="shared" ref="B403:K412" si="80">_xlfn.HYPGEOM.DIST(B$2,comau,tongtheN*$W403,tongtheN,TRUE)</f>
        <v>1.5970248566833396E-40</v>
      </c>
      <c r="C403" s="49">
        <f t="shared" si="80"/>
        <v>2.4120017150818155E-38</v>
      </c>
      <c r="D403" s="49">
        <f t="shared" si="80"/>
        <v>1.8035342071945769E-36</v>
      </c>
      <c r="E403" s="49">
        <f t="shared" si="80"/>
        <v>8.9012210741347753E-35</v>
      </c>
      <c r="F403" s="49">
        <f t="shared" si="80"/>
        <v>3.2618491694978194E-33</v>
      </c>
      <c r="G403" s="49">
        <f t="shared" si="80"/>
        <v>9.4657134578007311E-32</v>
      </c>
      <c r="H403" s="49">
        <f t="shared" si="80"/>
        <v>2.2657052527446995E-30</v>
      </c>
      <c r="I403" s="49">
        <f t="shared" si="80"/>
        <v>4.6004927395601906E-29</v>
      </c>
      <c r="J403" s="49">
        <f t="shared" si="80"/>
        <v>8.0884640963076338E-28</v>
      </c>
      <c r="K403" s="49">
        <f t="shared" si="80"/>
        <v>1.2507837105303471E-26</v>
      </c>
      <c r="L403" s="49">
        <f t="shared" ref="L403:V412" si="81">_xlfn.HYPGEOM.DIST(L$2,comau,tongtheN*$W403,tongtheN,TRUE)</f>
        <v>1.7222701130611084E-25</v>
      </c>
      <c r="M403" s="49">
        <f t="shared" si="81"/>
        <v>2.1327531658630952E-24</v>
      </c>
      <c r="N403" s="49">
        <f t="shared" si="81"/>
        <v>2.3947272742525939E-23</v>
      </c>
      <c r="O403" s="49">
        <f t="shared" si="81"/>
        <v>2.4548501047105663E-22</v>
      </c>
      <c r="P403" s="49">
        <f t="shared" si="81"/>
        <v>2.3108659704130002E-21</v>
      </c>
      <c r="Q403" s="49">
        <f t="shared" si="81"/>
        <v>2.0075942747332211E-20</v>
      </c>
      <c r="R403" s="49">
        <f t="shared" si="81"/>
        <v>1.6166322680779629E-19</v>
      </c>
      <c r="S403" s="49">
        <f t="shared" si="81"/>
        <v>1.2112330294620401E-18</v>
      </c>
      <c r="T403" s="49">
        <f t="shared" si="81"/>
        <v>8.4718264437566364E-18</v>
      </c>
      <c r="U403" s="49">
        <f t="shared" si="81"/>
        <v>5.5481373180214646E-17</v>
      </c>
      <c r="V403" s="49">
        <f t="shared" si="81"/>
        <v>3.4110443723024532E-16</v>
      </c>
      <c r="W403" s="47">
        <v>0.6</v>
      </c>
    </row>
    <row r="404" spans="2:23" x14ac:dyDescent="0.25">
      <c r="B404" s="49">
        <f t="shared" si="80"/>
        <v>2.0500335811990899E-40</v>
      </c>
      <c r="C404" s="49">
        <f t="shared" si="80"/>
        <v>3.0834000973296623E-38</v>
      </c>
      <c r="D404" s="49">
        <f t="shared" si="80"/>
        <v>2.2960430344239869E-36</v>
      </c>
      <c r="E404" s="49">
        <f t="shared" si="80"/>
        <v>1.1285193705086522E-34</v>
      </c>
      <c r="F404" s="49">
        <f t="shared" si="80"/>
        <v>4.1183906356896072E-33</v>
      </c>
      <c r="G404" s="49">
        <f t="shared" si="80"/>
        <v>1.1902048421815658E-31</v>
      </c>
      <c r="H404" s="49">
        <f t="shared" si="80"/>
        <v>2.8371151050425122E-30</v>
      </c>
      <c r="I404" s="49">
        <f t="shared" si="80"/>
        <v>5.7369834098885512E-29</v>
      </c>
      <c r="J404" s="49">
        <f t="shared" si="80"/>
        <v>1.0045037186913253E-27</v>
      </c>
      <c r="K404" s="49">
        <f t="shared" si="80"/>
        <v>1.5469437362511918E-26</v>
      </c>
      <c r="L404" s="49">
        <f t="shared" si="81"/>
        <v>2.1212945997866613E-25</v>
      </c>
      <c r="M404" s="49">
        <f t="shared" si="81"/>
        <v>2.6160640630619164E-24</v>
      </c>
      <c r="N404" s="49">
        <f t="shared" si="81"/>
        <v>2.9253145743624749E-23</v>
      </c>
      <c r="O404" s="49">
        <f t="shared" si="81"/>
        <v>2.9864204041985899E-22</v>
      </c>
      <c r="P404" s="49">
        <f t="shared" si="81"/>
        <v>2.7996963618303449E-21</v>
      </c>
      <c r="Q404" s="49">
        <f t="shared" si="81"/>
        <v>2.4222732920153034E-20</v>
      </c>
      <c r="R404" s="49">
        <f t="shared" si="81"/>
        <v>1.9425415118373183E-19</v>
      </c>
      <c r="S404" s="49">
        <f t="shared" si="81"/>
        <v>1.4494377059475585E-18</v>
      </c>
      <c r="T404" s="49">
        <f t="shared" si="81"/>
        <v>1.0096309492845198E-17</v>
      </c>
      <c r="U404" s="49">
        <f t="shared" si="81"/>
        <v>6.58487593279231E-17</v>
      </c>
      <c r="V404" s="49">
        <f t="shared" si="81"/>
        <v>4.0318434434179845E-16</v>
      </c>
      <c r="W404" s="47">
        <v>0.59899999999999998</v>
      </c>
    </row>
    <row r="405" spans="2:23" x14ac:dyDescent="0.25">
      <c r="B405" s="49">
        <f t="shared" si="80"/>
        <v>2.6299054576190825E-40</v>
      </c>
      <c r="C405" s="49">
        <f t="shared" si="80"/>
        <v>3.939250005097796E-38</v>
      </c>
      <c r="D405" s="49">
        <f t="shared" si="80"/>
        <v>2.921249088093264E-36</v>
      </c>
      <c r="E405" s="49">
        <f t="shared" si="80"/>
        <v>1.4298909256606061E-34</v>
      </c>
      <c r="F405" s="49">
        <f t="shared" si="80"/>
        <v>5.1966946573120613E-33</v>
      </c>
      <c r="G405" s="49">
        <f t="shared" si="80"/>
        <v>1.4956418587145793E-31</v>
      </c>
      <c r="H405" s="49">
        <f t="shared" si="80"/>
        <v>3.5505005335056671E-30</v>
      </c>
      <c r="I405" s="49">
        <f t="shared" si="80"/>
        <v>7.1499575837870782E-29</v>
      </c>
      <c r="J405" s="49">
        <f t="shared" si="80"/>
        <v>1.2467495234658281E-27</v>
      </c>
      <c r="K405" s="49">
        <f t="shared" si="80"/>
        <v>1.9120997581241077E-26</v>
      </c>
      <c r="L405" s="49">
        <f t="shared" si="81"/>
        <v>2.6112351835842908E-25</v>
      </c>
      <c r="M405" s="49">
        <f t="shared" si="81"/>
        <v>3.2070297903781206E-24</v>
      </c>
      <c r="N405" s="49">
        <f t="shared" si="81"/>
        <v>3.5713917498106522E-23</v>
      </c>
      <c r="O405" s="49">
        <f t="shared" si="81"/>
        <v>3.6310052571636056E-22</v>
      </c>
      <c r="P405" s="49">
        <f t="shared" si="81"/>
        <v>3.3899918011600738E-21</v>
      </c>
      <c r="Q405" s="49">
        <f t="shared" si="81"/>
        <v>2.9209454605776975E-20</v>
      </c>
      <c r="R405" s="49">
        <f t="shared" si="81"/>
        <v>2.3328352552288971E-19</v>
      </c>
      <c r="S405" s="49">
        <f t="shared" si="81"/>
        <v>1.7335153355783062E-18</v>
      </c>
      <c r="T405" s="49">
        <f t="shared" si="81"/>
        <v>1.2025582897881077E-17</v>
      </c>
      <c r="U405" s="49">
        <f t="shared" si="81"/>
        <v>7.8110149433434156E-17</v>
      </c>
      <c r="V405" s="49">
        <f t="shared" si="81"/>
        <v>4.7630049779874939E-16</v>
      </c>
      <c r="W405" s="47">
        <v>0.59799999999999998</v>
      </c>
    </row>
    <row r="406" spans="2:23" x14ac:dyDescent="0.25">
      <c r="B406" s="49">
        <f t="shared" si="80"/>
        <v>3.3717122323593382E-40</v>
      </c>
      <c r="C406" s="49">
        <f t="shared" si="80"/>
        <v>5.02955920592287E-38</v>
      </c>
      <c r="D406" s="49">
        <f t="shared" si="80"/>
        <v>3.7144232586665624E-36</v>
      </c>
      <c r="E406" s="49">
        <f t="shared" si="80"/>
        <v>1.8106418513260558E-34</v>
      </c>
      <c r="F406" s="49">
        <f t="shared" si="80"/>
        <v>6.5533616344033705E-33</v>
      </c>
      <c r="G406" s="49">
        <f t="shared" si="80"/>
        <v>1.8783317745136709E-31</v>
      </c>
      <c r="H406" s="49">
        <f t="shared" si="80"/>
        <v>4.4406089434047256E-30</v>
      </c>
      <c r="I406" s="49">
        <f t="shared" si="80"/>
        <v>8.905641032639669E-29</v>
      </c>
      <c r="J406" s="49">
        <f t="shared" si="80"/>
        <v>1.5465011696207682E-27</v>
      </c>
      <c r="K406" s="49">
        <f t="shared" si="80"/>
        <v>2.3620630657740006E-26</v>
      </c>
      <c r="L406" s="49">
        <f t="shared" si="81"/>
        <v>3.2124578846816709E-25</v>
      </c>
      <c r="M406" s="49">
        <f t="shared" si="81"/>
        <v>3.92921330718086E-24</v>
      </c>
      <c r="N406" s="49">
        <f t="shared" si="81"/>
        <v>4.3576459843273842E-23</v>
      </c>
      <c r="O406" s="49">
        <f t="shared" si="81"/>
        <v>4.4121868779576294E-22</v>
      </c>
      <c r="P406" s="49">
        <f t="shared" si="81"/>
        <v>4.1024094525171377E-21</v>
      </c>
      <c r="Q406" s="49">
        <f t="shared" si="81"/>
        <v>3.5202860581866577E-20</v>
      </c>
      <c r="R406" s="49">
        <f t="shared" si="81"/>
        <v>2.7999714065680445E-19</v>
      </c>
      <c r="S406" s="49">
        <f t="shared" si="81"/>
        <v>2.0721116663611901E-18</v>
      </c>
      <c r="T406" s="49">
        <f t="shared" si="81"/>
        <v>1.4315566185831883E-17</v>
      </c>
      <c r="U406" s="49">
        <f t="shared" si="81"/>
        <v>9.2603592500428349E-17</v>
      </c>
      <c r="V406" s="49">
        <f t="shared" si="81"/>
        <v>5.6236786501463317E-16</v>
      </c>
      <c r="W406" s="47">
        <v>0.59699999999999998</v>
      </c>
    </row>
    <row r="407" spans="2:23" x14ac:dyDescent="0.25">
      <c r="B407" s="49">
        <f t="shared" si="80"/>
        <v>4.3200960553442765E-40</v>
      </c>
      <c r="C407" s="49">
        <f t="shared" si="80"/>
        <v>6.4177136988854195E-38</v>
      </c>
      <c r="D407" s="49">
        <f t="shared" si="80"/>
        <v>4.7200839463097176E-36</v>
      </c>
      <c r="E407" s="49">
        <f t="shared" si="80"/>
        <v>2.2913911535649443E-34</v>
      </c>
      <c r="F407" s="49">
        <f t="shared" si="80"/>
        <v>8.259230855225002E-33</v>
      </c>
      <c r="G407" s="49">
        <f t="shared" si="80"/>
        <v>2.3575289864521929E-31</v>
      </c>
      <c r="H407" s="49">
        <f t="shared" si="80"/>
        <v>5.5505628744626586E-30</v>
      </c>
      <c r="I407" s="49">
        <f t="shared" si="80"/>
        <v>1.1085874739165027E-28</v>
      </c>
      <c r="J407" s="49">
        <f t="shared" si="80"/>
        <v>1.9171931554461518E-27</v>
      </c>
      <c r="K407" s="49">
        <f t="shared" si="80"/>
        <v>2.9162081773109022E-26</v>
      </c>
      <c r="L407" s="49">
        <f t="shared" si="81"/>
        <v>3.9498127702745389E-25</v>
      </c>
      <c r="M407" s="49">
        <f t="shared" si="81"/>
        <v>4.8112436989758606E-24</v>
      </c>
      <c r="N407" s="49">
        <f t="shared" si="81"/>
        <v>5.3139451165624197E-23</v>
      </c>
      <c r="O407" s="49">
        <f t="shared" si="81"/>
        <v>5.3583751653401285E-22</v>
      </c>
      <c r="P407" s="49">
        <f t="shared" si="81"/>
        <v>4.9617296289175858E-21</v>
      </c>
      <c r="Q407" s="49">
        <f t="shared" si="81"/>
        <v>4.2402136543041962E-20</v>
      </c>
      <c r="R407" s="49">
        <f t="shared" si="81"/>
        <v>3.358767537163741E-19</v>
      </c>
      <c r="S407" s="49">
        <f t="shared" si="81"/>
        <v>2.4754662038021953E-18</v>
      </c>
      <c r="T407" s="49">
        <f t="shared" si="81"/>
        <v>1.7032204364444237E-17</v>
      </c>
      <c r="U407" s="49">
        <f t="shared" si="81"/>
        <v>1.0972604001363398E-16</v>
      </c>
      <c r="V407" s="49">
        <f t="shared" si="81"/>
        <v>6.6362545369032319E-16</v>
      </c>
      <c r="W407" s="47">
        <v>0.59599999999999997</v>
      </c>
    </row>
    <row r="408" spans="2:23" x14ac:dyDescent="0.25">
      <c r="B408" s="49">
        <f t="shared" si="80"/>
        <v>5.5318470538143248E-40</v>
      </c>
      <c r="C408" s="49">
        <f t="shared" si="80"/>
        <v>8.1840088754219734E-38</v>
      </c>
      <c r="D408" s="49">
        <f t="shared" si="80"/>
        <v>5.9943883517707825E-36</v>
      </c>
      <c r="E408" s="49">
        <f t="shared" si="80"/>
        <v>2.8980389230650169E-34</v>
      </c>
      <c r="F408" s="49">
        <f t="shared" si="80"/>
        <v>1.0402910615203826E-32</v>
      </c>
      <c r="G408" s="49">
        <f t="shared" si="80"/>
        <v>2.9572160615498479E-31</v>
      </c>
      <c r="H408" s="49">
        <f t="shared" si="80"/>
        <v>6.9338476333027216E-30</v>
      </c>
      <c r="I408" s="49">
        <f t="shared" si="80"/>
        <v>1.3791738461670849E-28</v>
      </c>
      <c r="J408" s="49">
        <f t="shared" si="80"/>
        <v>2.3753480177018932E-27</v>
      </c>
      <c r="K408" s="49">
        <f t="shared" si="80"/>
        <v>3.5982623060092291E-26</v>
      </c>
      <c r="L408" s="49">
        <f t="shared" si="81"/>
        <v>4.8536040171169465E-25</v>
      </c>
      <c r="M408" s="49">
        <f t="shared" si="81"/>
        <v>5.8878857830247329E-24</v>
      </c>
      <c r="N408" s="49">
        <f t="shared" si="81"/>
        <v>6.4764045253699616E-23</v>
      </c>
      <c r="O408" s="49">
        <f t="shared" si="81"/>
        <v>6.503776900256577E-22</v>
      </c>
      <c r="P408" s="49">
        <f t="shared" si="81"/>
        <v>5.9976622560940862E-21</v>
      </c>
      <c r="Q408" s="49">
        <f t="shared" si="81"/>
        <v>5.1045077731949283E-20</v>
      </c>
      <c r="R408" s="49">
        <f t="shared" si="81"/>
        <v>4.0268381387344655E-19</v>
      </c>
      <c r="S408" s="49">
        <f t="shared" si="81"/>
        <v>2.9556993720086865E-18</v>
      </c>
      <c r="T408" s="49">
        <f t="shared" si="81"/>
        <v>2.0253223016974236E-17</v>
      </c>
      <c r="U408" s="49">
        <f t="shared" si="81"/>
        <v>1.2994335690657895E-16</v>
      </c>
      <c r="V408" s="49">
        <f t="shared" si="81"/>
        <v>7.8268973390848211E-16</v>
      </c>
      <c r="W408" s="47">
        <v>0.59499999999999997</v>
      </c>
    </row>
    <row r="409" spans="2:23" x14ac:dyDescent="0.25">
      <c r="B409" s="49">
        <f t="shared" si="80"/>
        <v>7.0791660093949753E-40</v>
      </c>
      <c r="C409" s="49">
        <f t="shared" si="80"/>
        <v>1.0430100163868274E-37</v>
      </c>
      <c r="D409" s="49">
        <f t="shared" si="80"/>
        <v>7.6081335611024794E-36</v>
      </c>
      <c r="E409" s="49">
        <f t="shared" si="80"/>
        <v>3.6630998949343643E-34</v>
      </c>
      <c r="F409" s="49">
        <f t="shared" si="80"/>
        <v>1.3095170694748712E-32</v>
      </c>
      <c r="G409" s="49">
        <f t="shared" si="80"/>
        <v>3.7072474770391695E-31</v>
      </c>
      <c r="H409" s="49">
        <f t="shared" si="80"/>
        <v>8.6567632973911514E-30</v>
      </c>
      <c r="I409" s="49">
        <f t="shared" si="80"/>
        <v>1.7148001651241575E-28</v>
      </c>
      <c r="J409" s="49">
        <f t="shared" si="80"/>
        <v>2.9412745453918593E-27</v>
      </c>
      <c r="K409" s="49">
        <f t="shared" si="80"/>
        <v>4.4372667411436509E-26</v>
      </c>
      <c r="L409" s="49">
        <f t="shared" si="81"/>
        <v>5.9607661101074465E-25</v>
      </c>
      <c r="M409" s="49">
        <f t="shared" si="81"/>
        <v>7.2013313879662969E-24</v>
      </c>
      <c r="N409" s="49">
        <f t="shared" si="81"/>
        <v>7.8886695380541347E-23</v>
      </c>
      <c r="O409" s="49">
        <f t="shared" si="81"/>
        <v>7.8895556681117683E-22</v>
      </c>
      <c r="P409" s="49">
        <f t="shared" si="81"/>
        <v>7.2458078315872142E-21</v>
      </c>
      <c r="Q409" s="49">
        <f t="shared" si="81"/>
        <v>6.1415416686780631E-20</v>
      </c>
      <c r="R409" s="49">
        <f t="shared" si="81"/>
        <v>4.8251110989269409E-19</v>
      </c>
      <c r="S409" s="49">
        <f t="shared" si="81"/>
        <v>3.5271502100328961E-18</v>
      </c>
      <c r="T409" s="49">
        <f t="shared" si="81"/>
        <v>2.4070183168093893E-17</v>
      </c>
      <c r="U409" s="49">
        <f t="shared" si="81"/>
        <v>1.5380199058755528E-16</v>
      </c>
      <c r="V409" s="49">
        <f t="shared" si="81"/>
        <v>9.2261663188377658E-16</v>
      </c>
      <c r="W409" s="47">
        <v>0.59399999999999997</v>
      </c>
    </row>
    <row r="410" spans="2:23" x14ac:dyDescent="0.25">
      <c r="B410" s="49">
        <f t="shared" si="80"/>
        <v>9.0537918268376886E-40</v>
      </c>
      <c r="C410" s="49">
        <f t="shared" si="80"/>
        <v>1.3284609329094428E-37</v>
      </c>
      <c r="D410" s="49">
        <f t="shared" si="80"/>
        <v>9.6505207512421542E-36</v>
      </c>
      <c r="E410" s="49">
        <f t="shared" si="80"/>
        <v>4.6273689582463303E-34</v>
      </c>
      <c r="F410" s="49">
        <f t="shared" si="80"/>
        <v>1.6474404734189713E-32</v>
      </c>
      <c r="G410" s="49">
        <f t="shared" si="80"/>
        <v>4.6447658515933699E-31</v>
      </c>
      <c r="H410" s="49">
        <f t="shared" si="80"/>
        <v>1.0801447869581078E-29</v>
      </c>
      <c r="I410" s="49">
        <f t="shared" si="80"/>
        <v>2.1308587547986793E-28</v>
      </c>
      <c r="J410" s="49">
        <f t="shared" si="80"/>
        <v>3.6399212413690757E-27</v>
      </c>
      <c r="K410" s="49">
        <f t="shared" si="80"/>
        <v>5.468746925682527E-26</v>
      </c>
      <c r="L410" s="49">
        <f t="shared" si="81"/>
        <v>7.3162891881300538E-25</v>
      </c>
      <c r="M410" s="49">
        <f t="shared" si="81"/>
        <v>8.8027573870662508E-24</v>
      </c>
      <c r="N410" s="49">
        <f t="shared" si="81"/>
        <v>9.6034560511574777E-23</v>
      </c>
      <c r="O410" s="49">
        <f t="shared" si="81"/>
        <v>9.5652192766450575E-22</v>
      </c>
      <c r="P410" s="49">
        <f t="shared" si="81"/>
        <v>8.7488018510819843E-21</v>
      </c>
      <c r="Q410" s="49">
        <f t="shared" si="81"/>
        <v>7.3851511910001571E-20</v>
      </c>
      <c r="R410" s="49">
        <f t="shared" si="81"/>
        <v>5.7784374166854179E-19</v>
      </c>
      <c r="S410" s="49">
        <f t="shared" si="81"/>
        <v>4.2067732826071559E-18</v>
      </c>
      <c r="T410" s="49">
        <f t="shared" si="81"/>
        <v>2.8590885829367816E-17</v>
      </c>
      <c r="U410" s="49">
        <f t="shared" si="81"/>
        <v>1.8194256535469529E-16</v>
      </c>
      <c r="V410" s="49">
        <f t="shared" si="81"/>
        <v>1.0869734322998569E-15</v>
      </c>
      <c r="W410" s="47">
        <v>0.59299999999999997</v>
      </c>
    </row>
    <row r="411" spans="2:23" x14ac:dyDescent="0.25">
      <c r="B411" s="49">
        <f t="shared" si="80"/>
        <v>1.1572219983299127E-39</v>
      </c>
      <c r="C411" s="49">
        <f t="shared" si="80"/>
        <v>1.6910182427975085E-37</v>
      </c>
      <c r="D411" s="49">
        <f t="shared" si="80"/>
        <v>1.2233873851866981E-35</v>
      </c>
      <c r="E411" s="49">
        <f t="shared" si="80"/>
        <v>5.8420000551852821E-34</v>
      </c>
      <c r="F411" s="49">
        <f t="shared" si="80"/>
        <v>2.0713419241545184E-32</v>
      </c>
      <c r="G411" s="49">
        <f t="shared" si="80"/>
        <v>5.8159545947649267E-31</v>
      </c>
      <c r="H411" s="49">
        <f t="shared" si="80"/>
        <v>1.3469602522517837E-29</v>
      </c>
      <c r="I411" s="49">
        <f t="shared" si="80"/>
        <v>2.6463277328615836E-28</v>
      </c>
      <c r="J411" s="49">
        <f t="shared" si="80"/>
        <v>4.50191896887727E-27</v>
      </c>
      <c r="K411" s="49">
        <f t="shared" si="80"/>
        <v>6.7361357436894004E-26</v>
      </c>
      <c r="L411" s="49">
        <f t="shared" si="81"/>
        <v>8.9749453573738085E-25</v>
      </c>
      <c r="M411" s="49">
        <f t="shared" si="81"/>
        <v>1.0754204556360824E-23</v>
      </c>
      <c r="N411" s="49">
        <f t="shared" si="81"/>
        <v>1.1684400340379018E-22</v>
      </c>
      <c r="O411" s="49">
        <f t="shared" si="81"/>
        <v>1.1590278382448616E-21</v>
      </c>
      <c r="P411" s="49">
        <f t="shared" si="81"/>
        <v>1.0557676989045162E-20</v>
      </c>
      <c r="Q411" s="49">
        <f t="shared" si="81"/>
        <v>8.8756644634580508E-20</v>
      </c>
      <c r="R411" s="49">
        <f t="shared" si="81"/>
        <v>6.9163106020837091E-19</v>
      </c>
      <c r="S411" s="49">
        <f t="shared" si="81"/>
        <v>5.0146049378168206E-18</v>
      </c>
      <c r="T411" s="49">
        <f t="shared" si="81"/>
        <v>3.3942184223751327E-17</v>
      </c>
      <c r="U411" s="49">
        <f t="shared" si="81"/>
        <v>2.1511571144028574E-16</v>
      </c>
      <c r="V411" s="49">
        <f t="shared" si="81"/>
        <v>1.2799221285883205E-15</v>
      </c>
      <c r="W411" s="47">
        <v>0.59199999999999997</v>
      </c>
    </row>
    <row r="412" spans="2:23" x14ac:dyDescent="0.25">
      <c r="B412" s="49">
        <f t="shared" si="80"/>
        <v>1.4782296519387022E-39</v>
      </c>
      <c r="C412" s="49">
        <f t="shared" si="80"/>
        <v>2.1512370197723189E-37</v>
      </c>
      <c r="D412" s="49">
        <f t="shared" si="80"/>
        <v>1.5499551294930858E-35</v>
      </c>
      <c r="E412" s="49">
        <f t="shared" si="80"/>
        <v>7.3710995993085272E-34</v>
      </c>
      <c r="F412" s="49">
        <f t="shared" si="80"/>
        <v>2.602786665154967E-32</v>
      </c>
      <c r="G412" s="49">
        <f t="shared" si="80"/>
        <v>7.2782056667957043E-31</v>
      </c>
      <c r="H412" s="49">
        <f t="shared" si="80"/>
        <v>1.6787079410113204E-29</v>
      </c>
      <c r="I412" s="49">
        <f t="shared" si="80"/>
        <v>3.2845931137738063E-28</v>
      </c>
      <c r="J412" s="49">
        <f t="shared" si="80"/>
        <v>5.564854011514075E-27</v>
      </c>
      <c r="K412" s="49">
        <f t="shared" si="80"/>
        <v>8.2925038555488834E-26</v>
      </c>
      <c r="L412" s="49">
        <f t="shared" si="81"/>
        <v>1.1003378371453417E-24</v>
      </c>
      <c r="M412" s="49">
        <f t="shared" si="81"/>
        <v>1.313084207892622E-23</v>
      </c>
      <c r="N412" s="49">
        <f t="shared" si="81"/>
        <v>1.4208278899016114E-22</v>
      </c>
      <c r="O412" s="49">
        <f t="shared" si="81"/>
        <v>1.4036228263667787E-21</v>
      </c>
      <c r="P412" s="49">
        <f t="shared" si="81"/>
        <v>1.2733483589075923E-20</v>
      </c>
      <c r="Q412" s="49">
        <f t="shared" si="81"/>
        <v>1.0661121473623665E-19</v>
      </c>
      <c r="R412" s="49">
        <f t="shared" si="81"/>
        <v>8.2737150364391104E-19</v>
      </c>
      <c r="S412" s="49">
        <f t="shared" si="81"/>
        <v>5.9743107347272704E-18</v>
      </c>
      <c r="T412" s="49">
        <f t="shared" si="81"/>
        <v>4.0273271055402592E-17</v>
      </c>
      <c r="U412" s="49">
        <f t="shared" si="81"/>
        <v>2.542004862133995E-16</v>
      </c>
      <c r="V412" s="49">
        <f t="shared" si="81"/>
        <v>1.5063159926335626E-15</v>
      </c>
      <c r="W412" s="47">
        <v>0.59099999999999997</v>
      </c>
    </row>
    <row r="413" spans="2:23" x14ac:dyDescent="0.25">
      <c r="B413" s="49">
        <f t="shared" ref="B413:K422" si="82">_xlfn.HYPGEOM.DIST(B$2,comau,tongtheN*$W413,tongtheN,TRUE)</f>
        <v>1.8871545367393147E-39</v>
      </c>
      <c r="C413" s="49">
        <f t="shared" si="82"/>
        <v>2.7350795059355293E-37</v>
      </c>
      <c r="D413" s="49">
        <f t="shared" si="82"/>
        <v>1.9625348303708166E-35</v>
      </c>
      <c r="E413" s="49">
        <f t="shared" si="82"/>
        <v>9.2949599224487804E-34</v>
      </c>
      <c r="F413" s="49">
        <f t="shared" si="82"/>
        <v>3.2686714662426171E-32</v>
      </c>
      <c r="G413" s="49">
        <f t="shared" si="82"/>
        <v>9.1027992627966474E-31</v>
      </c>
      <c r="H413" s="49">
        <f t="shared" si="82"/>
        <v>2.0909528616273582E-29</v>
      </c>
      <c r="I413" s="49">
        <f t="shared" si="82"/>
        <v>4.0744563612097327E-28</v>
      </c>
      <c r="J413" s="49">
        <f t="shared" si="82"/>
        <v>6.8748216056959793E-27</v>
      </c>
      <c r="K413" s="49">
        <f t="shared" si="82"/>
        <v>1.0202662162596088E-25</v>
      </c>
      <c r="L413" s="49">
        <f t="shared" ref="L413:V422" si="83">_xlfn.HYPGEOM.DIST(L$2,comau,tongtheN*$W413,tongtheN,TRUE)</f>
        <v>1.3482631775775767E-24</v>
      </c>
      <c r="M413" s="49">
        <f t="shared" si="83"/>
        <v>1.6023695361694842E-23</v>
      </c>
      <c r="N413" s="49">
        <f t="shared" si="83"/>
        <v>1.7267670876272069E-22</v>
      </c>
      <c r="O413" s="49">
        <f t="shared" si="83"/>
        <v>1.6988915415224399E-21</v>
      </c>
      <c r="P413" s="49">
        <f t="shared" si="83"/>
        <v>1.5349216408077325E-20</v>
      </c>
      <c r="Q413" s="49">
        <f t="shared" si="83"/>
        <v>1.2798717831662632E-19</v>
      </c>
      <c r="R413" s="49">
        <f t="shared" si="83"/>
        <v>9.8921258751442362E-19</v>
      </c>
      <c r="S413" s="49">
        <f t="shared" si="83"/>
        <v>7.1138278291413022E-18</v>
      </c>
      <c r="T413" s="49">
        <f t="shared" si="83"/>
        <v>4.7759519029125895E-17</v>
      </c>
      <c r="U413" s="49">
        <f t="shared" si="83"/>
        <v>3.002258006801305E-16</v>
      </c>
      <c r="V413" s="49">
        <f t="shared" si="83"/>
        <v>1.7718114014398587E-15</v>
      </c>
      <c r="W413" s="47">
        <v>0.59</v>
      </c>
    </row>
    <row r="414" spans="2:23" x14ac:dyDescent="0.25">
      <c r="B414" s="49">
        <f t="shared" si="82"/>
        <v>2.4077678640833158E-39</v>
      </c>
      <c r="C414" s="49">
        <f t="shared" si="82"/>
        <v>3.4753185528920487E-37</v>
      </c>
      <c r="D414" s="49">
        <f t="shared" si="82"/>
        <v>2.4834760285645165E-35</v>
      </c>
      <c r="E414" s="49">
        <f t="shared" si="82"/>
        <v>1.1714088430848524E-33</v>
      </c>
      <c r="F414" s="49">
        <f t="shared" si="82"/>
        <v>4.1025236247660669E-32</v>
      </c>
      <c r="G414" s="49">
        <f t="shared" si="82"/>
        <v>1.137821446485832E-30</v>
      </c>
      <c r="H414" s="49">
        <f t="shared" si="82"/>
        <v>2.6029344889873514E-29</v>
      </c>
      <c r="I414" s="49">
        <f t="shared" si="82"/>
        <v>5.0513685402241098E-28</v>
      </c>
      <c r="J414" s="49">
        <f t="shared" si="82"/>
        <v>8.4883206936464598E-27</v>
      </c>
      <c r="K414" s="49">
        <f t="shared" si="82"/>
        <v>1.2545715031652097E-25</v>
      </c>
      <c r="L414" s="49">
        <f t="shared" si="83"/>
        <v>1.6511205846975767E-24</v>
      </c>
      <c r="M414" s="49">
        <f t="shared" si="83"/>
        <v>1.9542930171872623E-23</v>
      </c>
      <c r="N414" s="49">
        <f t="shared" si="83"/>
        <v>2.0974149634642187E-22</v>
      </c>
      <c r="O414" s="49">
        <f t="shared" si="83"/>
        <v>2.0551362168676838E-21</v>
      </c>
      <c r="P414" s="49">
        <f t="shared" si="83"/>
        <v>1.8492104262937804E-20</v>
      </c>
      <c r="Q414" s="49">
        <f t="shared" si="83"/>
        <v>1.5356512984888835E-19</v>
      </c>
      <c r="R414" s="49">
        <f t="shared" si="83"/>
        <v>1.1820686935444568E-18</v>
      </c>
      <c r="S414" s="49">
        <f t="shared" si="83"/>
        <v>8.4661183889566011E-18</v>
      </c>
      <c r="T414" s="49">
        <f t="shared" si="83"/>
        <v>5.6606965357455125E-17</v>
      </c>
      <c r="U414" s="49">
        <f t="shared" si="83"/>
        <v>3.5439532842807188E-16</v>
      </c>
      <c r="V414" s="49">
        <f t="shared" si="83"/>
        <v>2.0829972630679722E-15</v>
      </c>
      <c r="W414" s="47">
        <v>0.58899999999999997</v>
      </c>
    </row>
    <row r="415" spans="2:23" x14ac:dyDescent="0.25">
      <c r="B415" s="49">
        <f t="shared" si="82"/>
        <v>3.0701854589962197E-39</v>
      </c>
      <c r="C415" s="49">
        <f t="shared" si="82"/>
        <v>4.4133004329213399E-37</v>
      </c>
      <c r="D415" s="49">
        <f t="shared" si="82"/>
        <v>3.1408568720550487E-35</v>
      </c>
      <c r="E415" s="49">
        <f t="shared" si="82"/>
        <v>1.4754225468319853E-33</v>
      </c>
      <c r="F415" s="49">
        <f t="shared" si="82"/>
        <v>5.1461118241489136E-32</v>
      </c>
      <c r="G415" s="49">
        <f t="shared" si="82"/>
        <v>1.4214217159207883E-30</v>
      </c>
      <c r="H415" s="49">
        <f t="shared" si="82"/>
        <v>3.2384208617271553E-29</v>
      </c>
      <c r="I415" s="49">
        <f t="shared" si="82"/>
        <v>6.2589411993089936E-28</v>
      </c>
      <c r="J415" s="49">
        <f t="shared" si="82"/>
        <v>1.0474563576367213E-26</v>
      </c>
      <c r="K415" s="49">
        <f t="shared" si="82"/>
        <v>1.541815922832746E-25</v>
      </c>
      <c r="L415" s="49">
        <f t="shared" si="83"/>
        <v>2.0208751923323087E-24</v>
      </c>
      <c r="M415" s="49">
        <f t="shared" si="83"/>
        <v>2.3821804411032378E-23</v>
      </c>
      <c r="N415" s="49">
        <f t="shared" si="83"/>
        <v>2.5462106519132352E-22</v>
      </c>
      <c r="O415" s="49">
        <f t="shared" si="83"/>
        <v>2.4847136172257283E-21</v>
      </c>
      <c r="P415" s="49">
        <f t="shared" si="83"/>
        <v>2.2266329477874189E-20</v>
      </c>
      <c r="Q415" s="49">
        <f t="shared" si="83"/>
        <v>1.8415450253136455E-19</v>
      </c>
      <c r="R415" s="49">
        <f t="shared" si="83"/>
        <v>1.411759751455568E-18</v>
      </c>
      <c r="S415" s="49">
        <f t="shared" si="83"/>
        <v>1.007005276209465E-17</v>
      </c>
      <c r="T415" s="49">
        <f t="shared" si="83"/>
        <v>6.705754548023718E-17</v>
      </c>
      <c r="U415" s="49">
        <f t="shared" si="83"/>
        <v>4.1811644779553212E-16</v>
      </c>
      <c r="V415" s="49">
        <f t="shared" si="83"/>
        <v>2.4475447330881682E-15</v>
      </c>
      <c r="W415" s="47">
        <v>0.58799999999999997</v>
      </c>
    </row>
    <row r="416" spans="2:23" x14ac:dyDescent="0.25">
      <c r="B416" s="49">
        <f t="shared" si="82"/>
        <v>3.9125392068281855E-39</v>
      </c>
      <c r="C416" s="49">
        <f t="shared" si="82"/>
        <v>5.6011577942021923E-37</v>
      </c>
      <c r="D416" s="49">
        <f t="shared" si="82"/>
        <v>3.9699323708050178E-35</v>
      </c>
      <c r="E416" s="49">
        <f t="shared" si="82"/>
        <v>1.8572590015022248E-33</v>
      </c>
      <c r="F416" s="49">
        <f t="shared" si="82"/>
        <v>6.4514426089376777E-32</v>
      </c>
      <c r="G416" s="49">
        <f t="shared" si="82"/>
        <v>1.7746904910457149E-30</v>
      </c>
      <c r="H416" s="49">
        <f t="shared" si="82"/>
        <v>4.0267581119048546E-29</v>
      </c>
      <c r="I416" s="49">
        <f t="shared" si="82"/>
        <v>7.7507950186633198E-28</v>
      </c>
      <c r="J416" s="49">
        <f t="shared" si="82"/>
        <v>1.2918289782037681E-26</v>
      </c>
      <c r="K416" s="49">
        <f t="shared" si="82"/>
        <v>1.8937643151366822E-25</v>
      </c>
      <c r="L416" s="49">
        <f t="shared" si="83"/>
        <v>2.4720534610460416E-24</v>
      </c>
      <c r="M416" s="49">
        <f t="shared" si="83"/>
        <v>2.9021420690011951E-23</v>
      </c>
      <c r="N416" s="49">
        <f t="shared" si="83"/>
        <v>3.0893329614087107E-22</v>
      </c>
      <c r="O416" s="49">
        <f t="shared" si="83"/>
        <v>3.0024367684563977E-21</v>
      </c>
      <c r="P416" s="49">
        <f t="shared" si="83"/>
        <v>2.6796256092689406E-20</v>
      </c>
      <c r="Q416" s="49">
        <f t="shared" si="83"/>
        <v>2.2071744338169045E-19</v>
      </c>
      <c r="R416" s="49">
        <f t="shared" si="83"/>
        <v>1.6851744334470897E-18</v>
      </c>
      <c r="S416" s="49">
        <f t="shared" si="83"/>
        <v>1.1971444197466179E-17</v>
      </c>
      <c r="T416" s="49">
        <f t="shared" si="83"/>
        <v>7.9395197957358548E-17</v>
      </c>
      <c r="U416" s="49">
        <f t="shared" si="83"/>
        <v>4.9303385270901189E-16</v>
      </c>
      <c r="V416" s="49">
        <f t="shared" si="83"/>
        <v>2.874380312093391E-15</v>
      </c>
      <c r="W416" s="47">
        <v>0.58699999999999997</v>
      </c>
    </row>
    <row r="417" spans="2:23" x14ac:dyDescent="0.25">
      <c r="B417" s="49">
        <f t="shared" si="82"/>
        <v>4.9830830794195994E-39</v>
      </c>
      <c r="C417" s="49">
        <f t="shared" si="82"/>
        <v>7.1045861492812543E-37</v>
      </c>
      <c r="D417" s="49">
        <f t="shared" si="82"/>
        <v>5.0149437281742664E-35</v>
      </c>
      <c r="E417" s="49">
        <f t="shared" si="82"/>
        <v>2.3365649345463876E-33</v>
      </c>
      <c r="F417" s="49">
        <f t="shared" si="82"/>
        <v>8.0832334189329043E-32</v>
      </c>
      <c r="G417" s="49">
        <f t="shared" si="82"/>
        <v>2.2144929383149858E-30</v>
      </c>
      <c r="H417" s="49">
        <f t="shared" si="82"/>
        <v>5.0041594385724769E-29</v>
      </c>
      <c r="I417" s="49">
        <f t="shared" si="82"/>
        <v>9.592820499891056E-28</v>
      </c>
      <c r="J417" s="49">
        <f t="shared" si="82"/>
        <v>1.5923192361437432E-26</v>
      </c>
      <c r="K417" s="49">
        <f t="shared" si="82"/>
        <v>2.3247524593695417E-25</v>
      </c>
      <c r="L417" s="49">
        <f t="shared" si="83"/>
        <v>3.0222818563594947E-24</v>
      </c>
      <c r="M417" s="49">
        <f t="shared" si="83"/>
        <v>3.5336438915031601E-23</v>
      </c>
      <c r="N417" s="49">
        <f t="shared" si="83"/>
        <v>3.7462483627034937E-22</v>
      </c>
      <c r="O417" s="49">
        <f t="shared" si="83"/>
        <v>3.626053668062043E-21</v>
      </c>
      <c r="P417" s="49">
        <f t="shared" si="83"/>
        <v>3.2230259980069581E-20</v>
      </c>
      <c r="Q417" s="49">
        <f t="shared" si="83"/>
        <v>2.6439701665080484E-19</v>
      </c>
      <c r="R417" s="49">
        <f t="shared" si="83"/>
        <v>2.0104620929605619E-18</v>
      </c>
      <c r="S417" s="49">
        <f t="shared" si="83"/>
        <v>1.4224260489474738E-17</v>
      </c>
      <c r="T417" s="49">
        <f t="shared" si="83"/>
        <v>9.3952981818729106E-17</v>
      </c>
      <c r="U417" s="49">
        <f t="shared" si="83"/>
        <v>5.8106856492595412E-16</v>
      </c>
      <c r="V417" s="49">
        <f t="shared" si="83"/>
        <v>3.3738858715010359E-15</v>
      </c>
      <c r="W417" s="47">
        <v>0.58599999999999997</v>
      </c>
    </row>
    <row r="418" spans="2:23" x14ac:dyDescent="0.25">
      <c r="B418" s="49">
        <f t="shared" si="82"/>
        <v>6.3428452447376251E-39</v>
      </c>
      <c r="C418" s="49">
        <f t="shared" si="82"/>
        <v>9.006325457687322E-37</v>
      </c>
      <c r="D418" s="49">
        <f t="shared" si="82"/>
        <v>6.3313775164533633E-35</v>
      </c>
      <c r="E418" s="49">
        <f t="shared" si="82"/>
        <v>2.9378779149163212E-33</v>
      </c>
      <c r="F418" s="49">
        <f t="shared" si="82"/>
        <v>1.0121974250833816E-31</v>
      </c>
      <c r="G418" s="49">
        <f t="shared" si="82"/>
        <v>2.7617166961215656E-30</v>
      </c>
      <c r="H418" s="49">
        <f t="shared" si="82"/>
        <v>6.2152872891739207E-29</v>
      </c>
      <c r="I418" s="49">
        <f t="shared" si="82"/>
        <v>1.1865941034326036E-27</v>
      </c>
      <c r="J418" s="49">
        <f t="shared" si="82"/>
        <v>1.9616087645876274E-26</v>
      </c>
      <c r="K418" s="49">
        <f t="shared" si="82"/>
        <v>2.8522393674591764E-25</v>
      </c>
      <c r="L418" s="49">
        <f t="shared" si="83"/>
        <v>3.6929367931617457E-24</v>
      </c>
      <c r="M418" s="49">
        <f t="shared" si="83"/>
        <v>4.3001939137097237E-23</v>
      </c>
      <c r="N418" s="49">
        <f t="shared" si="83"/>
        <v>4.5403664756802476E-22</v>
      </c>
      <c r="O418" s="49">
        <f t="shared" si="83"/>
        <v>4.3768174261341378E-21</v>
      </c>
      <c r="P418" s="49">
        <f t="shared" si="83"/>
        <v>3.8745270699631972E-20</v>
      </c>
      <c r="Q418" s="49">
        <f t="shared" si="83"/>
        <v>3.1655050270507868E-19</v>
      </c>
      <c r="R418" s="49">
        <f t="shared" si="83"/>
        <v>2.397258392200277E-18</v>
      </c>
      <c r="S418" s="49">
        <f t="shared" si="83"/>
        <v>1.6892042055807916E-17</v>
      </c>
      <c r="T418" s="49">
        <f t="shared" si="83"/>
        <v>1.1112136995540369E-16</v>
      </c>
      <c r="U418" s="49">
        <f t="shared" si="83"/>
        <v>6.8446319216938761E-16</v>
      </c>
      <c r="V418" s="49">
        <f t="shared" si="83"/>
        <v>3.9581296769126496E-15</v>
      </c>
      <c r="W418" s="47">
        <v>0.58499999999999996</v>
      </c>
    </row>
    <row r="419" spans="2:23" x14ac:dyDescent="0.25">
      <c r="B419" s="49">
        <f t="shared" si="82"/>
        <v>8.0689659938553872E-39</v>
      </c>
      <c r="C419" s="49">
        <f t="shared" si="82"/>
        <v>1.1410523438059188E-36</v>
      </c>
      <c r="D419" s="49">
        <f t="shared" si="82"/>
        <v>7.9887849792569247E-35</v>
      </c>
      <c r="E419" s="49">
        <f t="shared" si="82"/>
        <v>3.6918267478643206E-33</v>
      </c>
      <c r="F419" s="49">
        <f t="shared" si="82"/>
        <v>1.2667715974626702E-31</v>
      </c>
      <c r="G419" s="49">
        <f t="shared" si="82"/>
        <v>3.4422169458429574E-30</v>
      </c>
      <c r="H419" s="49">
        <f t="shared" si="82"/>
        <v>7.7151943910249927E-29</v>
      </c>
      <c r="I419" s="49">
        <f t="shared" si="82"/>
        <v>1.4669488163929561E-27</v>
      </c>
      <c r="J419" s="49">
        <f t="shared" si="82"/>
        <v>2.4151987056656829E-26</v>
      </c>
      <c r="K419" s="49">
        <f t="shared" si="82"/>
        <v>3.497476174253768E-25</v>
      </c>
      <c r="L419" s="49">
        <f t="shared" si="83"/>
        <v>4.509928409947558E-24</v>
      </c>
      <c r="M419" s="49">
        <f t="shared" si="83"/>
        <v>5.2301661890848337E-23</v>
      </c>
      <c r="N419" s="49">
        <f t="shared" si="83"/>
        <v>5.4998237269604836E-22</v>
      </c>
      <c r="O419" s="49">
        <f t="shared" si="83"/>
        <v>5.2801649406963429E-21</v>
      </c>
      <c r="P419" s="49">
        <f t="shared" si="83"/>
        <v>4.6552154515002874E-20</v>
      </c>
      <c r="Q419" s="49">
        <f t="shared" si="83"/>
        <v>3.787886923577287E-19</v>
      </c>
      <c r="R419" s="49">
        <f t="shared" si="83"/>
        <v>2.8569503928228681E-18</v>
      </c>
      <c r="S419" s="49">
        <f t="shared" si="83"/>
        <v>2.0049560754992323E-17</v>
      </c>
      <c r="T419" s="49">
        <f t="shared" si="83"/>
        <v>1.313579078567098E-16</v>
      </c>
      <c r="U419" s="49">
        <f t="shared" si="83"/>
        <v>8.0583440492751109E-16</v>
      </c>
      <c r="V419" s="49">
        <f t="shared" si="83"/>
        <v>4.6411330747459915E-15</v>
      </c>
      <c r="W419" s="47">
        <v>0.58399999999999996</v>
      </c>
    </row>
    <row r="420" spans="2:23" x14ac:dyDescent="0.25">
      <c r="B420" s="49">
        <f t="shared" si="82"/>
        <v>1.0258896500519293E-38</v>
      </c>
      <c r="C420" s="49">
        <f t="shared" si="82"/>
        <v>1.4448200890153059E-36</v>
      </c>
      <c r="D420" s="49">
        <f t="shared" si="82"/>
        <v>1.0074298399450729E-34</v>
      </c>
      <c r="E420" s="49">
        <f t="shared" si="82"/>
        <v>4.6366223034279558E-33</v>
      </c>
      <c r="F420" s="49">
        <f t="shared" si="82"/>
        <v>1.5844755212362528E-31</v>
      </c>
      <c r="G420" s="49">
        <f t="shared" si="82"/>
        <v>4.2879801695530036E-30</v>
      </c>
      <c r="H420" s="49">
        <f t="shared" si="82"/>
        <v>9.5717037350424131E-29</v>
      </c>
      <c r="I420" s="49">
        <f t="shared" si="82"/>
        <v>1.8125322453735885E-27</v>
      </c>
      <c r="J420" s="49">
        <f t="shared" si="82"/>
        <v>2.9720262800818858E-26</v>
      </c>
      <c r="K420" s="49">
        <f t="shared" si="82"/>
        <v>4.2863158076110304E-25</v>
      </c>
      <c r="L420" s="49">
        <f t="shared" si="83"/>
        <v>5.5046452270458109E-24</v>
      </c>
      <c r="M420" s="49">
        <f t="shared" si="83"/>
        <v>6.3577897266530494E-23</v>
      </c>
      <c r="N420" s="49">
        <f t="shared" si="83"/>
        <v>6.6584197457786667E-22</v>
      </c>
      <c r="O420" s="49">
        <f t="shared" si="83"/>
        <v>6.3665243437212478E-21</v>
      </c>
      <c r="P420" s="49">
        <f t="shared" si="83"/>
        <v>5.5902091016796721E-20</v>
      </c>
      <c r="Q420" s="49">
        <f t="shared" si="83"/>
        <v>4.5302223191513652E-19</v>
      </c>
      <c r="R420" s="49">
        <f t="shared" si="83"/>
        <v>3.4029878499547073E-18</v>
      </c>
      <c r="S420" s="49">
        <f t="shared" si="83"/>
        <v>2.3784759305930554E-17</v>
      </c>
      <c r="T420" s="49">
        <f t="shared" si="83"/>
        <v>1.5519845665001008E-16</v>
      </c>
      <c r="U420" s="49">
        <f t="shared" si="83"/>
        <v>9.4823375188535167E-16</v>
      </c>
      <c r="V420" s="49">
        <f t="shared" si="83"/>
        <v>5.439178188941428E-15</v>
      </c>
      <c r="W420" s="47">
        <v>0.58299999999999996</v>
      </c>
    </row>
    <row r="421" spans="2:23" x14ac:dyDescent="0.25">
      <c r="B421" s="49">
        <f t="shared" si="82"/>
        <v>1.303567749901946E-38</v>
      </c>
      <c r="C421" s="49">
        <f t="shared" si="82"/>
        <v>1.8284093587708781E-36</v>
      </c>
      <c r="D421" s="49">
        <f t="shared" si="82"/>
        <v>1.2697014478458541E-34</v>
      </c>
      <c r="E421" s="49">
        <f t="shared" si="82"/>
        <v>5.8199080390183863E-33</v>
      </c>
      <c r="F421" s="49">
        <f t="shared" si="82"/>
        <v>1.9807424819002481E-31</v>
      </c>
      <c r="G421" s="49">
        <f t="shared" si="82"/>
        <v>5.3385564231769613E-30</v>
      </c>
      <c r="H421" s="49">
        <f t="shared" si="82"/>
        <v>1.1868325207221458E-28</v>
      </c>
      <c r="I421" s="49">
        <f t="shared" si="82"/>
        <v>2.2382861988115377E-27</v>
      </c>
      <c r="J421" s="49">
        <f t="shared" si="82"/>
        <v>3.655213938079872E-26</v>
      </c>
      <c r="K421" s="49">
        <f t="shared" si="82"/>
        <v>5.25019254679196E-25</v>
      </c>
      <c r="L421" s="49">
        <f t="shared" si="83"/>
        <v>6.7150921102460064E-24</v>
      </c>
      <c r="M421" s="49">
        <f t="shared" si="83"/>
        <v>7.7243346333970686E-23</v>
      </c>
      <c r="N421" s="49">
        <f t="shared" si="83"/>
        <v>8.0567356793979164E-22</v>
      </c>
      <c r="O421" s="49">
        <f t="shared" si="83"/>
        <v>7.6722751474680636E-21</v>
      </c>
      <c r="P421" s="49">
        <f t="shared" si="83"/>
        <v>6.7094122810887977E-20</v>
      </c>
      <c r="Q421" s="49">
        <f t="shared" si="83"/>
        <v>5.4151625564105702E-19</v>
      </c>
      <c r="R421" s="49">
        <f t="shared" si="83"/>
        <v>4.0512485728939677E-18</v>
      </c>
      <c r="S421" s="49">
        <f t="shared" si="83"/>
        <v>2.8201017603161722E-17</v>
      </c>
      <c r="T421" s="49">
        <f t="shared" si="83"/>
        <v>1.8327027356509001E-16</v>
      </c>
      <c r="U421" s="49">
        <f t="shared" si="83"/>
        <v>1.1152181027558607E-15</v>
      </c>
      <c r="V421" s="49">
        <f t="shared" si="83"/>
        <v>6.3711627518969804E-15</v>
      </c>
      <c r="W421" s="47">
        <v>0.58199999999999996</v>
      </c>
    </row>
    <row r="422" spans="2:23" x14ac:dyDescent="0.25">
      <c r="B422" s="49">
        <f t="shared" si="82"/>
        <v>1.6554571985579432E-38</v>
      </c>
      <c r="C422" s="49">
        <f t="shared" si="82"/>
        <v>2.3125212775115343E-36</v>
      </c>
      <c r="D422" s="49">
        <f t="shared" si="82"/>
        <v>1.5993455522751565E-34</v>
      </c>
      <c r="E422" s="49">
        <f t="shared" si="82"/>
        <v>7.3010557533212529E-33</v>
      </c>
      <c r="F422" s="49">
        <f t="shared" si="82"/>
        <v>2.4747247012783328E-31</v>
      </c>
      <c r="G422" s="49">
        <f t="shared" si="82"/>
        <v>6.642821131454114E-30</v>
      </c>
      <c r="H422" s="49">
        <f t="shared" si="82"/>
        <v>1.470782795782299E-28</v>
      </c>
      <c r="I422" s="49">
        <f t="shared" si="82"/>
        <v>2.7625215120706543E-27</v>
      </c>
      <c r="J422" s="49">
        <f t="shared" si="82"/>
        <v>4.4929791170593059E-26</v>
      </c>
      <c r="K422" s="49">
        <f t="shared" si="82"/>
        <v>6.4273064884246115E-25</v>
      </c>
      <c r="L422" s="49">
        <f t="shared" si="83"/>
        <v>8.1872603729899671E-24</v>
      </c>
      <c r="M422" s="49">
        <f t="shared" si="83"/>
        <v>9.3795340825150061E-23</v>
      </c>
      <c r="N422" s="49">
        <f t="shared" si="83"/>
        <v>9.7434690716435795E-22</v>
      </c>
      <c r="O422" s="49">
        <f t="shared" si="83"/>
        <v>9.2408893736022324E-21</v>
      </c>
      <c r="P422" s="49">
        <f t="shared" si="83"/>
        <v>8.0484089426814536E-20</v>
      </c>
      <c r="Q422" s="49">
        <f t="shared" si="83"/>
        <v>6.4695475422598463E-19</v>
      </c>
      <c r="R422" s="49">
        <f t="shared" si="83"/>
        <v>4.8204670214940983E-18</v>
      </c>
      <c r="S422" s="49">
        <f t="shared" si="83"/>
        <v>3.3419799663168302E-17</v>
      </c>
      <c r="T422" s="49">
        <f t="shared" si="83"/>
        <v>2.1630722229120027E-16</v>
      </c>
      <c r="U422" s="49">
        <f t="shared" si="83"/>
        <v>1.3109312007571481E-15</v>
      </c>
      <c r="V422" s="49">
        <f t="shared" si="83"/>
        <v>7.4590090805312969E-15</v>
      </c>
      <c r="W422" s="47">
        <v>0.58099999999999996</v>
      </c>
    </row>
    <row r="423" spans="2:23" x14ac:dyDescent="0.25">
      <c r="B423" s="49">
        <f t="shared" ref="B423:K432" si="84">_xlfn.HYPGEOM.DIST(B$2,comau,tongtheN*$W423,tongtheN,TRUE)</f>
        <v>2.1011394700614019E-38</v>
      </c>
      <c r="C423" s="49">
        <f t="shared" si="84"/>
        <v>2.9231550125199052E-36</v>
      </c>
      <c r="D423" s="49">
        <f t="shared" si="84"/>
        <v>2.0134369762794946E-34</v>
      </c>
      <c r="E423" s="49">
        <f t="shared" si="84"/>
        <v>9.154012154511265E-33</v>
      </c>
      <c r="F423" s="49">
        <f t="shared" si="84"/>
        <v>3.0901765068218512E-31</v>
      </c>
      <c r="G423" s="49">
        <f t="shared" si="84"/>
        <v>8.2611410565733364E-30</v>
      </c>
      <c r="H423" s="49">
        <f t="shared" si="84"/>
        <v>1.8216613601558984E-28</v>
      </c>
      <c r="I423" s="49">
        <f t="shared" si="84"/>
        <v>3.4076655997152357E-27</v>
      </c>
      <c r="J423" s="49">
        <f t="shared" si="84"/>
        <v>5.5197384528121256E-26</v>
      </c>
      <c r="K423" s="49">
        <f t="shared" si="84"/>
        <v>7.8640550283488046E-25</v>
      </c>
      <c r="L423" s="49">
        <f t="shared" ref="L423:V432" si="85">_xlfn.HYPGEOM.DIST(L$2,comau,tongtheN*$W423,tongtheN,TRUE)</f>
        <v>9.9767765059163917E-24</v>
      </c>
      <c r="M423" s="49">
        <f t="shared" si="85"/>
        <v>1.1383288101988298E-22</v>
      </c>
      <c r="N423" s="49">
        <f t="shared" si="85"/>
        <v>1.1777026411643418E-21</v>
      </c>
      <c r="O423" s="49">
        <f t="shared" si="85"/>
        <v>1.1124287074902945E-20</v>
      </c>
      <c r="P423" s="49">
        <f t="shared" si="85"/>
        <v>9.6495193766570695E-20</v>
      </c>
      <c r="Q423" s="49">
        <f t="shared" si="85"/>
        <v>7.7251637516484779E-19</v>
      </c>
      <c r="R423" s="49">
        <f t="shared" si="85"/>
        <v>5.732736824172718E-18</v>
      </c>
      <c r="S423" s="49">
        <f t="shared" si="85"/>
        <v>3.9583743542776605E-17</v>
      </c>
      <c r="T423" s="49">
        <f t="shared" si="85"/>
        <v>2.55167450983467E-16</v>
      </c>
      <c r="U423" s="49">
        <f t="shared" si="85"/>
        <v>1.5401980286319722E-15</v>
      </c>
      <c r="V423" s="49">
        <f t="shared" si="85"/>
        <v>8.7281352194016671E-15</v>
      </c>
      <c r="W423" s="47">
        <v>0.57999999999999996</v>
      </c>
    </row>
    <row r="424" spans="2:23" x14ac:dyDescent="0.25">
      <c r="B424" s="49">
        <f t="shared" si="84"/>
        <v>2.6652966766340661E-38</v>
      </c>
      <c r="C424" s="49">
        <f t="shared" si="84"/>
        <v>3.6929457100501898E-36</v>
      </c>
      <c r="D424" s="49">
        <f t="shared" si="84"/>
        <v>2.5333194599350103E-34</v>
      </c>
      <c r="E424" s="49">
        <f t="shared" si="84"/>
        <v>1.1470826500342582E-32</v>
      </c>
      <c r="F424" s="49">
        <f t="shared" si="84"/>
        <v>3.8565441626411771E-31</v>
      </c>
      <c r="G424" s="49">
        <f t="shared" si="84"/>
        <v>1.0268035741975431E-29</v>
      </c>
      <c r="H424" s="49">
        <f t="shared" si="84"/>
        <v>2.2550066930594801E-28</v>
      </c>
      <c r="I424" s="49">
        <f t="shared" si="84"/>
        <v>4.2011732031928118E-27</v>
      </c>
      <c r="J424" s="49">
        <f t="shared" si="84"/>
        <v>6.7774473011309958E-26</v>
      </c>
      <c r="K424" s="49">
        <f t="shared" si="84"/>
        <v>9.6167619654818897E-25</v>
      </c>
      <c r="L424" s="49">
        <f t="shared" si="85"/>
        <v>1.2150885158597913E-23</v>
      </c>
      <c r="M424" s="49">
        <f t="shared" si="85"/>
        <v>1.3807703973863226E-22</v>
      </c>
      <c r="N424" s="49">
        <f t="shared" si="85"/>
        <v>1.4227422104154807E-21</v>
      </c>
      <c r="O424" s="49">
        <f t="shared" si="85"/>
        <v>1.3384445695983055E-20</v>
      </c>
      <c r="P424" s="49">
        <f t="shared" si="85"/>
        <v>1.1563049297124469E-19</v>
      </c>
      <c r="Q424" s="49">
        <f t="shared" si="85"/>
        <v>9.2196363946771172E-19</v>
      </c>
      <c r="R424" s="49">
        <f t="shared" si="85"/>
        <v>6.8140996650323546E-18</v>
      </c>
      <c r="S424" s="49">
        <f t="shared" si="85"/>
        <v>4.686026651774553E-17</v>
      </c>
      <c r="T424" s="49">
        <f t="shared" si="85"/>
        <v>3.008539277774924E-16</v>
      </c>
      <c r="U424" s="49">
        <f t="shared" si="85"/>
        <v>1.8086339458997756E-15</v>
      </c>
      <c r="V424" s="49">
        <f t="shared" si="85"/>
        <v>1.0207997424920057E-14</v>
      </c>
      <c r="W424" s="47">
        <v>0.57899999999999996</v>
      </c>
    </row>
    <row r="425" spans="2:23" x14ac:dyDescent="0.25">
      <c r="B425" s="49">
        <f t="shared" si="84"/>
        <v>3.3790230572220022E-38</v>
      </c>
      <c r="C425" s="49">
        <f t="shared" si="84"/>
        <v>4.6628357834927698E-36</v>
      </c>
      <c r="D425" s="49">
        <f t="shared" si="84"/>
        <v>3.1856583762779379E-34</v>
      </c>
      <c r="E425" s="49">
        <f t="shared" si="84"/>
        <v>1.4366019923932088E-32</v>
      </c>
      <c r="F425" s="49">
        <f t="shared" si="84"/>
        <v>4.810310004268097E-31</v>
      </c>
      <c r="G425" s="49">
        <f t="shared" si="84"/>
        <v>1.2755446037378946E-29</v>
      </c>
      <c r="H425" s="49">
        <f t="shared" si="84"/>
        <v>2.7899099175733069E-28</v>
      </c>
      <c r="I425" s="49">
        <f t="shared" si="84"/>
        <v>5.1766353761271273E-27</v>
      </c>
      <c r="J425" s="49">
        <f t="shared" si="84"/>
        <v>8.3172238625139226E-26</v>
      </c>
      <c r="K425" s="49">
        <f t="shared" si="84"/>
        <v>1.1753765015201991E-24</v>
      </c>
      <c r="L425" s="49">
        <f t="shared" si="85"/>
        <v>1.4790832895511283E-23</v>
      </c>
      <c r="M425" s="49">
        <f t="shared" si="85"/>
        <v>1.6739538479197011E-22</v>
      </c>
      <c r="N425" s="49">
        <f t="shared" si="85"/>
        <v>1.7178541649072468E-21</v>
      </c>
      <c r="O425" s="49">
        <f t="shared" si="85"/>
        <v>1.6095309822948949E-20</v>
      </c>
      <c r="P425" s="49">
        <f t="shared" si="85"/>
        <v>1.3848765660520962E-19</v>
      </c>
      <c r="Q425" s="49">
        <f t="shared" si="85"/>
        <v>1.0997478955523223E-18</v>
      </c>
      <c r="R425" s="49">
        <f t="shared" si="85"/>
        <v>8.0952350321135011E-18</v>
      </c>
      <c r="S425" s="49">
        <f t="shared" si="85"/>
        <v>5.5445769301038457E-17</v>
      </c>
      <c r="T425" s="49">
        <f t="shared" si="85"/>
        <v>3.5453828358137541E-16</v>
      </c>
      <c r="U425" s="49">
        <f t="shared" si="85"/>
        <v>2.122770845479445E-15</v>
      </c>
      <c r="V425" s="49">
        <f t="shared" si="85"/>
        <v>1.1932714476939898E-14</v>
      </c>
      <c r="W425" s="47">
        <v>0.57799999999999996</v>
      </c>
    </row>
    <row r="426" spans="2:23" x14ac:dyDescent="0.25">
      <c r="B426" s="49">
        <f t="shared" si="84"/>
        <v>4.2814692950087308E-38</v>
      </c>
      <c r="C426" s="49">
        <f t="shared" si="84"/>
        <v>5.88416148805804E-36</v>
      </c>
      <c r="D426" s="49">
        <f t="shared" si="84"/>
        <v>4.0037494702094269E-34</v>
      </c>
      <c r="E426" s="49">
        <f t="shared" si="84"/>
        <v>1.7981994385918629E-32</v>
      </c>
      <c r="F426" s="49">
        <f t="shared" si="84"/>
        <v>5.9966493373198041E-31</v>
      </c>
      <c r="G426" s="49">
        <f t="shared" si="84"/>
        <v>1.5836746060128782E-29</v>
      </c>
      <c r="H426" s="49">
        <f t="shared" si="84"/>
        <v>3.4498145394488991E-28</v>
      </c>
      <c r="I426" s="49">
        <f t="shared" si="84"/>
        <v>6.3751291484282064E-27</v>
      </c>
      <c r="J426" s="49">
        <f t="shared" si="84"/>
        <v>1.0201317349803898E-25</v>
      </c>
      <c r="K426" s="49">
        <f t="shared" si="84"/>
        <v>1.4357934711884477E-24</v>
      </c>
      <c r="L426" s="49">
        <f t="shared" si="85"/>
        <v>1.799473223947536E-23</v>
      </c>
      <c r="M426" s="49">
        <f t="shared" si="85"/>
        <v>2.0283119619424968E-22</v>
      </c>
      <c r="N426" s="49">
        <f t="shared" si="85"/>
        <v>2.073083749379392E-21</v>
      </c>
      <c r="O426" s="49">
        <f t="shared" si="85"/>
        <v>1.9345056226619349E-20</v>
      </c>
      <c r="P426" s="49">
        <f t="shared" si="85"/>
        <v>1.6577639479364663E-19</v>
      </c>
      <c r="Q426" s="49">
        <f t="shared" si="85"/>
        <v>1.311132723245807E-18</v>
      </c>
      <c r="R426" s="49">
        <f t="shared" si="85"/>
        <v>9.6122676905922604E-18</v>
      </c>
      <c r="S426" s="49">
        <f t="shared" si="85"/>
        <v>6.557053634915782E-17</v>
      </c>
      <c r="T426" s="49">
        <f t="shared" si="85"/>
        <v>4.1758848076752678E-16</v>
      </c>
      <c r="U426" s="49">
        <f t="shared" si="85"/>
        <v>2.4902029100501546E-15</v>
      </c>
      <c r="V426" s="49">
        <f t="shared" si="85"/>
        <v>1.3941785797823366E-14</v>
      </c>
      <c r="W426" s="47">
        <v>0.57699999999999996</v>
      </c>
    </row>
    <row r="427" spans="2:23" x14ac:dyDescent="0.25">
      <c r="B427" s="49">
        <f t="shared" si="84"/>
        <v>5.4219030222549342E-38</v>
      </c>
      <c r="C427" s="49">
        <f t="shared" si="84"/>
        <v>7.4212565807337323E-36</v>
      </c>
      <c r="D427" s="49">
        <f t="shared" si="84"/>
        <v>5.0291450193823218E-34</v>
      </c>
      <c r="E427" s="49">
        <f t="shared" si="84"/>
        <v>2.2495725067928254E-32</v>
      </c>
      <c r="F427" s="49">
        <f t="shared" si="84"/>
        <v>7.4714717975655207E-31</v>
      </c>
      <c r="G427" s="49">
        <f t="shared" si="84"/>
        <v>1.9651665098785245E-29</v>
      </c>
      <c r="H427" s="49">
        <f t="shared" si="84"/>
        <v>4.2634934017669194E-28</v>
      </c>
      <c r="I427" s="49">
        <f t="shared" si="84"/>
        <v>7.8468592452084355E-27</v>
      </c>
      <c r="J427" s="49">
        <f t="shared" si="84"/>
        <v>1.2505491837720044E-25</v>
      </c>
      <c r="K427" s="49">
        <f t="shared" si="84"/>
        <v>1.7529712272854179E-24</v>
      </c>
      <c r="L427" s="49">
        <f t="shared" si="85"/>
        <v>2.1881000995488293E-23</v>
      </c>
      <c r="M427" s="49">
        <f t="shared" si="85"/>
        <v>2.4563840149016903E-22</v>
      </c>
      <c r="N427" s="49">
        <f t="shared" si="85"/>
        <v>2.500453862932671E-21</v>
      </c>
      <c r="O427" s="49">
        <f t="shared" si="85"/>
        <v>2.3238778925226402E-20</v>
      </c>
      <c r="P427" s="49">
        <f t="shared" si="85"/>
        <v>1.9833902885240269E-19</v>
      </c>
      <c r="Q427" s="49">
        <f t="shared" si="85"/>
        <v>1.5623389575315491E-18</v>
      </c>
      <c r="R427" s="49">
        <f t="shared" si="85"/>
        <v>1.1407712494761553E-17</v>
      </c>
      <c r="S427" s="49">
        <f t="shared" si="85"/>
        <v>7.7504444618490069E-17</v>
      </c>
      <c r="T427" s="49">
        <f t="shared" si="85"/>
        <v>4.9160090547766492E-16</v>
      </c>
      <c r="U427" s="49">
        <f t="shared" si="85"/>
        <v>2.919754928341121E-15</v>
      </c>
      <c r="V427" s="49">
        <f t="shared" si="85"/>
        <v>1.6280917058768512E-14</v>
      </c>
      <c r="W427" s="47">
        <v>0.57599999999999996</v>
      </c>
    </row>
    <row r="428" spans="2:23" x14ac:dyDescent="0.25">
      <c r="B428" s="49">
        <f t="shared" si="84"/>
        <v>6.8622894724837691E-38</v>
      </c>
      <c r="C428" s="49">
        <f t="shared" si="84"/>
        <v>9.3546994782458557E-36</v>
      </c>
      <c r="D428" s="49">
        <f t="shared" si="84"/>
        <v>6.313673333752788E-34</v>
      </c>
      <c r="E428" s="49">
        <f t="shared" si="84"/>
        <v>2.8127036372153385E-32</v>
      </c>
      <c r="F428" s="49">
        <f t="shared" si="84"/>
        <v>9.3039350590650825E-31</v>
      </c>
      <c r="G428" s="49">
        <f t="shared" si="84"/>
        <v>2.437232267766637E-29</v>
      </c>
      <c r="H428" s="49">
        <f t="shared" si="84"/>
        <v>5.26624150234289E-28</v>
      </c>
      <c r="I428" s="49">
        <f t="shared" si="84"/>
        <v>9.6531540203284411E-27</v>
      </c>
      <c r="J428" s="49">
        <f t="shared" si="84"/>
        <v>1.5321912091852625E-25</v>
      </c>
      <c r="K428" s="49">
        <f t="shared" si="84"/>
        <v>2.1390771452906296E-24</v>
      </c>
      <c r="L428" s="49">
        <f t="shared" si="85"/>
        <v>2.6592490283413231E-23</v>
      </c>
      <c r="M428" s="49">
        <f t="shared" si="85"/>
        <v>2.9732332687782017E-22</v>
      </c>
      <c r="N428" s="49">
        <f t="shared" si="85"/>
        <v>3.0143469881130804E-21</v>
      </c>
      <c r="O428" s="49">
        <f t="shared" si="85"/>
        <v>2.7901670532026488E-20</v>
      </c>
      <c r="P428" s="49">
        <f t="shared" si="85"/>
        <v>2.3717475870799005E-19</v>
      </c>
      <c r="Q428" s="49">
        <f t="shared" si="85"/>
        <v>1.860715033402569E-18</v>
      </c>
      <c r="R428" s="49">
        <f t="shared" si="85"/>
        <v>1.3531579339605554E-17</v>
      </c>
      <c r="S428" s="49">
        <f t="shared" si="85"/>
        <v>9.1563610797767878E-17</v>
      </c>
      <c r="T428" s="49">
        <f t="shared" si="85"/>
        <v>5.78437572059139E-16</v>
      </c>
      <c r="U428" s="49">
        <f t="shared" si="85"/>
        <v>3.4216765655589334E-15</v>
      </c>
      <c r="V428" s="49">
        <f t="shared" si="85"/>
        <v>1.900296888610844E-14</v>
      </c>
      <c r="W428" s="47">
        <v>0.57499999999999996</v>
      </c>
    </row>
    <row r="429" spans="2:23" x14ac:dyDescent="0.25">
      <c r="B429" s="49">
        <f t="shared" si="84"/>
        <v>8.6805218655126318E-38</v>
      </c>
      <c r="C429" s="49">
        <f t="shared" si="84"/>
        <v>1.1785360809360416E-35</v>
      </c>
      <c r="D429" s="49">
        <f t="shared" si="84"/>
        <v>7.9219454120770804E-34</v>
      </c>
      <c r="E429" s="49">
        <f t="shared" si="84"/>
        <v>3.5148830873951519E-32</v>
      </c>
      <c r="F429" s="49">
        <f t="shared" si="84"/>
        <v>1.1579538566124422E-30</v>
      </c>
      <c r="G429" s="49">
        <f t="shared" si="84"/>
        <v>3.0210624681128853E-29</v>
      </c>
      <c r="H429" s="49">
        <f t="shared" si="84"/>
        <v>6.501331613155497E-28</v>
      </c>
      <c r="I429" s="49">
        <f t="shared" si="84"/>
        <v>1.1868890773340846E-26</v>
      </c>
      <c r="J429" s="49">
        <f t="shared" si="84"/>
        <v>1.8762635279773969E-25</v>
      </c>
      <c r="K429" s="49">
        <f t="shared" si="84"/>
        <v>2.6088430291295626E-24</v>
      </c>
      <c r="L429" s="49">
        <f t="shared" si="85"/>
        <v>3.2301436652686624E-23</v>
      </c>
      <c r="M429" s="49">
        <f t="shared" si="85"/>
        <v>3.5969456840210102E-22</v>
      </c>
      <c r="N429" s="49">
        <f t="shared" si="85"/>
        <v>3.6319594399606159E-21</v>
      </c>
      <c r="O429" s="49">
        <f t="shared" si="85"/>
        <v>3.3482789704786152E-20</v>
      </c>
      <c r="P429" s="49">
        <f t="shared" si="85"/>
        <v>2.8346827698338224E-19</v>
      </c>
      <c r="Q429" s="49">
        <f t="shared" si="85"/>
        <v>2.2149369719343259E-18</v>
      </c>
      <c r="R429" s="49">
        <f t="shared" si="85"/>
        <v>1.6042664744275378E-17</v>
      </c>
      <c r="S429" s="49">
        <f t="shared" si="85"/>
        <v>1.0811812740849306E-16</v>
      </c>
      <c r="T429" s="49">
        <f t="shared" si="85"/>
        <v>6.8026923235236374E-16</v>
      </c>
      <c r="U429" s="49">
        <f t="shared" si="85"/>
        <v>4.0078664778558863E-15</v>
      </c>
      <c r="V429" s="49">
        <f t="shared" si="85"/>
        <v>2.2169046477344707E-14</v>
      </c>
      <c r="W429" s="47">
        <v>0.57399999999999995</v>
      </c>
    </row>
    <row r="430" spans="2:23" x14ac:dyDescent="0.25">
      <c r="B430" s="49">
        <f t="shared" si="84"/>
        <v>1.0974462968739466E-37</v>
      </c>
      <c r="C430" s="49">
        <f t="shared" si="84"/>
        <v>1.4839445991397502E-35</v>
      </c>
      <c r="D430" s="49">
        <f t="shared" si="84"/>
        <v>9.934464636630403E-34</v>
      </c>
      <c r="E430" s="49">
        <f t="shared" si="84"/>
        <v>4.3899725467445648E-32</v>
      </c>
      <c r="F430" s="49">
        <f t="shared" si="84"/>
        <v>1.4403929142010335E-30</v>
      </c>
      <c r="G430" s="49">
        <f t="shared" si="84"/>
        <v>3.7427322785136109E-29</v>
      </c>
      <c r="H430" s="49">
        <f t="shared" si="84"/>
        <v>8.0217896836334291E-28</v>
      </c>
      <c r="I430" s="49">
        <f t="shared" si="84"/>
        <v>1.4585441303818851E-26</v>
      </c>
      <c r="J430" s="49">
        <f t="shared" si="84"/>
        <v>2.2963833600024767E-25</v>
      </c>
      <c r="K430" s="49">
        <f t="shared" si="84"/>
        <v>3.1800963597602386E-24</v>
      </c>
      <c r="L430" s="49">
        <f t="shared" si="85"/>
        <v>3.9215399760899776E-23</v>
      </c>
      <c r="M430" s="49">
        <f t="shared" si="85"/>
        <v>4.3492253218332253E-22</v>
      </c>
      <c r="N430" s="49">
        <f t="shared" si="85"/>
        <v>4.3738413552983215E-21</v>
      </c>
      <c r="O430" s="49">
        <f t="shared" si="85"/>
        <v>4.0159520420459729E-20</v>
      </c>
      <c r="P430" s="49">
        <f t="shared" si="85"/>
        <v>3.3862349130128266E-19</v>
      </c>
      <c r="Q430" s="49">
        <f t="shared" si="85"/>
        <v>2.6352430473501516E-18</v>
      </c>
      <c r="R430" s="49">
        <f t="shared" si="85"/>
        <v>1.9010060833503805E-17</v>
      </c>
      <c r="S430" s="49">
        <f t="shared" si="85"/>
        <v>1.2760106163329181E-16</v>
      </c>
      <c r="T430" s="49">
        <f t="shared" si="85"/>
        <v>7.996253020619196E-16</v>
      </c>
      <c r="U430" s="49">
        <f t="shared" si="85"/>
        <v>4.6921307265868661E-15</v>
      </c>
      <c r="V430" s="49">
        <f t="shared" si="85"/>
        <v>2.5849750432661173E-14</v>
      </c>
      <c r="W430" s="47">
        <v>0.57299999999999995</v>
      </c>
    </row>
    <row r="431" spans="2:23" x14ac:dyDescent="0.25">
      <c r="B431" s="49">
        <f t="shared" si="84"/>
        <v>1.3866998863926478E-37</v>
      </c>
      <c r="C431" s="49">
        <f t="shared" si="84"/>
        <v>1.8674774144617567E-35</v>
      </c>
      <c r="D431" s="49">
        <f t="shared" si="84"/>
        <v>1.2451482565257668E-33</v>
      </c>
      <c r="E431" s="49">
        <f t="shared" si="84"/>
        <v>5.4799653063202656E-32</v>
      </c>
      <c r="F431" s="49">
        <f t="shared" si="84"/>
        <v>1.7907579850681291E-30</v>
      </c>
      <c r="G431" s="49">
        <f t="shared" si="84"/>
        <v>4.6343105519938393E-29</v>
      </c>
      <c r="H431" s="49">
        <f t="shared" si="84"/>
        <v>9.8925591656425695E-28</v>
      </c>
      <c r="I431" s="49">
        <f t="shared" si="84"/>
        <v>1.7914247459662393E-26</v>
      </c>
      <c r="J431" s="49">
        <f t="shared" si="84"/>
        <v>2.8090898220149708E-25</v>
      </c>
      <c r="K431" s="49">
        <f t="shared" si="84"/>
        <v>3.8743996818430728E-24</v>
      </c>
      <c r="L431" s="49">
        <f t="shared" si="85"/>
        <v>4.7584378145439202E-23</v>
      </c>
      <c r="M431" s="49">
        <f t="shared" si="85"/>
        <v>5.2561048231962446E-22</v>
      </c>
      <c r="N431" s="49">
        <f t="shared" si="85"/>
        <v>5.2645382818002606E-21</v>
      </c>
      <c r="O431" s="49">
        <f t="shared" si="85"/>
        <v>4.8142847459477387E-20</v>
      </c>
      <c r="P431" s="49">
        <f t="shared" si="85"/>
        <v>4.0430324677726664E-19</v>
      </c>
      <c r="Q431" s="49">
        <f t="shared" si="85"/>
        <v>3.1337090114602161E-18</v>
      </c>
      <c r="R431" s="49">
        <f t="shared" si="85"/>
        <v>2.2514917428324943E-17</v>
      </c>
      <c r="S431" s="49">
        <f t="shared" si="85"/>
        <v>1.5051891776236402E-16</v>
      </c>
      <c r="T431" s="49">
        <f t="shared" si="85"/>
        <v>9.3945165345207249E-16</v>
      </c>
      <c r="U431" s="49">
        <f t="shared" si="85"/>
        <v>5.4904805937053703E-15</v>
      </c>
      <c r="V431" s="49">
        <f t="shared" si="85"/>
        <v>3.0126611941875022E-14</v>
      </c>
      <c r="W431" s="47">
        <v>0.57199999999999995</v>
      </c>
    </row>
    <row r="432" spans="2:23" x14ac:dyDescent="0.25">
      <c r="B432" s="49">
        <f t="shared" si="84"/>
        <v>1.7512355111888359E-37</v>
      </c>
      <c r="C432" s="49">
        <f t="shared" si="84"/>
        <v>2.3488592385774592E-35</v>
      </c>
      <c r="D432" s="49">
        <f t="shared" si="84"/>
        <v>1.5597777341334955E-33</v>
      </c>
      <c r="E432" s="49">
        <f t="shared" si="84"/>
        <v>6.8369115831398626E-32</v>
      </c>
      <c r="F432" s="49">
        <f t="shared" si="84"/>
        <v>2.2251539521230255E-30</v>
      </c>
      <c r="G432" s="49">
        <f t="shared" si="84"/>
        <v>5.7352169581664672E-29</v>
      </c>
      <c r="H432" s="49">
        <f t="shared" si="84"/>
        <v>1.2193138104850634E-27</v>
      </c>
      <c r="I432" s="49">
        <f t="shared" si="84"/>
        <v>2.1991159204425539E-26</v>
      </c>
      <c r="J432" s="49">
        <f t="shared" si="84"/>
        <v>3.4344605321082955E-25</v>
      </c>
      <c r="K432" s="49">
        <f t="shared" si="84"/>
        <v>4.717819749919052E-24</v>
      </c>
      <c r="L432" s="49">
        <f t="shared" si="85"/>
        <v>5.7709332518960139E-23</v>
      </c>
      <c r="M432" s="49">
        <f t="shared" si="85"/>
        <v>6.3487927785628627E-22</v>
      </c>
      <c r="N432" s="49">
        <f t="shared" si="85"/>
        <v>6.3333530996474022E-21</v>
      </c>
      <c r="O432" s="49">
        <f t="shared" si="85"/>
        <v>5.7683594366060025E-20</v>
      </c>
      <c r="P432" s="49">
        <f t="shared" si="85"/>
        <v>4.8247609291130585E-19</v>
      </c>
      <c r="Q432" s="49">
        <f t="shared" si="85"/>
        <v>3.7245707239346392E-18</v>
      </c>
      <c r="R432" s="49">
        <f t="shared" si="85"/>
        <v>2.6652498677092803E-17</v>
      </c>
      <c r="S432" s="49">
        <f t="shared" si="85"/>
        <v>1.7746379526498776E-16</v>
      </c>
      <c r="T432" s="49">
        <f t="shared" si="85"/>
        <v>1.1031774805892045E-15</v>
      </c>
      <c r="U432" s="49">
        <f t="shared" si="85"/>
        <v>6.4214756358832808E-15</v>
      </c>
      <c r="V432" s="49">
        <f t="shared" si="85"/>
        <v>3.5093738683340366E-14</v>
      </c>
      <c r="W432" s="47">
        <v>0.57099999999999995</v>
      </c>
    </row>
    <row r="433" spans="2:23" x14ac:dyDescent="0.25">
      <c r="B433" s="49">
        <f t="shared" ref="B433:K442" si="86">_xlfn.HYPGEOM.DIST(B$2,comau,tongtheN*$W433,tongtheN,TRUE)</f>
        <v>2.2108271074464146E-37</v>
      </c>
      <c r="C433" s="49">
        <f t="shared" si="86"/>
        <v>2.9532919661681732E-35</v>
      </c>
      <c r="D433" s="49">
        <f t="shared" si="86"/>
        <v>1.9532225931331943E-33</v>
      </c>
      <c r="E433" s="49">
        <f t="shared" si="86"/>
        <v>8.5268594333728181E-32</v>
      </c>
      <c r="F433" s="49">
        <f t="shared" si="86"/>
        <v>2.7639477881197668E-30</v>
      </c>
      <c r="G433" s="49">
        <f t="shared" si="86"/>
        <v>7.0951371394261874E-29</v>
      </c>
      <c r="H433" s="49">
        <f t="shared" si="86"/>
        <v>1.5023398190200447E-27</v>
      </c>
      <c r="I433" s="49">
        <f t="shared" si="86"/>
        <v>2.6986288168324203E-26</v>
      </c>
      <c r="J433" s="49">
        <f t="shared" si="86"/>
        <v>4.1975564340789484E-25</v>
      </c>
      <c r="K433" s="49">
        <f t="shared" si="86"/>
        <v>5.7427910508519911E-24</v>
      </c>
      <c r="L433" s="49">
        <f t="shared" ref="L433:V442" si="87">_xlfn.HYPGEOM.DIST(L$2,comau,tongtheN*$W433,tongtheN,TRUE)</f>
        <v>6.9963591138216483E-23</v>
      </c>
      <c r="M433" s="49">
        <f t="shared" si="87"/>
        <v>7.6658853964706351E-22</v>
      </c>
      <c r="N433" s="49">
        <f t="shared" si="87"/>
        <v>7.6164185772018097E-21</v>
      </c>
      <c r="O433" s="49">
        <f t="shared" si="87"/>
        <v>6.9090160535824601E-20</v>
      </c>
      <c r="P433" s="49">
        <f t="shared" si="87"/>
        <v>5.7555572746282285E-19</v>
      </c>
      <c r="Q433" s="49">
        <f t="shared" si="87"/>
        <v>4.4252363173693297E-18</v>
      </c>
      <c r="R433" s="49">
        <f t="shared" si="87"/>
        <v>3.1538996128971424E-17</v>
      </c>
      <c r="S433" s="49">
        <f t="shared" si="87"/>
        <v>2.0915608043151653E-16</v>
      </c>
      <c r="T433" s="49">
        <f t="shared" si="87"/>
        <v>1.2949651738594242E-15</v>
      </c>
      <c r="U433" s="49">
        <f t="shared" si="87"/>
        <v>7.507593890430813E-15</v>
      </c>
      <c r="V433" s="49">
        <f t="shared" si="87"/>
        <v>4.0864873101240006E-14</v>
      </c>
      <c r="W433" s="47">
        <v>0.56999999999999995</v>
      </c>
    </row>
    <row r="434" spans="2:23" x14ac:dyDescent="0.25">
      <c r="B434" s="49">
        <f t="shared" si="86"/>
        <v>2.7889819997516816E-37</v>
      </c>
      <c r="C434" s="49">
        <f t="shared" si="86"/>
        <v>3.7105561420161584E-35</v>
      </c>
      <c r="D434" s="49">
        <f t="shared" si="86"/>
        <v>2.4441424838014274E-33</v>
      </c>
      <c r="E434" s="49">
        <f t="shared" si="86"/>
        <v>1.0626898479156079E-31</v>
      </c>
      <c r="F434" s="49">
        <f t="shared" si="86"/>
        <v>3.4307606942856549E-30</v>
      </c>
      <c r="G434" s="49">
        <f t="shared" si="86"/>
        <v>8.7713227504288928E-29</v>
      </c>
      <c r="H434" s="49">
        <f t="shared" si="86"/>
        <v>1.8497658430144016E-27</v>
      </c>
      <c r="I434" s="49">
        <f t="shared" si="86"/>
        <v>3.3093036384230201E-26</v>
      </c>
      <c r="J434" s="49">
        <f t="shared" si="86"/>
        <v>5.1266720055515498E-25</v>
      </c>
      <c r="K434" s="49">
        <f t="shared" si="86"/>
        <v>6.9856722838956712E-24</v>
      </c>
      <c r="L434" s="49">
        <f t="shared" si="87"/>
        <v>8.4762587843169224E-23</v>
      </c>
      <c r="M434" s="49">
        <f t="shared" si="87"/>
        <v>9.2500082281708634E-22</v>
      </c>
      <c r="N434" s="49">
        <f t="shared" si="87"/>
        <v>9.1533293787195977E-21</v>
      </c>
      <c r="O434" s="49">
        <f t="shared" si="87"/>
        <v>8.2697777356939222E-20</v>
      </c>
      <c r="P434" s="49">
        <f t="shared" si="87"/>
        <v>6.8614401172333909E-19</v>
      </c>
      <c r="Q434" s="49">
        <f t="shared" si="87"/>
        <v>5.2543088842523461E-18</v>
      </c>
      <c r="R434" s="49">
        <f t="shared" si="87"/>
        <v>3.7297461131182249E-17</v>
      </c>
      <c r="S434" s="49">
        <f t="shared" si="87"/>
        <v>2.4635153846109189E-16</v>
      </c>
      <c r="T434" s="49">
        <f t="shared" si="87"/>
        <v>1.5191387354419543E-15</v>
      </c>
      <c r="U434" s="49">
        <f t="shared" si="87"/>
        <v>8.7719460896983522E-15</v>
      </c>
      <c r="V434" s="49">
        <f t="shared" si="87"/>
        <v>4.7555694596573592E-14</v>
      </c>
      <c r="W434" s="47">
        <v>0.56899999999999995</v>
      </c>
    </row>
    <row r="435" spans="2:23" x14ac:dyDescent="0.25">
      <c r="B435" s="49">
        <f t="shared" si="86"/>
        <v>3.5164367092556382E-37</v>
      </c>
      <c r="C435" s="49">
        <f t="shared" si="86"/>
        <v>4.6594948628112264E-35</v>
      </c>
      <c r="D435" s="49">
        <f t="shared" si="86"/>
        <v>3.0568178038388623E-33</v>
      </c>
      <c r="E435" s="49">
        <f t="shared" si="86"/>
        <v>1.3237112562924908E-31</v>
      </c>
      <c r="F435" s="49">
        <f t="shared" si="86"/>
        <v>4.2561935616404739E-30</v>
      </c>
      <c r="G435" s="49">
        <f t="shared" si="86"/>
        <v>1.0837791637180212E-28</v>
      </c>
      <c r="H435" s="49">
        <f t="shared" si="86"/>
        <v>2.2763435062704261E-27</v>
      </c>
      <c r="I435" s="49">
        <f t="shared" si="86"/>
        <v>4.056052864320515E-26</v>
      </c>
      <c r="J435" s="49">
        <f t="shared" si="86"/>
        <v>6.2581953229122095E-25</v>
      </c>
      <c r="K435" s="49">
        <f t="shared" si="86"/>
        <v>8.4931552106608492E-24</v>
      </c>
      <c r="L435" s="49">
        <f t="shared" si="87"/>
        <v>1.0263915183755417E-22</v>
      </c>
      <c r="M435" s="49">
        <f t="shared" si="87"/>
        <v>1.115577447434793E-21</v>
      </c>
      <c r="N435" s="49">
        <f t="shared" si="87"/>
        <v>1.0994773069375157E-20</v>
      </c>
      <c r="O435" s="49">
        <f t="shared" si="87"/>
        <v>9.893534057221887E-20</v>
      </c>
      <c r="P435" s="49">
        <f t="shared" si="87"/>
        <v>8.1756868527757599E-19</v>
      </c>
      <c r="Q435" s="49">
        <f t="shared" si="87"/>
        <v>6.2355807229259586E-18</v>
      </c>
      <c r="R435" s="49">
        <f t="shared" si="87"/>
        <v>4.4085315648273977E-17</v>
      </c>
      <c r="S435" s="49">
        <f t="shared" si="87"/>
        <v>2.900176689966879E-16</v>
      </c>
      <c r="T435" s="49">
        <f t="shared" si="87"/>
        <v>1.7812394430364489E-15</v>
      </c>
      <c r="U435" s="49">
        <f t="shared" si="87"/>
        <v>1.0244193754301901E-14</v>
      </c>
      <c r="V435" s="49">
        <f t="shared" si="87"/>
        <v>5.5314971550036896E-14</v>
      </c>
      <c r="W435" s="47">
        <v>0.56799999999999995</v>
      </c>
    </row>
    <row r="436" spans="2:23" x14ac:dyDescent="0.25">
      <c r="B436" s="49">
        <f t="shared" si="86"/>
        <v>4.4312590946075235E-37</v>
      </c>
      <c r="C436" s="49">
        <f t="shared" si="86"/>
        <v>5.8479943028776471E-35</v>
      </c>
      <c r="D436" s="49">
        <f t="shared" si="86"/>
        <v>3.8210427146974908E-33</v>
      </c>
      <c r="E436" s="49">
        <f t="shared" si="86"/>
        <v>1.6479739026364263E-31</v>
      </c>
      <c r="F436" s="49">
        <f t="shared" si="86"/>
        <v>5.2774446736345269E-30</v>
      </c>
      <c r="G436" s="49">
        <f t="shared" si="86"/>
        <v>1.3384092083885366E-28</v>
      </c>
      <c r="H436" s="49">
        <f t="shared" si="86"/>
        <v>2.7998340935923528E-27</v>
      </c>
      <c r="I436" s="49">
        <f t="shared" si="86"/>
        <v>4.9687265697063182E-26</v>
      </c>
      <c r="J436" s="49">
        <f t="shared" si="86"/>
        <v>7.6355134283769905E-25</v>
      </c>
      <c r="K436" s="49">
        <f t="shared" si="86"/>
        <v>1.0320637354336114E-23</v>
      </c>
      <c r="L436" s="49">
        <f t="shared" si="87"/>
        <v>1.2422229937382512E-22</v>
      </c>
      <c r="M436" s="49">
        <f t="shared" si="87"/>
        <v>1.3447329836628461E-21</v>
      </c>
      <c r="N436" s="49">
        <f t="shared" si="87"/>
        <v>1.3199979032706532E-20</v>
      </c>
      <c r="O436" s="49">
        <f t="shared" si="87"/>
        <v>1.1830141345532439E-19</v>
      </c>
      <c r="P436" s="49">
        <f t="shared" si="87"/>
        <v>9.7367756467504681E-19</v>
      </c>
      <c r="Q436" s="49">
        <f t="shared" si="87"/>
        <v>7.3964144746319636E-18</v>
      </c>
      <c r="R436" s="49">
        <f t="shared" si="87"/>
        <v>5.2082612367126961E-17</v>
      </c>
      <c r="S436" s="49">
        <f t="shared" si="87"/>
        <v>3.4125486863927838E-16</v>
      </c>
      <c r="T436" s="49">
        <f t="shared" si="87"/>
        <v>2.087533706431478E-15</v>
      </c>
      <c r="U436" s="49">
        <f t="shared" si="87"/>
        <v>1.1957683605806574E-14</v>
      </c>
      <c r="V436" s="49">
        <f t="shared" si="87"/>
        <v>6.4308951376645652E-14</v>
      </c>
      <c r="W436" s="47">
        <v>0.56699999999999995</v>
      </c>
    </row>
    <row r="437" spans="2:23" x14ac:dyDescent="0.25">
      <c r="B437" s="49">
        <f t="shared" si="86"/>
        <v>5.5810999651280848E-37</v>
      </c>
      <c r="C437" s="49">
        <f t="shared" si="86"/>
        <v>7.3357475376615076E-35</v>
      </c>
      <c r="D437" s="49">
        <f t="shared" si="86"/>
        <v>4.7738039423415469E-33</v>
      </c>
      <c r="E437" s="49">
        <f t="shared" si="86"/>
        <v>2.050589663534048E-31</v>
      </c>
      <c r="F437" s="49">
        <f t="shared" si="86"/>
        <v>6.5403109196608117E-30</v>
      </c>
      <c r="G437" s="49">
        <f t="shared" si="86"/>
        <v>1.6520015322643334E-28</v>
      </c>
      <c r="H437" s="49">
        <f t="shared" si="86"/>
        <v>3.4419236685278701E-27</v>
      </c>
      <c r="I437" s="49">
        <f t="shared" si="86"/>
        <v>6.0836197126324915E-26</v>
      </c>
      <c r="J437" s="49">
        <f t="shared" si="86"/>
        <v>9.3111619473209025E-25</v>
      </c>
      <c r="K437" s="49">
        <f t="shared" si="86"/>
        <v>1.2534918577921541E-23</v>
      </c>
      <c r="L437" s="49">
        <f t="shared" si="87"/>
        <v>1.5026736041189111E-22</v>
      </c>
      <c r="M437" s="49">
        <f t="shared" si="87"/>
        <v>1.6201380460935883E-21</v>
      </c>
      <c r="N437" s="49">
        <f t="shared" si="87"/>
        <v>1.5839479167905239E-20</v>
      </c>
      <c r="O437" s="49">
        <f t="shared" si="87"/>
        <v>1.4138722030027192E-19</v>
      </c>
      <c r="P437" s="49">
        <f t="shared" si="87"/>
        <v>1.1590145384328103E-18</v>
      </c>
      <c r="Q437" s="49">
        <f t="shared" si="87"/>
        <v>8.7689874815421979E-18</v>
      </c>
      <c r="R437" s="49">
        <f t="shared" si="87"/>
        <v>6.1500198531449047E-17</v>
      </c>
      <c r="S437" s="49">
        <f t="shared" si="87"/>
        <v>4.0134632701273538E-16</v>
      </c>
      <c r="T437" s="49">
        <f t="shared" si="87"/>
        <v>2.4452981596855597E-15</v>
      </c>
      <c r="U437" s="49">
        <f t="shared" si="87"/>
        <v>1.3950975164870766E-14</v>
      </c>
      <c r="V437" s="49">
        <f t="shared" si="87"/>
        <v>7.4729058090172323E-14</v>
      </c>
      <c r="W437" s="47">
        <v>0.56599999999999995</v>
      </c>
    </row>
    <row r="438" spans="2:23" x14ac:dyDescent="0.25">
      <c r="B438" s="49">
        <f t="shared" si="86"/>
        <v>7.0255745132760313E-37</v>
      </c>
      <c r="C438" s="49">
        <f t="shared" si="86"/>
        <v>9.1971272543945744E-35</v>
      </c>
      <c r="D438" s="49">
        <f t="shared" si="86"/>
        <v>5.9609935077495112E-33</v>
      </c>
      <c r="E438" s="49">
        <f t="shared" si="86"/>
        <v>2.5502313769740551E-31</v>
      </c>
      <c r="F438" s="49">
        <f t="shared" si="86"/>
        <v>8.101146636545235E-30</v>
      </c>
      <c r="G438" s="49">
        <f t="shared" si="86"/>
        <v>2.0380103134901077E-28</v>
      </c>
      <c r="H438" s="49">
        <f t="shared" si="86"/>
        <v>4.2290769347175206E-27</v>
      </c>
      <c r="I438" s="49">
        <f t="shared" si="86"/>
        <v>7.4448413687538052E-26</v>
      </c>
      <c r="J438" s="49">
        <f t="shared" si="86"/>
        <v>1.1348722175560721E-24</v>
      </c>
      <c r="K438" s="49">
        <f t="shared" si="86"/>
        <v>1.5216507654741439E-23</v>
      </c>
      <c r="L438" s="49">
        <f t="shared" si="87"/>
        <v>1.8168089122114114E-22</v>
      </c>
      <c r="M438" s="49">
        <f t="shared" si="87"/>
        <v>1.9509606802001845E-21</v>
      </c>
      <c r="N438" s="49">
        <f t="shared" si="87"/>
        <v>1.8997223089797138E-20</v>
      </c>
      <c r="O438" s="49">
        <f t="shared" si="87"/>
        <v>1.6889352187318008E-19</v>
      </c>
      <c r="P438" s="49">
        <f t="shared" si="87"/>
        <v>1.3789428465914462E-18</v>
      </c>
      <c r="Q438" s="49">
        <f t="shared" si="87"/>
        <v>1.0391120420765917E-17</v>
      </c>
      <c r="R438" s="49">
        <f t="shared" si="87"/>
        <v>7.2584862078704051E-17</v>
      </c>
      <c r="S438" s="49">
        <f t="shared" si="87"/>
        <v>4.7178766250056418E-16</v>
      </c>
      <c r="T438" s="49">
        <f t="shared" si="87"/>
        <v>2.8629784179366413E-15</v>
      </c>
      <c r="U438" s="49">
        <f t="shared" si="87"/>
        <v>1.6268634030011449E-14</v>
      </c>
      <c r="V438" s="49">
        <f t="shared" si="87"/>
        <v>8.6795598622529966E-14</v>
      </c>
      <c r="W438" s="47">
        <v>0.56499999999999995</v>
      </c>
    </row>
    <row r="439" spans="2:23" x14ac:dyDescent="0.25">
      <c r="B439" s="49">
        <f t="shared" si="86"/>
        <v>8.8392279061553236E-37</v>
      </c>
      <c r="C439" s="49">
        <f t="shared" si="86"/>
        <v>1.1524748109584134E-34</v>
      </c>
      <c r="D439" s="49">
        <f t="shared" si="86"/>
        <v>7.43952369997839E-33</v>
      </c>
      <c r="E439" s="49">
        <f t="shared" si="86"/>
        <v>3.1699601779859751E-31</v>
      </c>
      <c r="F439" s="49">
        <f t="shared" si="86"/>
        <v>1.0029262153209619E-29</v>
      </c>
      <c r="G439" s="49">
        <f t="shared" si="86"/>
        <v>2.5129143971381193E-28</v>
      </c>
      <c r="H439" s="49">
        <f t="shared" si="86"/>
        <v>5.1935739456495374E-27</v>
      </c>
      <c r="I439" s="49">
        <f t="shared" si="86"/>
        <v>9.1059701339102943E-26</v>
      </c>
      <c r="J439" s="49">
        <f t="shared" si="86"/>
        <v>1.3825104918174917E-24</v>
      </c>
      <c r="K439" s="49">
        <f t="shared" si="86"/>
        <v>1.8462387258411517E-23</v>
      </c>
      <c r="L439" s="49">
        <f t="shared" si="87"/>
        <v>2.1955041093112253E-22</v>
      </c>
      <c r="M439" s="49">
        <f t="shared" si="87"/>
        <v>2.3481532585063951E-21</v>
      </c>
      <c r="N439" s="49">
        <f t="shared" si="87"/>
        <v>2.2773081348680369E-20</v>
      </c>
      <c r="O439" s="49">
        <f t="shared" si="87"/>
        <v>2.0165050077984697E-19</v>
      </c>
      <c r="P439" s="49">
        <f t="shared" si="87"/>
        <v>1.6397897227320218E-18</v>
      </c>
      <c r="Q439" s="49">
        <f t="shared" si="87"/>
        <v>1.2307245326751895E-17</v>
      </c>
      <c r="R439" s="49">
        <f t="shared" si="87"/>
        <v>8.5625317365182097E-17</v>
      </c>
      <c r="S439" s="49">
        <f t="shared" si="87"/>
        <v>5.5432124300205689E-16</v>
      </c>
      <c r="T439" s="49">
        <f t="shared" si="87"/>
        <v>3.3503721281079511E-15</v>
      </c>
      <c r="U439" s="49">
        <f t="shared" si="87"/>
        <v>1.896214253340692E-14</v>
      </c>
      <c r="V439" s="49">
        <f t="shared" si="87"/>
        <v>1.0076199877763585E-13</v>
      </c>
      <c r="W439" s="47">
        <v>0.56399999999999995</v>
      </c>
    </row>
    <row r="440" spans="2:23" x14ac:dyDescent="0.25">
      <c r="B440" s="49">
        <f t="shared" si="86"/>
        <v>1.1115226463061304E-36</v>
      </c>
      <c r="C440" s="49">
        <f t="shared" si="86"/>
        <v>1.4433882071531693E-34</v>
      </c>
      <c r="D440" s="49">
        <f t="shared" si="86"/>
        <v>9.2799374497159866E-33</v>
      </c>
      <c r="E440" s="49">
        <f t="shared" si="86"/>
        <v>3.9382423277060847E-31</v>
      </c>
      <c r="F440" s="49">
        <f t="shared" si="86"/>
        <v>1.2409859274843859E-29</v>
      </c>
      <c r="G440" s="49">
        <f t="shared" si="86"/>
        <v>3.0968871042205502E-28</v>
      </c>
      <c r="H440" s="49">
        <f t="shared" si="86"/>
        <v>6.3747681948289359E-27</v>
      </c>
      <c r="I440" s="49">
        <f t="shared" si="86"/>
        <v>1.113205451444276E-25</v>
      </c>
      <c r="J440" s="49">
        <f t="shared" si="86"/>
        <v>1.683329857092813E-24</v>
      </c>
      <c r="K440" s="49">
        <f t="shared" si="86"/>
        <v>2.2389326852573468E-23</v>
      </c>
      <c r="L440" s="49">
        <f t="shared" si="87"/>
        <v>2.6517987872466607E-22</v>
      </c>
      <c r="M440" s="49">
        <f t="shared" si="87"/>
        <v>2.8247932999812172E-21</v>
      </c>
      <c r="N440" s="49">
        <f t="shared" si="87"/>
        <v>2.7285806405312318E-20</v>
      </c>
      <c r="O440" s="49">
        <f t="shared" si="87"/>
        <v>2.4064118219886629E-19</v>
      </c>
      <c r="P440" s="49">
        <f t="shared" si="87"/>
        <v>1.9490160178340798E-18</v>
      </c>
      <c r="Q440" s="49">
        <f t="shared" si="87"/>
        <v>1.4569535901085647E-17</v>
      </c>
      <c r="R440" s="49">
        <f t="shared" si="87"/>
        <v>1.0095916408744299E-16</v>
      </c>
      <c r="S440" s="49">
        <f t="shared" si="87"/>
        <v>6.5097591313239944E-16</v>
      </c>
      <c r="T440" s="49">
        <f t="shared" si="87"/>
        <v>3.9188399291569116E-15</v>
      </c>
      <c r="U440" s="49">
        <f t="shared" si="87"/>
        <v>2.2090944636648702E-14</v>
      </c>
      <c r="V440" s="49">
        <f t="shared" si="87"/>
        <v>1.1691964216748077E-13</v>
      </c>
      <c r="W440" s="47">
        <v>0.56299999999999994</v>
      </c>
    </row>
    <row r="441" spans="2:23" x14ac:dyDescent="0.25">
      <c r="B441" s="49">
        <f t="shared" si="86"/>
        <v>1.3967291736518283E-36</v>
      </c>
      <c r="C441" s="49">
        <f t="shared" si="86"/>
        <v>1.8064551361188851E-34</v>
      </c>
      <c r="D441" s="49">
        <f t="shared" si="86"/>
        <v>1.1567505027619439E-32</v>
      </c>
      <c r="E441" s="49">
        <f t="shared" si="86"/>
        <v>4.8893171778361234E-31</v>
      </c>
      <c r="F441" s="49">
        <f t="shared" si="86"/>
        <v>1.534490822796677E-29</v>
      </c>
      <c r="G441" s="49">
        <f t="shared" si="86"/>
        <v>3.8139503864267966E-28</v>
      </c>
      <c r="H441" s="49">
        <f t="shared" si="86"/>
        <v>7.8192821676186914E-27</v>
      </c>
      <c r="I441" s="49">
        <f t="shared" si="86"/>
        <v>1.3599760642838117E-25</v>
      </c>
      <c r="J441" s="49">
        <f t="shared" si="86"/>
        <v>2.0482326511105505E-24</v>
      </c>
      <c r="K441" s="49">
        <f t="shared" si="86"/>
        <v>2.7133506271607534E-23</v>
      </c>
      <c r="L441" s="49">
        <f t="shared" si="87"/>
        <v>3.2008182911232227E-22</v>
      </c>
      <c r="M441" s="49">
        <f t="shared" si="87"/>
        <v>3.3959672313293668E-21</v>
      </c>
      <c r="N441" s="49">
        <f t="shared" si="87"/>
        <v>3.2671631086436989E-20</v>
      </c>
      <c r="O441" s="49">
        <f t="shared" si="87"/>
        <v>2.8698690350973438E-19</v>
      </c>
      <c r="P441" s="49">
        <f t="shared" si="87"/>
        <v>2.3150831354525276E-18</v>
      </c>
      <c r="Q441" s="49">
        <f t="shared" si="87"/>
        <v>1.7236813206062232E-17</v>
      </c>
      <c r="R441" s="49">
        <f t="shared" si="87"/>
        <v>1.1896471366030644E-16</v>
      </c>
      <c r="S441" s="49">
        <f t="shared" si="87"/>
        <v>7.6401108169905845E-16</v>
      </c>
      <c r="T441" s="49">
        <f t="shared" si="87"/>
        <v>4.5809528948579134E-15</v>
      </c>
      <c r="U441" s="49">
        <f t="shared" si="87"/>
        <v>2.5720386084264926E-14</v>
      </c>
      <c r="V441" s="49">
        <f t="shared" si="87"/>
        <v>1.3558667086792397E-13</v>
      </c>
      <c r="W441" s="47">
        <v>0.56200000000000006</v>
      </c>
    </row>
    <row r="442" spans="2:23" x14ac:dyDescent="0.25">
      <c r="B442" s="49">
        <f t="shared" si="86"/>
        <v>1.7545368590484588E-36</v>
      </c>
      <c r="C442" s="49">
        <f t="shared" si="86"/>
        <v>2.2600970506860509E-34</v>
      </c>
      <c r="D442" s="49">
        <f t="shared" si="86"/>
        <v>1.4414172217615568E-32</v>
      </c>
      <c r="E442" s="49">
        <f t="shared" si="86"/>
        <v>6.0680455633537535E-31</v>
      </c>
      <c r="F442" s="49">
        <f t="shared" si="86"/>
        <v>1.8967760925302141E-29</v>
      </c>
      <c r="G442" s="49">
        <f t="shared" si="86"/>
        <v>4.6954641457060613E-28</v>
      </c>
      <c r="H442" s="49">
        <f t="shared" si="86"/>
        <v>9.5878822573275754E-27</v>
      </c>
      <c r="I442" s="49">
        <f t="shared" si="86"/>
        <v>1.6608867574726213E-25</v>
      </c>
      <c r="J442" s="49">
        <f t="shared" si="86"/>
        <v>2.4913896955921906E-24</v>
      </c>
      <c r="K442" s="49">
        <f t="shared" si="86"/>
        <v>3.287173508595962E-23</v>
      </c>
      <c r="L442" s="49">
        <f t="shared" si="87"/>
        <v>3.8621826990122692E-22</v>
      </c>
      <c r="M442" s="49">
        <f t="shared" si="87"/>
        <v>4.0812309117322691E-21</v>
      </c>
      <c r="N442" s="49">
        <f t="shared" si="87"/>
        <v>3.9107065082873097E-20</v>
      </c>
      <c r="O442" s="49">
        <f t="shared" si="87"/>
        <v>3.4214021163402286E-19</v>
      </c>
      <c r="P442" s="49">
        <f t="shared" si="87"/>
        <v>2.7489524488494922E-18</v>
      </c>
      <c r="Q442" s="49">
        <f t="shared" si="87"/>
        <v>2.0385305825799506E-17</v>
      </c>
      <c r="R442" s="49">
        <f t="shared" si="87"/>
        <v>1.4013258502669873E-16</v>
      </c>
      <c r="S442" s="49">
        <f t="shared" si="87"/>
        <v>8.9636008946429365E-16</v>
      </c>
      <c r="T442" s="49">
        <f t="shared" si="87"/>
        <v>5.3530563471226797E-15</v>
      </c>
      <c r="U442" s="49">
        <f t="shared" si="87"/>
        <v>2.9935598802356763E-14</v>
      </c>
      <c r="V442" s="49">
        <f t="shared" si="87"/>
        <v>1.5717858763106131E-13</v>
      </c>
      <c r="W442" s="47">
        <v>0.56100000000000005</v>
      </c>
    </row>
    <row r="443" spans="2:23" x14ac:dyDescent="0.25">
      <c r="B443" s="49">
        <f t="shared" ref="B443:K452" si="88">_xlfn.HYPGEOM.DIST(B$2,comau,tongtheN*$W443,tongtheN,TRUE)</f>
        <v>2.2028625327828865E-36</v>
      </c>
      <c r="C443" s="49">
        <f t="shared" si="88"/>
        <v>2.8261976305582752E-34</v>
      </c>
      <c r="D443" s="49">
        <f t="shared" si="88"/>
        <v>1.7952137776554291E-32</v>
      </c>
      <c r="E443" s="49">
        <f t="shared" si="88"/>
        <v>7.5270853246232888E-31</v>
      </c>
      <c r="F443" s="49">
        <f t="shared" si="88"/>
        <v>2.3433985344670014E-29</v>
      </c>
      <c r="G443" s="49">
        <f t="shared" si="88"/>
        <v>5.7777835416057738E-28</v>
      </c>
      <c r="H443" s="49">
        <f t="shared" si="88"/>
        <v>1.1750563279138646E-26</v>
      </c>
      <c r="I443" s="49">
        <f t="shared" si="88"/>
        <v>2.0273554918718776E-25</v>
      </c>
      <c r="J443" s="49">
        <f t="shared" si="88"/>
        <v>3.0289082317577152E-24</v>
      </c>
      <c r="K443" s="49">
        <f t="shared" si="88"/>
        <v>3.9803600642790785E-23</v>
      </c>
      <c r="L443" s="49">
        <f t="shared" ref="L443:V452" si="89">_xlfn.HYPGEOM.DIST(L$2,comau,tongtheN*$W443,tongtheN,TRUE)</f>
        <v>4.6578830861317201E-22</v>
      </c>
      <c r="M443" s="49">
        <f t="shared" si="89"/>
        <v>4.9023439456276366E-21</v>
      </c>
      <c r="N443" s="49">
        <f t="shared" si="89"/>
        <v>4.6787035609924945E-20</v>
      </c>
      <c r="O443" s="49">
        <f t="shared" si="89"/>
        <v>4.0769278742095227E-19</v>
      </c>
      <c r="P443" s="49">
        <f t="shared" si="89"/>
        <v>3.2625389622408677E-18</v>
      </c>
      <c r="Q443" s="49">
        <f t="shared" si="89"/>
        <v>2.4097185057464004E-17</v>
      </c>
      <c r="R443" s="49">
        <f t="shared" si="89"/>
        <v>1.6498707340918209E-16</v>
      </c>
      <c r="S443" s="49">
        <f t="shared" si="89"/>
        <v>1.051129387187313E-15</v>
      </c>
      <c r="T443" s="49">
        <f t="shared" si="89"/>
        <v>6.2522973449303632E-15</v>
      </c>
      <c r="U443" s="49">
        <f t="shared" si="89"/>
        <v>3.4825010226180284E-14</v>
      </c>
      <c r="V443" s="49">
        <f t="shared" si="89"/>
        <v>1.8212251118721913E-13</v>
      </c>
      <c r="W443" s="47">
        <v>0.56000000000000005</v>
      </c>
    </row>
    <row r="444" spans="2:23" x14ac:dyDescent="0.25">
      <c r="B444" s="49">
        <f t="shared" si="88"/>
        <v>2.7643175315920562E-36</v>
      </c>
      <c r="C444" s="49">
        <f t="shared" si="88"/>
        <v>3.5322749945563604E-34</v>
      </c>
      <c r="D444" s="49">
        <f t="shared" si="88"/>
        <v>2.2347044235335954E-32</v>
      </c>
      <c r="E444" s="49">
        <f t="shared" si="88"/>
        <v>9.3321821759974924E-31</v>
      </c>
      <c r="F444" s="49">
        <f t="shared" si="88"/>
        <v>2.8937134317504379E-29</v>
      </c>
      <c r="G444" s="49">
        <f t="shared" si="88"/>
        <v>7.1059836632195434E-28</v>
      </c>
      <c r="H444" s="49">
        <f t="shared" si="88"/>
        <v>1.4393811144615122E-26</v>
      </c>
      <c r="I444" s="49">
        <f t="shared" si="88"/>
        <v>2.4734426244296777E-25</v>
      </c>
      <c r="J444" s="49">
        <f t="shared" si="88"/>
        <v>3.6805569721433053E-24</v>
      </c>
      <c r="K444" s="49">
        <f t="shared" si="88"/>
        <v>4.8173256341756603E-23</v>
      </c>
      <c r="L444" s="49">
        <f t="shared" si="89"/>
        <v>5.6147342257537398E-22</v>
      </c>
      <c r="M444" s="49">
        <f t="shared" si="89"/>
        <v>5.8857550376044122E-21</v>
      </c>
      <c r="N444" s="49">
        <f t="shared" si="89"/>
        <v>5.5947743974331506E-20</v>
      </c>
      <c r="O444" s="49">
        <f t="shared" si="89"/>
        <v>4.8556752800915569E-19</v>
      </c>
      <c r="P444" s="49">
        <f t="shared" si="89"/>
        <v>3.8701949899256351E-18</v>
      </c>
      <c r="Q444" s="49">
        <f t="shared" si="89"/>
        <v>2.8471150879609023E-17</v>
      </c>
      <c r="R444" s="49">
        <f t="shared" si="89"/>
        <v>1.9415622002077988E-16</v>
      </c>
      <c r="S444" s="49">
        <f t="shared" si="89"/>
        <v>1.2320304238890022E-15</v>
      </c>
      <c r="T444" s="49">
        <f t="shared" si="89"/>
        <v>7.2991117516570166E-15</v>
      </c>
      <c r="U444" s="49">
        <f t="shared" si="89"/>
        <v>4.0493763086247277E-14</v>
      </c>
      <c r="V444" s="49">
        <f t="shared" si="89"/>
        <v>2.1092520158472836E-13</v>
      </c>
      <c r="W444" s="47">
        <v>0.55900000000000005</v>
      </c>
    </row>
    <row r="445" spans="2:23" x14ac:dyDescent="0.25">
      <c r="B445" s="49">
        <f t="shared" si="88"/>
        <v>3.4670899415060461E-36</v>
      </c>
      <c r="C445" s="49">
        <f t="shared" si="88"/>
        <v>4.4124929756179907E-34</v>
      </c>
      <c r="D445" s="49">
        <f t="shared" si="88"/>
        <v>2.7803690242148937E-32</v>
      </c>
      <c r="E445" s="49">
        <f t="shared" si="88"/>
        <v>1.1564288358024308E-30</v>
      </c>
      <c r="F445" s="49">
        <f t="shared" si="88"/>
        <v>3.5714545088177586E-29</v>
      </c>
      <c r="G445" s="49">
        <f t="shared" si="88"/>
        <v>8.7351080775665831E-28</v>
      </c>
      <c r="H445" s="49">
        <f t="shared" si="88"/>
        <v>1.7622802068413492E-26</v>
      </c>
      <c r="I445" s="49">
        <f t="shared" si="88"/>
        <v>3.0161763730926254E-25</v>
      </c>
      <c r="J445" s="49">
        <f t="shared" si="88"/>
        <v>4.470178335843952E-24</v>
      </c>
      <c r="K445" s="49">
        <f t="shared" si="88"/>
        <v>5.8273948163812719E-23</v>
      </c>
      <c r="L445" s="49">
        <f t="shared" si="89"/>
        <v>6.7648090709387972E-22</v>
      </c>
      <c r="M445" s="49">
        <f t="shared" si="89"/>
        <v>7.0629679764651935E-21</v>
      </c>
      <c r="N445" s="49">
        <f t="shared" si="89"/>
        <v>6.6869366951044744E-20</v>
      </c>
      <c r="O445" s="49">
        <f t="shared" si="89"/>
        <v>5.7803584102318991E-19</v>
      </c>
      <c r="P445" s="49">
        <f t="shared" si="89"/>
        <v>4.5888034578213003E-18</v>
      </c>
      <c r="Q445" s="49">
        <f t="shared" si="89"/>
        <v>3.3622821693483354E-17</v>
      </c>
      <c r="R445" s="49">
        <f t="shared" si="89"/>
        <v>2.2837264579926866E-16</v>
      </c>
      <c r="S445" s="49">
        <f t="shared" si="89"/>
        <v>1.4433745456418326E-15</v>
      </c>
      <c r="T445" s="49">
        <f t="shared" si="89"/>
        <v>8.5171390101799159E-15</v>
      </c>
      <c r="U445" s="49">
        <f t="shared" si="89"/>
        <v>4.70629714868734E-14</v>
      </c>
      <c r="V445" s="49">
        <f t="shared" si="89"/>
        <v>2.4416793844094928E-13</v>
      </c>
      <c r="W445" s="47">
        <v>0.55800000000000005</v>
      </c>
    </row>
    <row r="446" spans="2:23" x14ac:dyDescent="0.25">
      <c r="B446" s="49">
        <f t="shared" si="88"/>
        <v>4.3463024610458902E-36</v>
      </c>
      <c r="C446" s="49">
        <f t="shared" si="88"/>
        <v>5.5092449609812965E-34</v>
      </c>
      <c r="D446" s="49">
        <f t="shared" si="88"/>
        <v>3.4575160987056741E-32</v>
      </c>
      <c r="E446" s="49">
        <f t="shared" si="88"/>
        <v>1.4323030502396146E-30</v>
      </c>
      <c r="F446" s="49">
        <f t="shared" si="88"/>
        <v>4.4057100518977617E-29</v>
      </c>
      <c r="G446" s="49">
        <f t="shared" si="88"/>
        <v>1.0732340363430082E-27</v>
      </c>
      <c r="H446" s="49">
        <f t="shared" si="88"/>
        <v>2.1565379064468052E-26</v>
      </c>
      <c r="I446" s="49">
        <f t="shared" si="88"/>
        <v>3.6761692083673428E-25</v>
      </c>
      <c r="J446" s="49">
        <f t="shared" si="88"/>
        <v>5.4265139221189223E-24</v>
      </c>
      <c r="K446" s="49">
        <f t="shared" si="88"/>
        <v>7.045771506040035E-23</v>
      </c>
      <c r="L446" s="49">
        <f t="shared" si="89"/>
        <v>8.1464513015353762E-22</v>
      </c>
      <c r="M446" s="49">
        <f t="shared" si="89"/>
        <v>8.4714897201601696E-21</v>
      </c>
      <c r="N446" s="49">
        <f t="shared" si="89"/>
        <v>7.9884084384318639E-20</v>
      </c>
      <c r="O446" s="49">
        <f t="shared" si="89"/>
        <v>6.8777952429178299E-19</v>
      </c>
      <c r="P446" s="49">
        <f t="shared" si="89"/>
        <v>5.4382146179552773E-18</v>
      </c>
      <c r="Q446" s="49">
        <f t="shared" si="89"/>
        <v>3.9687569851474166E-17</v>
      </c>
      <c r="R446" s="49">
        <f t="shared" si="89"/>
        <v>2.6849055982604734E-16</v>
      </c>
      <c r="S446" s="49">
        <f t="shared" si="89"/>
        <v>1.6901675868900686E-15</v>
      </c>
      <c r="T446" s="49">
        <f t="shared" si="89"/>
        <v>9.9337114220889423E-15</v>
      </c>
      <c r="U446" s="49">
        <f t="shared" si="89"/>
        <v>5.4672081212895837E-14</v>
      </c>
      <c r="V446" s="49">
        <f t="shared" si="89"/>
        <v>2.8251716544971306E-13</v>
      </c>
      <c r="W446" s="47">
        <v>0.55700000000000005</v>
      </c>
    </row>
    <row r="447" spans="2:23" x14ac:dyDescent="0.25">
      <c r="B447" s="49">
        <f t="shared" si="88"/>
        <v>5.4456966315567295E-36</v>
      </c>
      <c r="C447" s="49">
        <f t="shared" si="88"/>
        <v>6.8751101893707174E-34</v>
      </c>
      <c r="D447" s="49">
        <f t="shared" si="88"/>
        <v>4.2974058466397778E-32</v>
      </c>
      <c r="E447" s="49">
        <f t="shared" si="88"/>
        <v>1.7730957138837633E-30</v>
      </c>
      <c r="F447" s="49">
        <f t="shared" si="88"/>
        <v>5.4321134530261256E-29</v>
      </c>
      <c r="G447" s="49">
        <f t="shared" si="88"/>
        <v>1.3179641509798009E-27</v>
      </c>
      <c r="H447" s="49">
        <f t="shared" si="88"/>
        <v>2.6376861154894758E-26</v>
      </c>
      <c r="I447" s="49">
        <f t="shared" si="88"/>
        <v>4.4783601717907744E-25</v>
      </c>
      <c r="J447" s="49">
        <f t="shared" si="88"/>
        <v>6.5841944156185524E-24</v>
      </c>
      <c r="K447" s="49">
        <f t="shared" si="88"/>
        <v>8.5146972258387783E-23</v>
      </c>
      <c r="L447" s="49">
        <f t="shared" si="89"/>
        <v>9.8054792706760447E-22</v>
      </c>
      <c r="M447" s="49">
        <f t="shared" si="89"/>
        <v>1.015595288799144E-20</v>
      </c>
      <c r="N447" s="49">
        <f t="shared" si="89"/>
        <v>9.5385542888805141E-20</v>
      </c>
      <c r="O447" s="49">
        <f t="shared" si="89"/>
        <v>8.1796340275601921E-19</v>
      </c>
      <c r="P447" s="49">
        <f t="shared" si="89"/>
        <v>6.4417564765840949E-18</v>
      </c>
      <c r="Q447" s="49">
        <f t="shared" si="89"/>
        <v>4.682382149508087E-17</v>
      </c>
      <c r="R447" s="49">
        <f t="shared" si="89"/>
        <v>3.1550546708533601E-16</v>
      </c>
      <c r="S447" s="49">
        <f t="shared" si="89"/>
        <v>1.9782189973180416E-15</v>
      </c>
      <c r="T447" s="49">
        <f t="shared" si="89"/>
        <v>1.1580416147178171E-14</v>
      </c>
      <c r="U447" s="49">
        <f t="shared" si="89"/>
        <v>6.3481568942625338E-14</v>
      </c>
      <c r="V447" s="49">
        <f t="shared" si="89"/>
        <v>3.2673660957191967E-13</v>
      </c>
      <c r="W447" s="47">
        <v>0.55600000000000005</v>
      </c>
    </row>
    <row r="448" spans="2:23" x14ac:dyDescent="0.25">
      <c r="B448" s="49">
        <f t="shared" si="88"/>
        <v>6.8197208606795047E-36</v>
      </c>
      <c r="C448" s="49">
        <f t="shared" si="88"/>
        <v>8.5752689189288424E-34</v>
      </c>
      <c r="D448" s="49">
        <f t="shared" si="88"/>
        <v>5.3386307824374294E-32</v>
      </c>
      <c r="E448" s="49">
        <f t="shared" si="88"/>
        <v>2.1938738609692725E-30</v>
      </c>
      <c r="F448" s="49">
        <f t="shared" si="88"/>
        <v>6.6942945803859232E-29</v>
      </c>
      <c r="G448" s="49">
        <f t="shared" si="88"/>
        <v>1.6176951583124469E-27</v>
      </c>
      <c r="H448" s="49">
        <f t="shared" si="88"/>
        <v>3.2245856881573959E-26</v>
      </c>
      <c r="I448" s="49">
        <f t="shared" si="88"/>
        <v>5.4529084204079935E-25</v>
      </c>
      <c r="J448" s="49">
        <f t="shared" si="88"/>
        <v>7.9849261112507632E-24</v>
      </c>
      <c r="K448" s="49">
        <f t="shared" si="88"/>
        <v>1.0284833638517806E-22</v>
      </c>
      <c r="L448" s="49">
        <f t="shared" si="89"/>
        <v>1.1796616850635175E-21</v>
      </c>
      <c r="M448" s="49">
        <f t="shared" si="89"/>
        <v>1.2169444113521691E-20</v>
      </c>
      <c r="N448" s="49">
        <f t="shared" si="89"/>
        <v>1.1384000728177248E-19</v>
      </c>
      <c r="O448" s="49">
        <f t="shared" si="89"/>
        <v>9.7232055230430839E-19</v>
      </c>
      <c r="P448" s="49">
        <f t="shared" si="89"/>
        <v>7.6268310965653805E-18</v>
      </c>
      <c r="Q448" s="49">
        <f t="shared" si="89"/>
        <v>5.5216894921005951E-17</v>
      </c>
      <c r="R448" s="49">
        <f t="shared" si="89"/>
        <v>3.7057699320545508E-16</v>
      </c>
      <c r="S448" s="49">
        <f t="shared" si="89"/>
        <v>2.3142676785998358E-15</v>
      </c>
      <c r="T448" s="49">
        <f t="shared" si="89"/>
        <v>1.3493740427398269E-14</v>
      </c>
      <c r="U448" s="49">
        <f t="shared" si="89"/>
        <v>7.367602757460286E-14</v>
      </c>
      <c r="V448" s="49">
        <f t="shared" si="89"/>
        <v>3.7770107270337454E-13</v>
      </c>
      <c r="W448" s="47">
        <v>0.55500000000000005</v>
      </c>
    </row>
    <row r="449" spans="2:23" x14ac:dyDescent="0.25">
      <c r="B449" s="49">
        <f t="shared" si="88"/>
        <v>8.5361177929895092E-36</v>
      </c>
      <c r="C449" s="49">
        <f t="shared" si="88"/>
        <v>1.0690482657387908E-33</v>
      </c>
      <c r="D449" s="49">
        <f t="shared" si="88"/>
        <v>6.6288122506517816E-32</v>
      </c>
      <c r="E449" s="49">
        <f t="shared" si="88"/>
        <v>2.7131529886961249E-30</v>
      </c>
      <c r="F449" s="49">
        <f t="shared" si="88"/>
        <v>8.2456482686044395E-29</v>
      </c>
      <c r="G449" s="49">
        <f t="shared" si="88"/>
        <v>1.9846074528731497E-27</v>
      </c>
      <c r="H449" s="49">
        <f t="shared" si="88"/>
        <v>3.9401288494083879E-26</v>
      </c>
      <c r="I449" s="49">
        <f t="shared" si="88"/>
        <v>6.6362682930699226E-25</v>
      </c>
      <c r="J449" s="49">
        <f t="shared" si="88"/>
        <v>9.6789124365319382E-24</v>
      </c>
      <c r="K449" s="49">
        <f t="shared" si="88"/>
        <v>1.2416911847028832E-22</v>
      </c>
      <c r="L449" s="49">
        <f t="shared" si="89"/>
        <v>1.4185193135524263E-21</v>
      </c>
      <c r="M449" s="49">
        <f t="shared" si="89"/>
        <v>1.4575075269738829E-20</v>
      </c>
      <c r="N449" s="49">
        <f t="shared" si="89"/>
        <v>1.3579949453501753E-19</v>
      </c>
      <c r="O449" s="49">
        <f t="shared" si="89"/>
        <v>1.1552522445779644E-18</v>
      </c>
      <c r="P449" s="49">
        <f t="shared" si="89"/>
        <v>9.0256108937660047E-18</v>
      </c>
      <c r="Q449" s="49">
        <f t="shared" si="89"/>
        <v>6.508346326400197E-17</v>
      </c>
      <c r="R449" s="49">
        <f t="shared" si="89"/>
        <v>4.3505530674928764E-16</v>
      </c>
      <c r="S449" s="49">
        <f t="shared" si="89"/>
        <v>2.7061270215727336E-15</v>
      </c>
      <c r="T449" s="49">
        <f t="shared" si="89"/>
        <v>1.571581201182236E-14</v>
      </c>
      <c r="U449" s="49">
        <f t="shared" si="89"/>
        <v>8.5467691243546624E-14</v>
      </c>
      <c r="V449" s="49">
        <f t="shared" si="89"/>
        <v>4.3641211924392347E-13</v>
      </c>
      <c r="W449" s="47">
        <v>0.55400000000000005</v>
      </c>
    </row>
    <row r="450" spans="2:23" x14ac:dyDescent="0.25">
      <c r="B450" s="49">
        <f t="shared" si="88"/>
        <v>1.0679128898285068E-35</v>
      </c>
      <c r="C450" s="49">
        <f t="shared" si="88"/>
        <v>1.3320769888504486E-33</v>
      </c>
      <c r="D450" s="49">
        <f t="shared" si="88"/>
        <v>8.2266840935446691E-32</v>
      </c>
      <c r="E450" s="49">
        <f t="shared" si="88"/>
        <v>3.3536752633958436E-30</v>
      </c>
      <c r="F450" s="49">
        <f t="shared" si="88"/>
        <v>1.0151488189582448E-28</v>
      </c>
      <c r="G450" s="49">
        <f t="shared" si="88"/>
        <v>2.4335389619769676E-27</v>
      </c>
      <c r="H450" s="49">
        <f t="shared" si="88"/>
        <v>4.8120874906081521E-26</v>
      </c>
      <c r="I450" s="49">
        <f t="shared" si="88"/>
        <v>8.0724821609532445E-25</v>
      </c>
      <c r="J450" s="49">
        <f t="shared" si="88"/>
        <v>1.1726556207987784E-23</v>
      </c>
      <c r="K450" s="49">
        <f t="shared" si="88"/>
        <v>1.4983699035943174E-22</v>
      </c>
      <c r="L450" s="49">
        <f t="shared" si="89"/>
        <v>1.7049160567423366E-21</v>
      </c>
      <c r="M450" s="49">
        <f t="shared" si="89"/>
        <v>1.7447841097944354E-20</v>
      </c>
      <c r="N450" s="49">
        <f t="shared" si="89"/>
        <v>1.6191723543367321E-19</v>
      </c>
      <c r="O450" s="49">
        <f t="shared" si="89"/>
        <v>1.371945100542879E-18</v>
      </c>
      <c r="P450" s="49">
        <f t="shared" si="89"/>
        <v>1.0675851314387935E-17</v>
      </c>
      <c r="Q450" s="49">
        <f t="shared" si="89"/>
        <v>7.667674061247569E-17</v>
      </c>
      <c r="R450" s="49">
        <f t="shared" si="89"/>
        <v>5.1051169176698116E-16</v>
      </c>
      <c r="S450" s="49">
        <f t="shared" si="89"/>
        <v>3.1628519952311672E-15</v>
      </c>
      <c r="T450" s="49">
        <f t="shared" si="89"/>
        <v>1.8295248431494775E-14</v>
      </c>
      <c r="U450" s="49">
        <f t="shared" si="89"/>
        <v>9.9100460798863076E-14</v>
      </c>
      <c r="V450" s="49">
        <f t="shared" si="89"/>
        <v>5.0401591182289175E-13</v>
      </c>
      <c r="W450" s="47">
        <v>0.55300000000000005</v>
      </c>
    </row>
    <row r="451" spans="2:23" x14ac:dyDescent="0.25">
      <c r="B451" s="49">
        <f t="shared" si="88"/>
        <v>1.3353461607741495E-35</v>
      </c>
      <c r="C451" s="49">
        <f t="shared" si="88"/>
        <v>1.6589937430152051E-33</v>
      </c>
      <c r="D451" s="49">
        <f t="shared" si="88"/>
        <v>1.0204650597519116E-31</v>
      </c>
      <c r="E451" s="49">
        <f t="shared" si="88"/>
        <v>4.1433608540512423E-30</v>
      </c>
      <c r="F451" s="49">
        <f t="shared" si="88"/>
        <v>1.2491668836490884E-28</v>
      </c>
      <c r="G451" s="49">
        <f t="shared" si="88"/>
        <v>2.9825562745227112E-27</v>
      </c>
      <c r="H451" s="49">
        <f t="shared" si="88"/>
        <v>5.8741371524626603E-26</v>
      </c>
      <c r="I451" s="49">
        <f t="shared" si="88"/>
        <v>9.8147344461258916E-25</v>
      </c>
      <c r="J451" s="49">
        <f t="shared" si="88"/>
        <v>1.4200497102463591E-23</v>
      </c>
      <c r="K451" s="49">
        <f t="shared" si="88"/>
        <v>1.8072342410398428E-22</v>
      </c>
      <c r="L451" s="49">
        <f t="shared" si="89"/>
        <v>2.0481490014311633E-21</v>
      </c>
      <c r="M451" s="49">
        <f t="shared" si="89"/>
        <v>2.0876814416467319E-20</v>
      </c>
      <c r="N451" s="49">
        <f t="shared" si="89"/>
        <v>1.9296586795518792E-19</v>
      </c>
      <c r="O451" s="49">
        <f t="shared" si="89"/>
        <v>1.6285083516640964E-18</v>
      </c>
      <c r="P451" s="49">
        <f t="shared" si="89"/>
        <v>1.2621838902338583E-17</v>
      </c>
      <c r="Q451" s="49">
        <f t="shared" si="89"/>
        <v>9.0292506016987204E-17</v>
      </c>
      <c r="R451" s="49">
        <f t="shared" si="89"/>
        <v>5.9877390600353525E-16</v>
      </c>
      <c r="S451" s="49">
        <f t="shared" si="89"/>
        <v>3.6949315505377081E-15</v>
      </c>
      <c r="T451" s="49">
        <f t="shared" si="89"/>
        <v>2.128813067151125E-14</v>
      </c>
      <c r="U451" s="49">
        <f t="shared" si="89"/>
        <v>1.1485449865127518E-13</v>
      </c>
      <c r="V451" s="49">
        <f t="shared" si="89"/>
        <v>5.8182347985134485E-13</v>
      </c>
      <c r="W451" s="47">
        <v>0.55200000000000005</v>
      </c>
    </row>
    <row r="452" spans="2:23" x14ac:dyDescent="0.25">
      <c r="B452" s="49">
        <f t="shared" si="88"/>
        <v>1.6689198100750939E-35</v>
      </c>
      <c r="C452" s="49">
        <f t="shared" si="88"/>
        <v>2.065116393189822E-33</v>
      </c>
      <c r="D452" s="49">
        <f t="shared" si="88"/>
        <v>1.2651925178121663E-31</v>
      </c>
      <c r="E452" s="49">
        <f t="shared" si="88"/>
        <v>5.116470356693534E-30</v>
      </c>
      <c r="F452" s="49">
        <f t="shared" si="88"/>
        <v>1.5363775847100418E-28</v>
      </c>
      <c r="G452" s="49">
        <f t="shared" si="88"/>
        <v>3.653646644647548E-27</v>
      </c>
      <c r="H452" s="49">
        <f t="shared" si="88"/>
        <v>7.1670924984492959E-26</v>
      </c>
      <c r="I452" s="49">
        <f t="shared" si="88"/>
        <v>1.1927218687803104E-24</v>
      </c>
      <c r="J452" s="49">
        <f t="shared" si="88"/>
        <v>1.7188049210157912E-23</v>
      </c>
      <c r="K452" s="49">
        <f t="shared" si="88"/>
        <v>2.17871615073899E-22</v>
      </c>
      <c r="L452" s="49">
        <f t="shared" si="89"/>
        <v>2.4593011878176572E-21</v>
      </c>
      <c r="M452" s="49">
        <f t="shared" si="89"/>
        <v>2.4967739044483258E-20</v>
      </c>
      <c r="N452" s="49">
        <f t="shared" si="89"/>
        <v>2.2985883501396862E-19</v>
      </c>
      <c r="O452" s="49">
        <f t="shared" si="89"/>
        <v>1.9321345849023016E-18</v>
      </c>
      <c r="P452" s="49">
        <f t="shared" si="89"/>
        <v>1.4915496797372726E-17</v>
      </c>
      <c r="Q452" s="49">
        <f t="shared" si="89"/>
        <v>1.0627609750981449E-16</v>
      </c>
      <c r="R452" s="49">
        <f t="shared" si="89"/>
        <v>7.0196705485963678E-16</v>
      </c>
      <c r="S452" s="49">
        <f t="shared" si="89"/>
        <v>4.3145100713150319E-15</v>
      </c>
      <c r="T452" s="49">
        <f t="shared" si="89"/>
        <v>2.475911894188777E-14</v>
      </c>
      <c r="U452" s="49">
        <f t="shared" si="89"/>
        <v>1.3305147107679748E-13</v>
      </c>
      <c r="V452" s="49">
        <f t="shared" si="89"/>
        <v>6.7133374199952847E-13</v>
      </c>
      <c r="W452" s="47">
        <v>0.55100000000000005</v>
      </c>
    </row>
    <row r="453" spans="2:23" x14ac:dyDescent="0.25">
      <c r="B453" s="49">
        <f t="shared" ref="B453:K462" si="90">_xlfn.HYPGEOM.DIST(B$2,comau,tongtheN*$W453,tongtheN,TRUE)</f>
        <v>2.0847866362834288E-35</v>
      </c>
      <c r="C453" s="49">
        <f t="shared" si="90"/>
        <v>2.569387654114796E-33</v>
      </c>
      <c r="D453" s="49">
        <f t="shared" si="90"/>
        <v>1.5678379825665893E-31</v>
      </c>
      <c r="E453" s="49">
        <f t="shared" si="90"/>
        <v>6.3150244771369622E-30</v>
      </c>
      <c r="F453" s="49">
        <f t="shared" si="90"/>
        <v>1.8887006028622368E-28</v>
      </c>
      <c r="G453" s="49">
        <f t="shared" si="90"/>
        <v>4.4735560579078728E-27</v>
      </c>
      <c r="H453" s="49">
        <f t="shared" si="90"/>
        <v>8.7403972594933412E-26</v>
      </c>
      <c r="I453" s="49">
        <f t="shared" si="90"/>
        <v>1.4487379666775156E-24</v>
      </c>
      <c r="J453" s="49">
        <f t="shared" si="90"/>
        <v>2.0794115866328977E-23</v>
      </c>
      <c r="K453" s="49">
        <f t="shared" si="90"/>
        <v>2.6252973095634329E-22</v>
      </c>
      <c r="L453" s="49">
        <f t="shared" ref="L453:V462" si="91">_xlfn.HYPGEOM.DIST(L$2,comau,tongtheN*$W453,tongtheN,TRUE)</f>
        <v>2.951578472568383E-21</v>
      </c>
      <c r="M453" s="49">
        <f t="shared" si="91"/>
        <v>2.9846091071174517E-20</v>
      </c>
      <c r="N453" s="49">
        <f t="shared" si="91"/>
        <v>2.7367553925197039E-19</v>
      </c>
      <c r="O453" s="49">
        <f t="shared" si="91"/>
        <v>2.2912879019337191E-18</v>
      </c>
      <c r="P453" s="49">
        <f t="shared" si="91"/>
        <v>1.7617673207953726E-17</v>
      </c>
      <c r="Q453" s="49">
        <f t="shared" si="91"/>
        <v>1.2503052856503432E-16</v>
      </c>
      <c r="R453" s="49">
        <f t="shared" si="91"/>
        <v>8.2256081963598354E-16</v>
      </c>
      <c r="S453" s="49">
        <f t="shared" si="91"/>
        <v>5.0356421392441225E-15</v>
      </c>
      <c r="T453" s="49">
        <f t="shared" si="91"/>
        <v>2.8782730692032242E-14</v>
      </c>
      <c r="U453" s="49">
        <f t="shared" si="91"/>
        <v>1.5406052643295218E-13</v>
      </c>
      <c r="V453" s="49">
        <f t="shared" si="91"/>
        <v>7.7425964461545061E-13</v>
      </c>
      <c r="W453" s="47">
        <v>0.55000000000000004</v>
      </c>
    </row>
    <row r="454" spans="2:23" x14ac:dyDescent="0.25">
      <c r="B454" s="49">
        <f t="shared" si="90"/>
        <v>2.6029945149981279E-35</v>
      </c>
      <c r="C454" s="49">
        <f t="shared" si="90"/>
        <v>3.1952216237475277E-33</v>
      </c>
      <c r="D454" s="49">
        <f t="shared" si="90"/>
        <v>1.9419264037119996E-31</v>
      </c>
      <c r="E454" s="49">
        <f t="shared" si="90"/>
        <v>7.7905370902857886E-30</v>
      </c>
      <c r="F454" s="49">
        <f t="shared" si="90"/>
        <v>2.3206883971479637E-28</v>
      </c>
      <c r="G454" s="49">
        <f t="shared" si="90"/>
        <v>5.4748037140768102E-27</v>
      </c>
      <c r="H454" s="49">
        <f t="shared" si="90"/>
        <v>1.0653920223234625E-25</v>
      </c>
      <c r="I454" s="49">
        <f t="shared" si="90"/>
        <v>1.7588604673425088E-24</v>
      </c>
      <c r="J454" s="49">
        <f t="shared" si="90"/>
        <v>2.5144673590169653E-23</v>
      </c>
      <c r="K454" s="49">
        <f t="shared" si="90"/>
        <v>3.1619048405448152E-22</v>
      </c>
      <c r="L454" s="49">
        <f t="shared" si="91"/>
        <v>3.540708753438797E-21</v>
      </c>
      <c r="M454" s="49">
        <f t="shared" si="91"/>
        <v>3.5660691388809479E-20</v>
      </c>
      <c r="N454" s="49">
        <f t="shared" si="91"/>
        <v>3.2569090084532976E-19</v>
      </c>
      <c r="O454" s="49">
        <f t="shared" si="91"/>
        <v>2.715924066023055E-18</v>
      </c>
      <c r="P454" s="49">
        <f t="shared" si="91"/>
        <v>2.0799642449151391E-17</v>
      </c>
      <c r="Q454" s="49">
        <f t="shared" si="91"/>
        <v>1.4702590278103196E-16</v>
      </c>
      <c r="R454" s="49">
        <f t="shared" si="91"/>
        <v>9.6342400267813431E-16</v>
      </c>
      <c r="S454" s="49">
        <f t="shared" si="91"/>
        <v>5.8745854890957665E-15</v>
      </c>
      <c r="T454" s="49">
        <f t="shared" si="91"/>
        <v>3.3444803783344465E-14</v>
      </c>
      <c r="U454" s="49">
        <f t="shared" si="91"/>
        <v>1.7830510943674797E-13</v>
      </c>
      <c r="V454" s="49">
        <f t="shared" si="91"/>
        <v>8.9255782403896491E-13</v>
      </c>
      <c r="W454" s="47">
        <v>0.54900000000000004</v>
      </c>
    </row>
    <row r="455" spans="2:23" x14ac:dyDescent="0.25">
      <c r="B455" s="49">
        <f t="shared" si="90"/>
        <v>3.2484137151023005E-35</v>
      </c>
      <c r="C455" s="49">
        <f t="shared" si="90"/>
        <v>3.9715453947390844E-33</v>
      </c>
      <c r="D455" s="49">
        <f t="shared" si="90"/>
        <v>2.4040986910453918E-31</v>
      </c>
      <c r="E455" s="49">
        <f t="shared" si="90"/>
        <v>9.6061298582998877E-30</v>
      </c>
      <c r="F455" s="49">
        <f t="shared" si="90"/>
        <v>2.8500992951231352E-28</v>
      </c>
      <c r="G455" s="49">
        <f t="shared" si="90"/>
        <v>6.6969094899363917E-27</v>
      </c>
      <c r="H455" s="49">
        <f t="shared" si="90"/>
        <v>1.2980119123201994E-25</v>
      </c>
      <c r="I455" s="49">
        <f t="shared" si="90"/>
        <v>2.1343452390296431E-24</v>
      </c>
      <c r="J455" s="49">
        <f t="shared" si="90"/>
        <v>3.0390934313912492E-23</v>
      </c>
      <c r="K455" s="49">
        <f t="shared" si="90"/>
        <v>3.8063820763135468E-22</v>
      </c>
      <c r="L455" s="49">
        <f t="shared" si="91"/>
        <v>4.2454148812012024E-21</v>
      </c>
      <c r="M455" s="49">
        <f t="shared" si="91"/>
        <v>4.258796678986776E-20</v>
      </c>
      <c r="N455" s="49">
        <f t="shared" si="91"/>
        <v>3.8741007298658739E-19</v>
      </c>
      <c r="O455" s="49">
        <f t="shared" si="91"/>
        <v>3.2177479557693628E-18</v>
      </c>
      <c r="P455" s="49">
        <f t="shared" si="91"/>
        <v>2.4544852807428649E-17</v>
      </c>
      <c r="Q455" s="49">
        <f t="shared" si="91"/>
        <v>1.7281032940369332E-16</v>
      </c>
      <c r="R455" s="49">
        <f t="shared" si="91"/>
        <v>1.1278874939791062E-15</v>
      </c>
      <c r="S455" s="49">
        <f t="shared" si="91"/>
        <v>6.8501377237908696E-15</v>
      </c>
      <c r="T455" s="49">
        <f t="shared" si="91"/>
        <v>3.8844170872877692E-14</v>
      </c>
      <c r="U455" s="49">
        <f t="shared" si="91"/>
        <v>2.0627072484144151E-13</v>
      </c>
      <c r="V455" s="49">
        <f t="shared" si="91"/>
        <v>1.0284622523161438E-12</v>
      </c>
      <c r="W455" s="47">
        <v>0.54800000000000004</v>
      </c>
    </row>
    <row r="456" spans="2:23" x14ac:dyDescent="0.25">
      <c r="B456" s="49">
        <f t="shared" si="90"/>
        <v>4.0518821558266967E-35</v>
      </c>
      <c r="C456" s="49">
        <f t="shared" si="90"/>
        <v>4.9340800975903508E-33</v>
      </c>
      <c r="D456" s="49">
        <f t="shared" si="90"/>
        <v>2.9748198615366996E-31</v>
      </c>
      <c r="E456" s="49">
        <f t="shared" si="90"/>
        <v>1.1839111209335697E-29</v>
      </c>
      <c r="F456" s="49">
        <f t="shared" si="90"/>
        <v>3.4985934994229692E-28</v>
      </c>
      <c r="G456" s="49">
        <f t="shared" si="90"/>
        <v>8.1878784047229191E-27</v>
      </c>
      <c r="H456" s="49">
        <f t="shared" si="90"/>
        <v>1.5806646581036779E-25</v>
      </c>
      <c r="I456" s="49">
        <f t="shared" si="90"/>
        <v>2.5887524990680842E-24</v>
      </c>
      <c r="J456" s="49">
        <f t="shared" si="90"/>
        <v>3.6714315660240474E-23</v>
      </c>
      <c r="K456" s="49">
        <f t="shared" si="90"/>
        <v>4.5800483343208127E-22</v>
      </c>
      <c r="L456" s="49">
        <f t="shared" si="91"/>
        <v>5.0879746015726542E-21</v>
      </c>
      <c r="M456" s="49">
        <f t="shared" si="91"/>
        <v>5.0836973752025044E-20</v>
      </c>
      <c r="N456" s="49">
        <f t="shared" si="91"/>
        <v>4.6060919627573246E-19</v>
      </c>
      <c r="O456" s="49">
        <f t="shared" si="91"/>
        <v>3.8105145095043038E-18</v>
      </c>
      <c r="P456" s="49">
        <f t="shared" si="91"/>
        <v>2.8950960884991483E-17</v>
      </c>
      <c r="Q456" s="49">
        <f t="shared" si="91"/>
        <v>2.0302257313456107E-16</v>
      </c>
      <c r="R456" s="49">
        <f t="shared" si="91"/>
        <v>1.3198169260775574E-15</v>
      </c>
      <c r="S456" s="49">
        <f t="shared" si="91"/>
        <v>7.9840231480183981E-15</v>
      </c>
      <c r="T456" s="49">
        <f t="shared" si="91"/>
        <v>4.5094574615374694E-14</v>
      </c>
      <c r="U456" s="49">
        <f t="shared" si="91"/>
        <v>2.3851377871293707E-13</v>
      </c>
      <c r="V456" s="49">
        <f t="shared" si="91"/>
        <v>1.184522383638805E-12</v>
      </c>
      <c r="W456" s="47">
        <v>0.54700000000000004</v>
      </c>
    </row>
    <row r="457" spans="2:23" x14ac:dyDescent="0.25">
      <c r="B457" s="49">
        <f t="shared" si="90"/>
        <v>5.0516191641224619E-35</v>
      </c>
      <c r="C457" s="49">
        <f t="shared" si="90"/>
        <v>6.1269156774747497E-33</v>
      </c>
      <c r="D457" s="49">
        <f t="shared" si="90"/>
        <v>3.6792459202633619E-31</v>
      </c>
      <c r="E457" s="49">
        <f t="shared" si="90"/>
        <v>1.4584120186656571E-29</v>
      </c>
      <c r="F457" s="49">
        <f t="shared" si="90"/>
        <v>4.2925779817802481E-28</v>
      </c>
      <c r="G457" s="49">
        <f t="shared" si="90"/>
        <v>1.0005995067717378E-26</v>
      </c>
      <c r="H457" s="49">
        <f t="shared" si="90"/>
        <v>1.9239486957219284E-25</v>
      </c>
      <c r="I457" s="49">
        <f t="shared" si="90"/>
        <v>3.1384109444674798E-24</v>
      </c>
      <c r="J457" s="49">
        <f t="shared" si="90"/>
        <v>4.4332373408020591E-23</v>
      </c>
      <c r="K457" s="49">
        <f t="shared" si="90"/>
        <v>5.5083642280905184E-22</v>
      </c>
      <c r="L457" s="49">
        <f t="shared" si="91"/>
        <v>6.0948832388084366E-21</v>
      </c>
      <c r="M457" s="49">
        <f t="shared" si="91"/>
        <v>6.0655318706376422E-20</v>
      </c>
      <c r="N457" s="49">
        <f t="shared" si="91"/>
        <v>5.473832205864633E-19</v>
      </c>
      <c r="O457" s="49">
        <f t="shared" si="91"/>
        <v>4.5103803459290054E-18</v>
      </c>
      <c r="P457" s="49">
        <f t="shared" si="91"/>
        <v>3.4132198294414644E-17</v>
      </c>
      <c r="Q457" s="49">
        <f t="shared" si="91"/>
        <v>2.384067070605367E-16</v>
      </c>
      <c r="R457" s="49">
        <f t="shared" si="91"/>
        <v>1.5436964695473428E-15</v>
      </c>
      <c r="S457" s="49">
        <f t="shared" si="91"/>
        <v>9.3013369767328611E-15</v>
      </c>
      <c r="T457" s="49">
        <f t="shared" si="91"/>
        <v>5.2326857314759452E-14</v>
      </c>
      <c r="U457" s="49">
        <f t="shared" si="91"/>
        <v>2.756716422522476E-13</v>
      </c>
      <c r="V457" s="49">
        <f t="shared" si="91"/>
        <v>1.3636463836561368E-12</v>
      </c>
      <c r="W457" s="47">
        <v>0.54600000000000004</v>
      </c>
    </row>
    <row r="458" spans="2:23" x14ac:dyDescent="0.25">
      <c r="B458" s="49">
        <f t="shared" si="90"/>
        <v>6.2949698682185962E-35</v>
      </c>
      <c r="C458" s="49">
        <f t="shared" si="90"/>
        <v>7.6044458560716649E-33</v>
      </c>
      <c r="D458" s="49">
        <f t="shared" si="90"/>
        <v>4.5482845639111733E-31</v>
      </c>
      <c r="E458" s="49">
        <f t="shared" si="90"/>
        <v>1.7956957117408804E-29</v>
      </c>
      <c r="F458" s="49">
        <f t="shared" si="90"/>
        <v>5.2642316403208302E-28</v>
      </c>
      <c r="G458" s="49">
        <f t="shared" si="90"/>
        <v>1.2221991837668545E-26</v>
      </c>
      <c r="H458" s="49">
        <f t="shared" si="90"/>
        <v>2.340673053464401E-25</v>
      </c>
      <c r="I458" s="49">
        <f t="shared" si="90"/>
        <v>3.8029738282806554E-24</v>
      </c>
      <c r="J458" s="49">
        <f t="shared" si="90"/>
        <v>5.3505879166671487E-23</v>
      </c>
      <c r="K458" s="49">
        <f t="shared" si="90"/>
        <v>6.6217220492628686E-22</v>
      </c>
      <c r="L458" s="49">
        <f t="shared" si="91"/>
        <v>7.297637613791687E-21</v>
      </c>
      <c r="M458" s="49">
        <f t="shared" si="91"/>
        <v>7.2336131575252258E-20</v>
      </c>
      <c r="N458" s="49">
        <f t="shared" si="91"/>
        <v>6.5020199439368043E-19</v>
      </c>
      <c r="O458" s="49">
        <f t="shared" si="91"/>
        <v>5.3363144068639705E-18</v>
      </c>
      <c r="P458" s="49">
        <f t="shared" si="91"/>
        <v>4.0222123743079708E-17</v>
      </c>
      <c r="Q458" s="49">
        <f t="shared" si="91"/>
        <v>2.798290781580419E-16</v>
      </c>
      <c r="R458" s="49">
        <f t="shared" si="91"/>
        <v>1.804725433213238E-15</v>
      </c>
      <c r="S458" s="49">
        <f t="shared" si="91"/>
        <v>1.0831055195323266E-14</v>
      </c>
      <c r="T458" s="49">
        <f t="shared" si="91"/>
        <v>6.0691463208936689E-14</v>
      </c>
      <c r="U458" s="49">
        <f t="shared" si="91"/>
        <v>3.1847410196668224E-13</v>
      </c>
      <c r="V458" s="49">
        <f t="shared" si="91"/>
        <v>1.5691500964413283E-12</v>
      </c>
      <c r="W458" s="47">
        <v>0.54500000000000004</v>
      </c>
    </row>
    <row r="459" spans="2:23" x14ac:dyDescent="0.25">
      <c r="B459" s="49">
        <f t="shared" si="90"/>
        <v>7.8405565554206462E-35</v>
      </c>
      <c r="C459" s="49">
        <f t="shared" si="90"/>
        <v>9.4337445603257018E-33</v>
      </c>
      <c r="D459" s="49">
        <f t="shared" si="90"/>
        <v>5.6198924436140226E-31</v>
      </c>
      <c r="E459" s="49">
        <f t="shared" si="90"/>
        <v>2.2099248995935192E-29</v>
      </c>
      <c r="F459" s="49">
        <f t="shared" si="90"/>
        <v>6.4527486082782265E-28</v>
      </c>
      <c r="G459" s="49">
        <f t="shared" si="90"/>
        <v>1.4921667320532647E-26</v>
      </c>
      <c r="H459" s="49">
        <f t="shared" si="90"/>
        <v>2.8463112444421447E-25</v>
      </c>
      <c r="I459" s="49">
        <f t="shared" si="90"/>
        <v>4.6060848915808967E-24</v>
      </c>
      <c r="J459" s="49">
        <f t="shared" si="90"/>
        <v>6.4547260472538248E-23</v>
      </c>
      <c r="K459" s="49">
        <f t="shared" si="90"/>
        <v>7.9563843037464597E-22</v>
      </c>
      <c r="L459" s="49">
        <f t="shared" si="91"/>
        <v>8.7336629530726257E-21</v>
      </c>
      <c r="M459" s="49">
        <f t="shared" si="91"/>
        <v>8.6226276224582666E-20</v>
      </c>
      <c r="N459" s="49">
        <f t="shared" si="91"/>
        <v>7.7197602090141769E-19</v>
      </c>
      <c r="O459" s="49">
        <f t="shared" si="91"/>
        <v>6.3105773112372384E-18</v>
      </c>
      <c r="P459" s="49">
        <f t="shared" si="91"/>
        <v>4.7376821808304348E-17</v>
      </c>
      <c r="Q459" s="49">
        <f t="shared" si="91"/>
        <v>3.2829794141480153E-16</v>
      </c>
      <c r="R459" s="49">
        <f t="shared" si="91"/>
        <v>2.1089295750968735E-15</v>
      </c>
      <c r="S459" s="49">
        <f t="shared" si="91"/>
        <v>1.2606619507894947E-14</v>
      </c>
      <c r="T459" s="49">
        <f t="shared" si="91"/>
        <v>7.0361296720971204E-14</v>
      </c>
      <c r="U459" s="49">
        <f t="shared" si="91"/>
        <v>3.6775638121586852E-13</v>
      </c>
      <c r="V459" s="49">
        <f t="shared" si="91"/>
        <v>1.8048124852501589E-12</v>
      </c>
      <c r="W459" s="47">
        <v>0.54400000000000004</v>
      </c>
    </row>
    <row r="460" spans="2:23" x14ac:dyDescent="0.25">
      <c r="B460" s="49">
        <f t="shared" si="90"/>
        <v>9.760930713414216E-35</v>
      </c>
      <c r="C460" s="49">
        <f t="shared" si="90"/>
        <v>1.1697483195492551E-32</v>
      </c>
      <c r="D460" s="49">
        <f t="shared" si="90"/>
        <v>6.940661015410862E-31</v>
      </c>
      <c r="E460" s="49">
        <f t="shared" si="90"/>
        <v>2.7184128861075452E-29</v>
      </c>
      <c r="F460" s="49">
        <f t="shared" si="90"/>
        <v>7.9058454456141137E-28</v>
      </c>
      <c r="G460" s="49">
        <f t="shared" si="90"/>
        <v>1.8209047297151178E-26</v>
      </c>
      <c r="H460" s="49">
        <f t="shared" si="90"/>
        <v>3.459546879737641E-25</v>
      </c>
      <c r="I460" s="49">
        <f t="shared" si="90"/>
        <v>5.5761754900211388E-24</v>
      </c>
      <c r="J460" s="49">
        <f t="shared" si="90"/>
        <v>7.7830660985711339E-23</v>
      </c>
      <c r="K460" s="49">
        <f t="shared" si="90"/>
        <v>9.5555976661490433E-22</v>
      </c>
      <c r="L460" s="49">
        <f t="shared" si="91"/>
        <v>1.0447408373353591E-20</v>
      </c>
      <c r="M460" s="49">
        <f t="shared" si="91"/>
        <v>1.0273601283817841E-19</v>
      </c>
      <c r="N460" s="49">
        <f t="shared" si="91"/>
        <v>9.1613351204517157E-19</v>
      </c>
      <c r="O460" s="49">
        <f t="shared" si="91"/>
        <v>7.4592806637869615E-18</v>
      </c>
      <c r="P460" s="49">
        <f t="shared" si="91"/>
        <v>5.5778619219939324E-17</v>
      </c>
      <c r="Q460" s="49">
        <f t="shared" si="91"/>
        <v>3.8498617203059065E-16</v>
      </c>
      <c r="R460" s="49">
        <f t="shared" si="91"/>
        <v>2.4632893061198847E-15</v>
      </c>
      <c r="S460" s="49">
        <f t="shared" si="91"/>
        <v>1.466660812728302E-14</v>
      </c>
      <c r="T460" s="49">
        <f t="shared" si="91"/>
        <v>8.1534985830485157E-14</v>
      </c>
      <c r="U460" s="49">
        <f t="shared" si="91"/>
        <v>4.244739420345084E-13</v>
      </c>
      <c r="V460" s="49">
        <f t="shared" si="91"/>
        <v>2.074938374283212E-12</v>
      </c>
      <c r="W460" s="47">
        <v>0.54300000000000004</v>
      </c>
    </row>
    <row r="461" spans="2:23" x14ac:dyDescent="0.25">
      <c r="B461" s="49">
        <f t="shared" si="90"/>
        <v>1.2145840776105745E-34</v>
      </c>
      <c r="C461" s="49">
        <f t="shared" si="90"/>
        <v>1.449751020890285E-32</v>
      </c>
      <c r="D461" s="49">
        <f t="shared" si="90"/>
        <v>8.5677542896594148E-31</v>
      </c>
      <c r="E461" s="49">
        <f t="shared" si="90"/>
        <v>3.3423146393738939E-29</v>
      </c>
      <c r="F461" s="49">
        <f t="shared" si="90"/>
        <v>9.6815873872265318E-28</v>
      </c>
      <c r="G461" s="49">
        <f t="shared" si="90"/>
        <v>2.2210198709096915E-26</v>
      </c>
      <c r="H461" s="49">
        <f t="shared" si="90"/>
        <v>4.2029292383569213E-25</v>
      </c>
      <c r="I461" s="49">
        <f t="shared" si="90"/>
        <v>6.7474183282027166E-24</v>
      </c>
      <c r="J461" s="49">
        <f t="shared" si="90"/>
        <v>9.3803926331815655E-23</v>
      </c>
      <c r="K461" s="49">
        <f t="shared" si="90"/>
        <v>1.1470914540299275E-21</v>
      </c>
      <c r="L461" s="49">
        <f t="shared" si="91"/>
        <v>1.2491641013977098E-20</v>
      </c>
      <c r="M461" s="49">
        <f t="shared" si="91"/>
        <v>1.2235036382661844E-19</v>
      </c>
      <c r="N461" s="49">
        <f t="shared" si="91"/>
        <v>1.0867106406955914E-18</v>
      </c>
      <c r="O461" s="49">
        <f t="shared" si="91"/>
        <v>8.81303935976113E-18</v>
      </c>
      <c r="P461" s="49">
        <f t="shared" si="91"/>
        <v>6.5640400423328E-17</v>
      </c>
      <c r="Q461" s="49">
        <f t="shared" si="91"/>
        <v>4.5125752637758091E-16</v>
      </c>
      <c r="R461" s="49">
        <f t="shared" si="91"/>
        <v>2.8758872834524008E-15</v>
      </c>
      <c r="S461" s="49">
        <f t="shared" si="91"/>
        <v>1.7055504655855896E-14</v>
      </c>
      <c r="T461" s="49">
        <f t="shared" si="91"/>
        <v>9.444060629622491E-14</v>
      </c>
      <c r="U461" s="49">
        <f t="shared" si="91"/>
        <v>4.8971930298181431E-13</v>
      </c>
      <c r="V461" s="49">
        <f t="shared" si="91"/>
        <v>2.3844294205712914E-12</v>
      </c>
      <c r="W461" s="47">
        <v>0.54200000000000004</v>
      </c>
    </row>
    <row r="462" spans="2:23" x14ac:dyDescent="0.25">
      <c r="B462" s="49">
        <f t="shared" si="90"/>
        <v>1.510625667503902E-34</v>
      </c>
      <c r="C462" s="49">
        <f t="shared" si="90"/>
        <v>1.7959241294291161E-32</v>
      </c>
      <c r="D462" s="49">
        <f t="shared" si="90"/>
        <v>1.0571275486114264E-30</v>
      </c>
      <c r="E462" s="49">
        <f t="shared" si="90"/>
        <v>4.107467282184636E-29</v>
      </c>
      <c r="F462" s="49">
        <f t="shared" si="90"/>
        <v>1.1850600183335029E-27</v>
      </c>
      <c r="G462" s="49">
        <f t="shared" si="90"/>
        <v>2.7077829539227686E-26</v>
      </c>
      <c r="H462" s="49">
        <f t="shared" si="90"/>
        <v>5.1036605966749193E-25</v>
      </c>
      <c r="I462" s="49">
        <f t="shared" si="90"/>
        <v>8.1608680536937351E-24</v>
      </c>
      <c r="J462" s="49">
        <f t="shared" si="90"/>
        <v>1.1300287772890668E-22</v>
      </c>
      <c r="K462" s="49">
        <f t="shared" si="90"/>
        <v>1.3763760209450293E-21</v>
      </c>
      <c r="L462" s="49">
        <f t="shared" si="91"/>
        <v>1.4928974149506277E-20</v>
      </c>
      <c r="M462" s="49">
        <f t="shared" si="91"/>
        <v>1.4564247758866174E-19</v>
      </c>
      <c r="N462" s="49">
        <f t="shared" si="91"/>
        <v>1.288457204098798E-18</v>
      </c>
      <c r="O462" s="49">
        <f t="shared" si="91"/>
        <v>1.0407732005378402E-17</v>
      </c>
      <c r="P462" s="49">
        <f t="shared" si="91"/>
        <v>7.7210616804072704E-17</v>
      </c>
      <c r="Q462" s="49">
        <f t="shared" si="91"/>
        <v>5.2869699252770937E-16</v>
      </c>
      <c r="R462" s="49">
        <f t="shared" si="91"/>
        <v>3.3560782493883399E-15</v>
      </c>
      <c r="S462" s="49">
        <f t="shared" si="91"/>
        <v>1.9824579003188598E-14</v>
      </c>
      <c r="T462" s="49">
        <f t="shared" si="91"/>
        <v>1.0933992988885129E-13</v>
      </c>
      <c r="U462" s="49">
        <f t="shared" si="91"/>
        <v>5.6474113894272388E-13</v>
      </c>
      <c r="V462" s="49">
        <f t="shared" si="91"/>
        <v>2.7388643590798751E-12</v>
      </c>
      <c r="W462" s="47">
        <v>0.54100000000000004</v>
      </c>
    </row>
    <row r="463" spans="2:23" x14ac:dyDescent="0.25">
      <c r="B463" s="49">
        <f t="shared" ref="B463:K472" si="92">_xlfn.HYPGEOM.DIST(B$2,comau,tongtheN*$W463,tongtheN,TRUE)</f>
        <v>1.8779324213342637E-34</v>
      </c>
      <c r="C463" s="49">
        <f t="shared" si="92"/>
        <v>2.2237041368601704E-32</v>
      </c>
      <c r="D463" s="49">
        <f t="shared" si="92"/>
        <v>1.3037156217448333E-30</v>
      </c>
      <c r="E463" s="49">
        <f t="shared" si="92"/>
        <v>5.045411862034649E-29</v>
      </c>
      <c r="F463" s="49">
        <f t="shared" si="92"/>
        <v>1.4498747733505428E-27</v>
      </c>
      <c r="G463" s="49">
        <f t="shared" si="92"/>
        <v>3.2996834018844498E-26</v>
      </c>
      <c r="H463" s="49">
        <f t="shared" si="92"/>
        <v>6.1945413723926195E-25</v>
      </c>
      <c r="I463" s="49">
        <f t="shared" si="92"/>
        <v>9.8658247063604452E-24</v>
      </c>
      <c r="J463" s="49">
        <f t="shared" si="92"/>
        <v>1.3606830242689295E-22</v>
      </c>
      <c r="K463" s="49">
        <f t="shared" si="92"/>
        <v>1.6507290379152544E-21</v>
      </c>
      <c r="L463" s="49">
        <f t="shared" ref="L463:V472" si="93">_xlfn.HYPGEOM.DIST(L$2,comau,tongtheN*$W463,tongtheN,TRUE)</f>
        <v>1.7833670775360732E-20</v>
      </c>
      <c r="M463" s="49">
        <f t="shared" si="93"/>
        <v>1.7328933424287749E-19</v>
      </c>
      <c r="N463" s="49">
        <f t="shared" si="93"/>
        <v>1.5269602745987176E-18</v>
      </c>
      <c r="O463" s="49">
        <f t="shared" si="93"/>
        <v>1.2285386975677315E-17</v>
      </c>
      <c r="P463" s="49">
        <f t="shared" si="93"/>
        <v>9.0779098459635038E-17</v>
      </c>
      <c r="Q463" s="49">
        <f t="shared" si="93"/>
        <v>6.1914585144990689E-16</v>
      </c>
      <c r="R463" s="49">
        <f t="shared" si="93"/>
        <v>3.9146843807611482E-15</v>
      </c>
      <c r="S463" s="49">
        <f t="shared" si="93"/>
        <v>2.3032896211599231E-14</v>
      </c>
      <c r="T463" s="49">
        <f t="shared" si="93"/>
        <v>1.2653326817837615E-13</v>
      </c>
      <c r="U463" s="49">
        <f t="shared" si="93"/>
        <v>6.5096596270493359E-13</v>
      </c>
      <c r="V463" s="49">
        <f t="shared" si="93"/>
        <v>3.1445896915418656E-12</v>
      </c>
      <c r="W463" s="47">
        <v>0.54</v>
      </c>
    </row>
    <row r="464" spans="2:23" x14ac:dyDescent="0.25">
      <c r="B464" s="49">
        <f t="shared" si="92"/>
        <v>2.3334461319580947E-34</v>
      </c>
      <c r="C464" s="49">
        <f t="shared" si="92"/>
        <v>2.7520819380924224E-32</v>
      </c>
      <c r="D464" s="49">
        <f t="shared" si="92"/>
        <v>1.6070681974747491E-30</v>
      </c>
      <c r="E464" s="49">
        <f t="shared" si="92"/>
        <v>6.1946349389537128E-29</v>
      </c>
      <c r="F464" s="49">
        <f t="shared" si="92"/>
        <v>1.773037214555362E-27</v>
      </c>
      <c r="G464" s="49">
        <f t="shared" si="92"/>
        <v>4.0190974428529372E-26</v>
      </c>
      <c r="H464" s="49">
        <f t="shared" si="92"/>
        <v>7.5151042058944656E-25</v>
      </c>
      <c r="I464" s="49">
        <f t="shared" si="92"/>
        <v>1.1921462834048833E-23</v>
      </c>
      <c r="J464" s="49">
        <f t="shared" si="92"/>
        <v>1.6376616900272493E-22</v>
      </c>
      <c r="K464" s="49">
        <f t="shared" si="92"/>
        <v>1.9788591936018723E-21</v>
      </c>
      <c r="L464" s="49">
        <f t="shared" si="93"/>
        <v>2.1293771372931396E-20</v>
      </c>
      <c r="M464" s="49">
        <f t="shared" si="93"/>
        <v>2.0609019549397632E-19</v>
      </c>
      <c r="N464" s="49">
        <f t="shared" si="93"/>
        <v>1.8087888349065638E-18</v>
      </c>
      <c r="O464" s="49">
        <f t="shared" si="93"/>
        <v>1.4495214405725334E-17</v>
      </c>
      <c r="P464" s="49">
        <f t="shared" si="93"/>
        <v>1.0668379407898874E-16</v>
      </c>
      <c r="Q464" s="49">
        <f t="shared" si="93"/>
        <v>7.247421618758583E-16</v>
      </c>
      <c r="R464" s="49">
        <f t="shared" si="93"/>
        <v>4.5642198799672266E-15</v>
      </c>
      <c r="S464" s="49">
        <f t="shared" si="93"/>
        <v>2.6748471242923557E-14</v>
      </c>
      <c r="T464" s="49">
        <f t="shared" si="93"/>
        <v>1.4636499288234898E-13</v>
      </c>
      <c r="U464" s="49">
        <f t="shared" si="93"/>
        <v>7.5002272620130074E-13</v>
      </c>
      <c r="V464" s="49">
        <f t="shared" si="93"/>
        <v>3.6088221318922789E-12</v>
      </c>
      <c r="W464" s="47">
        <v>0.53900000000000003</v>
      </c>
    </row>
    <row r="465" spans="2:23" x14ac:dyDescent="0.25">
      <c r="B465" s="49">
        <f t="shared" si="92"/>
        <v>2.8980855973198912E-34</v>
      </c>
      <c r="C465" s="49">
        <f t="shared" si="92"/>
        <v>3.4044105622694849E-32</v>
      </c>
      <c r="D465" s="49">
        <f t="shared" si="92"/>
        <v>1.9800792115086931E-30</v>
      </c>
      <c r="E465" s="49">
        <f t="shared" si="92"/>
        <v>7.6020766034659389E-29</v>
      </c>
      <c r="F465" s="49">
        <f t="shared" si="92"/>
        <v>2.1672212594568702E-27</v>
      </c>
      <c r="G465" s="49">
        <f t="shared" si="92"/>
        <v>4.8930928850092437E-26</v>
      </c>
      <c r="H465" s="49">
        <f t="shared" si="92"/>
        <v>9.1129741390460536E-25</v>
      </c>
      <c r="I465" s="49">
        <f t="shared" si="92"/>
        <v>1.4398777168912703E-23</v>
      </c>
      <c r="J465" s="49">
        <f t="shared" si="92"/>
        <v>1.9701166885664732E-22</v>
      </c>
      <c r="K465" s="49">
        <f t="shared" si="92"/>
        <v>2.3711289173955167E-21</v>
      </c>
      <c r="L465" s="49">
        <f t="shared" si="93"/>
        <v>2.5413603002787593E-20</v>
      </c>
      <c r="M465" s="49">
        <f t="shared" si="93"/>
        <v>2.4498826842787178E-19</v>
      </c>
      <c r="N465" s="49">
        <f t="shared" si="93"/>
        <v>2.1416628837262801E-18</v>
      </c>
      <c r="O465" s="49">
        <f t="shared" si="93"/>
        <v>1.7094807614318084E-17</v>
      </c>
      <c r="P465" s="49">
        <f t="shared" si="93"/>
        <v>1.2531858365685379E-16</v>
      </c>
      <c r="Q465" s="49">
        <f t="shared" si="93"/>
        <v>8.4796748695757304E-16</v>
      </c>
      <c r="R465" s="49">
        <f t="shared" si="93"/>
        <v>5.3191490693242324E-15</v>
      </c>
      <c r="S465" s="49">
        <f t="shared" si="93"/>
        <v>3.1049590253099025E-14</v>
      </c>
      <c r="T465" s="49">
        <f t="shared" si="93"/>
        <v>1.6922982445197899E-13</v>
      </c>
      <c r="U465" s="49">
        <f t="shared" si="93"/>
        <v>8.6377072202899885E-13</v>
      </c>
      <c r="V465" s="49">
        <f t="shared" si="93"/>
        <v>4.1397642801805895E-12</v>
      </c>
      <c r="W465" s="47">
        <v>0.53800000000000003</v>
      </c>
    </row>
    <row r="466" spans="2:23" x14ac:dyDescent="0.25">
      <c r="B466" s="49">
        <f t="shared" si="92"/>
        <v>3.5976683931900082E-34</v>
      </c>
      <c r="C466" s="49">
        <f t="shared" si="92"/>
        <v>4.2093940361448641E-32</v>
      </c>
      <c r="D466" s="49">
        <f t="shared" si="92"/>
        <v>2.4385322148097708E-30</v>
      </c>
      <c r="E466" s="49">
        <f t="shared" si="92"/>
        <v>9.3249612776293248E-29</v>
      </c>
      <c r="F466" s="49">
        <f t="shared" si="92"/>
        <v>2.6478143073672177E-27</v>
      </c>
      <c r="G466" s="49">
        <f t="shared" si="92"/>
        <v>5.9543979781960429E-26</v>
      </c>
      <c r="H466" s="49">
        <f t="shared" si="92"/>
        <v>1.1045499240156811E-24</v>
      </c>
      <c r="I466" s="49">
        <f t="shared" si="92"/>
        <v>1.7382905341494848E-23</v>
      </c>
      <c r="J466" s="49">
        <f t="shared" si="92"/>
        <v>2.3689779537814591E-22</v>
      </c>
      <c r="K466" s="49">
        <f t="shared" si="92"/>
        <v>2.8398628818294705E-21</v>
      </c>
      <c r="L466" s="49">
        <f t="shared" si="93"/>
        <v>3.0316736750371599E-20</v>
      </c>
      <c r="M466" s="49">
        <f t="shared" si="93"/>
        <v>2.9109613178951338E-19</v>
      </c>
      <c r="N466" s="49">
        <f t="shared" si="93"/>
        <v>2.5346510639210981E-18</v>
      </c>
      <c r="O466" s="49">
        <f t="shared" si="93"/>
        <v>2.0151541155859523E-17</v>
      </c>
      <c r="P466" s="49">
        <f t="shared" si="93"/>
        <v>1.4714233078539434E-16</v>
      </c>
      <c r="Q466" s="49">
        <f t="shared" si="93"/>
        <v>9.9170080104506437E-16</v>
      </c>
      <c r="R466" s="49">
        <f t="shared" si="93"/>
        <v>6.1961828544372336E-15</v>
      </c>
      <c r="S466" s="49">
        <f t="shared" si="93"/>
        <v>3.6026321682550847E-14</v>
      </c>
      <c r="T466" s="49">
        <f t="shared" si="93"/>
        <v>1.9557999260305774E-13</v>
      </c>
      <c r="U466" s="49">
        <f t="shared" si="93"/>
        <v>9.9433121378523406E-13</v>
      </c>
      <c r="V466" s="49">
        <f t="shared" si="93"/>
        <v>4.7467351743252917E-12</v>
      </c>
      <c r="W466" s="47">
        <v>0.53700000000000003</v>
      </c>
    </row>
    <row r="467" spans="2:23" x14ac:dyDescent="0.25">
      <c r="B467" s="49">
        <f t="shared" si="92"/>
        <v>4.4640435659033374E-34</v>
      </c>
      <c r="C467" s="49">
        <f t="shared" si="92"/>
        <v>5.2022974572721991E-32</v>
      </c>
      <c r="D467" s="49">
        <f t="shared" si="92"/>
        <v>3.0017391964097119E-30</v>
      </c>
      <c r="E467" s="49">
        <f t="shared" si="92"/>
        <v>1.143301939837356E-28</v>
      </c>
      <c r="F467" s="49">
        <f t="shared" si="92"/>
        <v>3.2334897603703151E-27</v>
      </c>
      <c r="G467" s="49">
        <f t="shared" si="92"/>
        <v>7.2425672988582817E-26</v>
      </c>
      <c r="H467" s="49">
        <f t="shared" si="92"/>
        <v>1.3381704579946762E-24</v>
      </c>
      <c r="I467" s="49">
        <f t="shared" si="92"/>
        <v>2.0975899465287006E-23</v>
      </c>
      <c r="J467" s="49">
        <f t="shared" si="92"/>
        <v>2.8472930217034979E-22</v>
      </c>
      <c r="K467" s="49">
        <f t="shared" si="92"/>
        <v>3.3997130190824519E-21</v>
      </c>
      <c r="L467" s="49">
        <f t="shared" si="93"/>
        <v>3.6149472096458969E-20</v>
      </c>
      <c r="M467" s="49">
        <f t="shared" si="93"/>
        <v>3.4572556497833515E-19</v>
      </c>
      <c r="N467" s="49">
        <f t="shared" si="93"/>
        <v>2.9984015217282563E-18</v>
      </c>
      <c r="O467" s="49">
        <f t="shared" si="93"/>
        <v>2.3744196960279076E-17</v>
      </c>
      <c r="P467" s="49">
        <f t="shared" si="93"/>
        <v>1.7268936654645195E-16</v>
      </c>
      <c r="Q467" s="49">
        <f t="shared" si="93"/>
        <v>1.1592806522981653E-15</v>
      </c>
      <c r="R467" s="49">
        <f t="shared" si="93"/>
        <v>7.2146191092860902E-15</v>
      </c>
      <c r="S467" s="49">
        <f t="shared" si="93"/>
        <v>4.1782243662221605E-14</v>
      </c>
      <c r="T467" s="49">
        <f t="shared" si="93"/>
        <v>2.2593338605337621E-13</v>
      </c>
      <c r="U467" s="49">
        <f t="shared" si="93"/>
        <v>1.1441232775015154E-12</v>
      </c>
      <c r="V467" s="49">
        <f t="shared" si="93"/>
        <v>5.4403175671167153E-12</v>
      </c>
      <c r="W467" s="47">
        <v>0.53600000000000003</v>
      </c>
    </row>
    <row r="468" spans="2:23" x14ac:dyDescent="0.25">
      <c r="B468" s="49">
        <f t="shared" si="92"/>
        <v>5.5364828873299479E-34</v>
      </c>
      <c r="C468" s="49">
        <f t="shared" si="92"/>
        <v>6.4264271027638785E-32</v>
      </c>
      <c r="D468" s="49">
        <f t="shared" si="92"/>
        <v>3.6933187041428869E-30</v>
      </c>
      <c r="E468" s="49">
        <f t="shared" si="92"/>
        <v>1.401118224101063E-28</v>
      </c>
      <c r="F468" s="49">
        <f t="shared" si="92"/>
        <v>3.9468985643947824E-27</v>
      </c>
      <c r="G468" s="49">
        <f t="shared" si="92"/>
        <v>8.805384102803349E-26</v>
      </c>
      <c r="H468" s="49">
        <f t="shared" si="92"/>
        <v>1.6204632642582015E-24</v>
      </c>
      <c r="I468" s="49">
        <f t="shared" si="92"/>
        <v>2.5300031874944996E-23</v>
      </c>
      <c r="J468" s="49">
        <f t="shared" si="92"/>
        <v>3.4206303493067459E-22</v>
      </c>
      <c r="K468" s="49">
        <f t="shared" si="92"/>
        <v>4.068090213579135E-21</v>
      </c>
      <c r="L468" s="49">
        <f t="shared" si="93"/>
        <v>4.3084940281643709E-20</v>
      </c>
      <c r="M468" s="49">
        <f t="shared" si="93"/>
        <v>4.1042252667212223E-19</v>
      </c>
      <c r="N468" s="49">
        <f t="shared" si="93"/>
        <v>3.5454114657405661E-18</v>
      </c>
      <c r="O468" s="49">
        <f t="shared" si="93"/>
        <v>2.7964854937459863E-17</v>
      </c>
      <c r="P468" s="49">
        <f t="shared" si="93"/>
        <v>2.0258162604233462E-16</v>
      </c>
      <c r="Q468" s="49">
        <f t="shared" si="93"/>
        <v>1.3545768137979209E-15</v>
      </c>
      <c r="R468" s="49">
        <f t="shared" si="93"/>
        <v>8.3967333169674629E-15</v>
      </c>
      <c r="S468" s="49">
        <f t="shared" si="93"/>
        <v>4.8436417824603759E-14</v>
      </c>
      <c r="T468" s="49">
        <f t="shared" si="93"/>
        <v>2.6088282399490852E-13</v>
      </c>
      <c r="U468" s="49">
        <f t="shared" si="93"/>
        <v>1.3159043966919924E-12</v>
      </c>
      <c r="V468" s="49">
        <f t="shared" si="93"/>
        <v>6.2325239967415632E-12</v>
      </c>
      <c r="W468" s="47">
        <v>0.53500000000000003</v>
      </c>
    </row>
    <row r="469" spans="2:23" x14ac:dyDescent="0.25">
      <c r="B469" s="49">
        <f t="shared" si="92"/>
        <v>6.8633889361576966E-34</v>
      </c>
      <c r="C469" s="49">
        <f t="shared" si="92"/>
        <v>7.9349400313463255E-32</v>
      </c>
      <c r="D469" s="49">
        <f t="shared" si="92"/>
        <v>4.5421432182419533E-30</v>
      </c>
      <c r="E469" s="49">
        <f t="shared" si="92"/>
        <v>1.7162849199966212E-28</v>
      </c>
      <c r="F469" s="49">
        <f t="shared" si="92"/>
        <v>4.8155041443329217E-27</v>
      </c>
      <c r="G469" s="49">
        <f t="shared" si="92"/>
        <v>1.0700546362643389E-25</v>
      </c>
      <c r="H469" s="49">
        <f t="shared" si="92"/>
        <v>1.9614145360866467E-24</v>
      </c>
      <c r="I469" s="49">
        <f t="shared" si="92"/>
        <v>3.0501736226296598E-23</v>
      </c>
      <c r="J469" s="49">
        <f t="shared" si="92"/>
        <v>4.1075581217979157E-22</v>
      </c>
      <c r="K469" s="49">
        <f t="shared" si="92"/>
        <v>4.8656746254925016E-21</v>
      </c>
      <c r="L469" s="49">
        <f t="shared" si="93"/>
        <v>5.13279345025173E-20</v>
      </c>
      <c r="M469" s="49">
        <f t="shared" si="93"/>
        <v>4.8700815405786321E-19</v>
      </c>
      <c r="N469" s="49">
        <f t="shared" si="93"/>
        <v>4.1903417745384853E-18</v>
      </c>
      <c r="O469" s="49">
        <f t="shared" si="93"/>
        <v>3.2921090089217458E-17</v>
      </c>
      <c r="P469" s="49">
        <f t="shared" si="93"/>
        <v>2.3754269188978347E-16</v>
      </c>
      <c r="Q469" s="49">
        <f t="shared" si="93"/>
        <v>1.582072835050349E-15</v>
      </c>
      <c r="R469" s="49">
        <f t="shared" si="93"/>
        <v>9.768226687933315E-15</v>
      </c>
      <c r="S469" s="49">
        <f t="shared" si="93"/>
        <v>5.6125643669597309E-14</v>
      </c>
      <c r="T469" s="49">
        <f t="shared" si="93"/>
        <v>3.0110659901535924E-13</v>
      </c>
      <c r="U469" s="49">
        <f t="shared" si="93"/>
        <v>1.5128164210112888E-12</v>
      </c>
      <c r="V469" s="49">
        <f t="shared" si="93"/>
        <v>7.1369839653057086E-12</v>
      </c>
      <c r="W469" s="47">
        <v>0.53400000000000003</v>
      </c>
    </row>
    <row r="470" spans="2:23" x14ac:dyDescent="0.25">
      <c r="B470" s="49">
        <f t="shared" si="92"/>
        <v>8.50439122860621E-34</v>
      </c>
      <c r="C470" s="49">
        <f t="shared" si="92"/>
        <v>9.7930555521306866E-32</v>
      </c>
      <c r="D470" s="49">
        <f t="shared" si="92"/>
        <v>5.5834920843617623E-30</v>
      </c>
      <c r="E470" s="49">
        <f t="shared" si="92"/>
        <v>2.1013847388699511E-28</v>
      </c>
      <c r="F470" s="49">
        <f t="shared" si="92"/>
        <v>5.8725900231859915E-27</v>
      </c>
      <c r="G470" s="49">
        <f t="shared" si="92"/>
        <v>1.2997692986239688E-25</v>
      </c>
      <c r="H470" s="49">
        <f t="shared" si="92"/>
        <v>2.3730277353593746E-24</v>
      </c>
      <c r="I470" s="49">
        <f t="shared" si="92"/>
        <v>3.6756304012664529E-23</v>
      </c>
      <c r="J470" s="49">
        <f t="shared" si="92"/>
        <v>4.9302124281302776E-22</v>
      </c>
      <c r="K470" s="49">
        <f t="shared" si="92"/>
        <v>5.8170187029094679E-21</v>
      </c>
      <c r="L470" s="49">
        <f t="shared" si="93"/>
        <v>6.1120593191058589E-20</v>
      </c>
      <c r="M470" s="49">
        <f t="shared" si="93"/>
        <v>5.7762679788140153E-19</v>
      </c>
      <c r="N470" s="49">
        <f t="shared" si="93"/>
        <v>4.9503840204498419E-18</v>
      </c>
      <c r="O470" s="49">
        <f t="shared" si="93"/>
        <v>3.8738524699675879E-17</v>
      </c>
      <c r="P470" s="49">
        <f t="shared" si="93"/>
        <v>2.7841403717209092E-16</v>
      </c>
      <c r="Q470" s="49">
        <f t="shared" si="93"/>
        <v>1.846961110340551E-15</v>
      </c>
      <c r="R470" s="49">
        <f t="shared" si="93"/>
        <v>1.1358739986273713E-14</v>
      </c>
      <c r="S470" s="49">
        <f t="shared" si="93"/>
        <v>6.5007032226006235E-14</v>
      </c>
      <c r="T470" s="49">
        <f t="shared" si="93"/>
        <v>3.4738046052245939E-13</v>
      </c>
      <c r="U470" s="49">
        <f t="shared" si="93"/>
        <v>1.7384375740755003E-12</v>
      </c>
      <c r="V470" s="49">
        <f t="shared" si="93"/>
        <v>8.1691548141537171E-12</v>
      </c>
      <c r="W470" s="47">
        <v>0.53300000000000003</v>
      </c>
    </row>
    <row r="471" spans="2:23" x14ac:dyDescent="0.25">
      <c r="B471" s="49">
        <f t="shared" si="92"/>
        <v>1.0532917425401732E-33</v>
      </c>
      <c r="C471" s="49">
        <f t="shared" si="92"/>
        <v>1.2080756616727587E-31</v>
      </c>
      <c r="D471" s="49">
        <f t="shared" si="92"/>
        <v>6.8604539920119126E-30</v>
      </c>
      <c r="E471" s="49">
        <f t="shared" si="92"/>
        <v>2.5717228153268412E-28</v>
      </c>
      <c r="F471" s="49">
        <f t="shared" si="92"/>
        <v>7.1584753075790935E-27</v>
      </c>
      <c r="G471" s="49">
        <f t="shared" si="92"/>
        <v>1.5780837786414911E-25</v>
      </c>
      <c r="H471" s="49">
        <f t="shared" si="92"/>
        <v>2.8697247039429102E-24</v>
      </c>
      <c r="I471" s="49">
        <f t="shared" si="92"/>
        <v>4.4273478846340085E-23</v>
      </c>
      <c r="J471" s="49">
        <f t="shared" si="92"/>
        <v>5.9149711904718095E-22</v>
      </c>
      <c r="K471" s="49">
        <f t="shared" si="92"/>
        <v>6.9512594061439611E-21</v>
      </c>
      <c r="L471" s="49">
        <f t="shared" si="93"/>
        <v>7.274908412274945E-20</v>
      </c>
      <c r="M471" s="49">
        <f t="shared" si="93"/>
        <v>6.8480227613096035E-19</v>
      </c>
      <c r="N471" s="49">
        <f t="shared" si="93"/>
        <v>5.8456884551992116E-18</v>
      </c>
      <c r="O471" s="49">
        <f t="shared" si="93"/>
        <v>4.5563791691839221E-17</v>
      </c>
      <c r="P471" s="49">
        <f t="shared" si="93"/>
        <v>3.2617380409590416E-16</v>
      </c>
      <c r="Q471" s="49">
        <f t="shared" si="93"/>
        <v>2.1552523137894244E-15</v>
      </c>
      <c r="R471" s="49">
        <f t="shared" si="93"/>
        <v>1.320244244004022E-14</v>
      </c>
      <c r="S471" s="49">
        <f t="shared" si="93"/>
        <v>7.5260942938086586E-14</v>
      </c>
      <c r="T471" s="49">
        <f t="shared" si="93"/>
        <v>4.0059122947543522E-13</v>
      </c>
      <c r="U471" s="49">
        <f t="shared" si="93"/>
        <v>1.9968412805712033E-12</v>
      </c>
      <c r="V471" s="49">
        <f t="shared" si="93"/>
        <v>9.3465591902943583E-12</v>
      </c>
      <c r="W471" s="47">
        <v>0.53200000000000003</v>
      </c>
    </row>
    <row r="472" spans="2:23" x14ac:dyDescent="0.25">
      <c r="B472" s="49">
        <f t="shared" si="92"/>
        <v>1.3039345906443535E-33</v>
      </c>
      <c r="C472" s="49">
        <f t="shared" si="92"/>
        <v>1.4896088226953505E-31</v>
      </c>
      <c r="D472" s="49">
        <f t="shared" si="92"/>
        <v>8.425632265168238E-30</v>
      </c>
      <c r="E472" s="49">
        <f t="shared" si="92"/>
        <v>3.1459074854637918E-28</v>
      </c>
      <c r="F472" s="49">
        <f t="shared" si="92"/>
        <v>8.7219802815453641E-27</v>
      </c>
      <c r="G472" s="49">
        <f t="shared" si="92"/>
        <v>1.915129198194609E-25</v>
      </c>
      <c r="H472" s="49">
        <f t="shared" si="92"/>
        <v>3.468825260630959E-24</v>
      </c>
      <c r="I472" s="49">
        <f t="shared" si="92"/>
        <v>5.3304117215655672E-23</v>
      </c>
      <c r="J472" s="49">
        <f t="shared" si="92"/>
        <v>7.0932531834548429E-22</v>
      </c>
      <c r="K472" s="49">
        <f t="shared" si="92"/>
        <v>8.3029590574953679E-21</v>
      </c>
      <c r="L472" s="49">
        <f t="shared" si="93"/>
        <v>8.6551462177276975E-20</v>
      </c>
      <c r="M472" s="49">
        <f t="shared" si="93"/>
        <v>8.1150372384372045E-19</v>
      </c>
      <c r="N472" s="49">
        <f t="shared" si="93"/>
        <v>6.8998628656203329E-18</v>
      </c>
      <c r="O472" s="49">
        <f t="shared" si="93"/>
        <v>5.356797388998239E-17</v>
      </c>
      <c r="P472" s="49">
        <f t="shared" si="93"/>
        <v>3.8195850472515299E-16</v>
      </c>
      <c r="Q472" s="49">
        <f t="shared" si="93"/>
        <v>2.5139013171190609E-15</v>
      </c>
      <c r="R472" s="49">
        <f t="shared" si="93"/>
        <v>1.5338706411717582E-14</v>
      </c>
      <c r="S472" s="49">
        <f t="shared" si="93"/>
        <v>8.7094333567873583E-14</v>
      </c>
      <c r="T472" s="49">
        <f t="shared" si="93"/>
        <v>4.61752259680658E-13</v>
      </c>
      <c r="U472" s="49">
        <f t="shared" si="93"/>
        <v>2.2926626773851066E-12</v>
      </c>
      <c r="V472" s="49">
        <f t="shared" si="93"/>
        <v>1.0689052338311592E-11</v>
      </c>
      <c r="W472" s="47">
        <v>0.53100000000000003</v>
      </c>
    </row>
    <row r="473" spans="2:23" x14ac:dyDescent="0.25">
      <c r="B473" s="49">
        <f t="shared" ref="B473:K482" si="94">_xlfn.HYPGEOM.DIST(B$2,comau,tongtheN*$W473,tongtheN,TRUE)</f>
        <v>1.6134869478018535E-33</v>
      </c>
      <c r="C473" s="49">
        <f t="shared" si="94"/>
        <v>1.8359183045171238E-31</v>
      </c>
      <c r="D473" s="49">
        <f t="shared" si="94"/>
        <v>1.0343217443168203E-29</v>
      </c>
      <c r="E473" s="49">
        <f t="shared" si="94"/>
        <v>3.8465532070843191E-28</v>
      </c>
      <c r="F473" s="49">
        <f t="shared" si="94"/>
        <v>1.0622192804845188E-26</v>
      </c>
      <c r="G473" s="49">
        <f t="shared" si="94"/>
        <v>2.323117176067417E-25</v>
      </c>
      <c r="H473" s="49">
        <f t="shared" si="94"/>
        <v>4.191120391985751E-24</v>
      </c>
      <c r="I473" s="49">
        <f t="shared" si="94"/>
        <v>6.4148115585717613E-23</v>
      </c>
      <c r="J473" s="49">
        <f t="shared" si="94"/>
        <v>8.5024649504543709E-22</v>
      </c>
      <c r="K473" s="49">
        <f t="shared" si="94"/>
        <v>9.9130976151413876E-21</v>
      </c>
      <c r="L473" s="49">
        <f t="shared" ref="L473:V482" si="95">_xlfn.HYPGEOM.DIST(L$2,comau,tongtheN*$W473,tongtheN,TRUE)</f>
        <v>1.0292690282370618E-19</v>
      </c>
      <c r="M473" s="49">
        <f t="shared" si="95"/>
        <v>9.6122264254689703E-19</v>
      </c>
      <c r="N473" s="49">
        <f t="shared" si="95"/>
        <v>8.1405537822404327E-18</v>
      </c>
      <c r="O473" s="49">
        <f t="shared" si="95"/>
        <v>6.2950593881536291E-17</v>
      </c>
      <c r="P473" s="49">
        <f t="shared" si="95"/>
        <v>4.4708808756963688E-16</v>
      </c>
      <c r="Q473" s="49">
        <f t="shared" si="95"/>
        <v>2.9309520095226315E-15</v>
      </c>
      <c r="R473" s="49">
        <f t="shared" si="95"/>
        <v>1.781287997998749E-14</v>
      </c>
      <c r="S473" s="49">
        <f t="shared" si="95"/>
        <v>1.0074457952222363E-13</v>
      </c>
      <c r="T473" s="49">
        <f t="shared" si="95"/>
        <v>5.3202098838619281E-13</v>
      </c>
      <c r="U473" s="49">
        <f t="shared" si="95"/>
        <v>2.6311737792819919E-12</v>
      </c>
      <c r="V473" s="49">
        <f t="shared" si="95"/>
        <v>1.2219122830534141E-11</v>
      </c>
      <c r="W473" s="47">
        <v>0.53</v>
      </c>
    </row>
    <row r="474" spans="2:23" x14ac:dyDescent="0.25">
      <c r="B474" s="49">
        <f t="shared" si="94"/>
        <v>1.9956228567050904E-33</v>
      </c>
      <c r="C474" s="49">
        <f t="shared" si="94"/>
        <v>2.2617172402028258E-31</v>
      </c>
      <c r="D474" s="49">
        <f t="shared" si="94"/>
        <v>1.2691505167727096E-29</v>
      </c>
      <c r="E474" s="49">
        <f t="shared" si="94"/>
        <v>4.7011309407041964E-28</v>
      </c>
      <c r="F474" s="49">
        <f t="shared" si="94"/>
        <v>1.293059633253365E-26</v>
      </c>
      <c r="G474" s="49">
        <f t="shared" si="94"/>
        <v>2.8167606208243839E-25</v>
      </c>
      <c r="H474" s="49">
        <f t="shared" si="94"/>
        <v>5.0615570057806491E-24</v>
      </c>
      <c r="I474" s="49">
        <f t="shared" si="94"/>
        <v>7.7163840521431461E-23</v>
      </c>
      <c r="J474" s="49">
        <f t="shared" si="94"/>
        <v>1.0187122507272703E-21</v>
      </c>
      <c r="K474" s="49">
        <f t="shared" si="94"/>
        <v>1.1830243134119713E-20</v>
      </c>
      <c r="L474" s="49">
        <f t="shared" si="95"/>
        <v>1.2234654749804334E-19</v>
      </c>
      <c r="M474" s="49">
        <f t="shared" si="95"/>
        <v>1.1380630151470657E-18</v>
      </c>
      <c r="N474" s="49">
        <f t="shared" si="95"/>
        <v>9.6001233426630717E-18</v>
      </c>
      <c r="O474" s="49">
        <f t="shared" si="95"/>
        <v>7.3944240619156242E-17</v>
      </c>
      <c r="P474" s="49">
        <f t="shared" si="95"/>
        <v>5.2309487951713242E-16</v>
      </c>
      <c r="Q474" s="49">
        <f t="shared" si="95"/>
        <v>3.4157037847086543E-15</v>
      </c>
      <c r="R474" s="49">
        <f t="shared" si="95"/>
        <v>2.0677171256649532E-14</v>
      </c>
      <c r="S474" s="49">
        <f t="shared" si="95"/>
        <v>1.1648382648312218E-13</v>
      </c>
      <c r="T474" s="49">
        <f t="shared" si="95"/>
        <v>6.1271884977264073E-13</v>
      </c>
      <c r="U474" s="49">
        <f t="shared" si="95"/>
        <v>3.0183683879005635E-12</v>
      </c>
      <c r="V474" s="49">
        <f t="shared" si="95"/>
        <v>1.3962230769028107E-11</v>
      </c>
      <c r="W474" s="47">
        <v>0.52900000000000003</v>
      </c>
    </row>
    <row r="475" spans="2:23" x14ac:dyDescent="0.25">
      <c r="B475" s="49">
        <f t="shared" si="94"/>
        <v>2.4671507063195483E-33</v>
      </c>
      <c r="C475" s="49">
        <f t="shared" si="94"/>
        <v>2.7850174847748742E-31</v>
      </c>
      <c r="D475" s="49">
        <f t="shared" si="94"/>
        <v>1.5565953731878719E-29</v>
      </c>
      <c r="E475" s="49">
        <f t="shared" si="94"/>
        <v>5.7429964822307824E-28</v>
      </c>
      <c r="F475" s="49">
        <f t="shared" si="94"/>
        <v>1.5733632482252575E-26</v>
      </c>
      <c r="G475" s="49">
        <f t="shared" si="94"/>
        <v>3.4137783270853229E-25</v>
      </c>
      <c r="H475" s="49">
        <f t="shared" si="94"/>
        <v>6.1100556085122011E-24</v>
      </c>
      <c r="I475" s="49">
        <f t="shared" si="94"/>
        <v>9.277934198199253E-23</v>
      </c>
      <c r="J475" s="49">
        <f t="shared" si="94"/>
        <v>1.2200179524189583E-21</v>
      </c>
      <c r="K475" s="49">
        <f t="shared" si="94"/>
        <v>1.4111931817481624E-20</v>
      </c>
      <c r="L475" s="49">
        <f t="shared" si="95"/>
        <v>1.4536623677214509E-19</v>
      </c>
      <c r="M475" s="49">
        <f t="shared" si="95"/>
        <v>1.3468466563585564E-18</v>
      </c>
      <c r="N475" s="49">
        <f t="shared" si="95"/>
        <v>1.1316437212346746E-17</v>
      </c>
      <c r="O475" s="49">
        <f t="shared" si="95"/>
        <v>8.6819932062029243E-17</v>
      </c>
      <c r="P475" s="49">
        <f t="shared" si="95"/>
        <v>6.1175698778493632E-16</v>
      </c>
      <c r="Q475" s="49">
        <f t="shared" si="95"/>
        <v>3.978902853872946E-15</v>
      </c>
      <c r="R475" s="49">
        <f t="shared" si="95"/>
        <v>2.3991660158656846E-14</v>
      </c>
      <c r="S475" s="49">
        <f t="shared" si="95"/>
        <v>1.3462394864645811E-13</v>
      </c>
      <c r="T475" s="49">
        <f t="shared" si="95"/>
        <v>7.0535385958659095E-13</v>
      </c>
      <c r="U475" s="49">
        <f t="shared" si="95"/>
        <v>3.4610579649376906E-12</v>
      </c>
      <c r="V475" s="49">
        <f t="shared" si="95"/>
        <v>1.5947187960750295E-11</v>
      </c>
      <c r="W475" s="47">
        <v>0.52800000000000002</v>
      </c>
    </row>
    <row r="476" spans="2:23" x14ac:dyDescent="0.25">
      <c r="B476" s="49">
        <f t="shared" si="94"/>
        <v>3.0487226326569775E-33</v>
      </c>
      <c r="C476" s="49">
        <f t="shared" si="94"/>
        <v>3.4278595532339784E-31</v>
      </c>
      <c r="D476" s="49">
        <f t="shared" si="94"/>
        <v>1.9082895360596471E-29</v>
      </c>
      <c r="E476" s="49">
        <f t="shared" si="94"/>
        <v>7.0126334512753252E-28</v>
      </c>
      <c r="F476" s="49">
        <f t="shared" si="94"/>
        <v>1.913578555970768E-26</v>
      </c>
      <c r="G476" s="49">
        <f t="shared" si="94"/>
        <v>4.1354998053578193E-25</v>
      </c>
      <c r="H476" s="49">
        <f t="shared" si="94"/>
        <v>7.372486291056551E-24</v>
      </c>
      <c r="I476" s="49">
        <f t="shared" si="94"/>
        <v>1.1150568124991298E-22</v>
      </c>
      <c r="J476" s="49">
        <f t="shared" si="94"/>
        <v>1.4604599319046012E-21</v>
      </c>
      <c r="K476" s="49">
        <f t="shared" si="94"/>
        <v>1.6826294489626086E-20</v>
      </c>
      <c r="L476" s="49">
        <f t="shared" si="95"/>
        <v>1.7264145349001003E-19</v>
      </c>
      <c r="M476" s="49">
        <f t="shared" si="95"/>
        <v>1.5932363215786913E-18</v>
      </c>
      <c r="N476" s="49">
        <f t="shared" si="95"/>
        <v>1.3333781390109096E-17</v>
      </c>
      <c r="O476" s="49">
        <f t="shared" si="95"/>
        <v>1.0189332827438995E-16</v>
      </c>
      <c r="P476" s="49">
        <f t="shared" si="95"/>
        <v>7.1513683255915648E-16</v>
      </c>
      <c r="Q476" s="49">
        <f t="shared" si="95"/>
        <v>4.6329619915128623E-15</v>
      </c>
      <c r="R476" s="49">
        <f t="shared" si="95"/>
        <v>2.7825455503514982E-14</v>
      </c>
      <c r="S476" s="49">
        <f t="shared" si="95"/>
        <v>1.5552219437662842E-13</v>
      </c>
      <c r="T476" s="49">
        <f t="shared" si="95"/>
        <v>8.1164621804538209E-13</v>
      </c>
      <c r="U476" s="49">
        <f t="shared" si="95"/>
        <v>3.966979837900725E-12</v>
      </c>
      <c r="V476" s="49">
        <f t="shared" si="95"/>
        <v>1.8206585086920899E-11</v>
      </c>
      <c r="W476" s="47">
        <v>0.52700000000000002</v>
      </c>
    </row>
    <row r="477" spans="2:23" x14ac:dyDescent="0.25">
      <c r="B477" s="49">
        <f t="shared" si="94"/>
        <v>3.7657024403018989E-33</v>
      </c>
      <c r="C477" s="49">
        <f t="shared" si="94"/>
        <v>4.2172019527899232E-31</v>
      </c>
      <c r="D477" s="49">
        <f t="shared" si="94"/>
        <v>2.3384039067556065E-29</v>
      </c>
      <c r="E477" s="49">
        <f t="shared" si="94"/>
        <v>8.5591550995204835E-28</v>
      </c>
      <c r="F477" s="49">
        <f t="shared" si="94"/>
        <v>2.3263293769250329E-26</v>
      </c>
      <c r="G477" s="49">
        <f t="shared" si="94"/>
        <v>5.0075899458587513E-25</v>
      </c>
      <c r="H477" s="49">
        <f t="shared" si="94"/>
        <v>8.8918331738954299E-24</v>
      </c>
      <c r="I477" s="49">
        <f t="shared" si="94"/>
        <v>1.3395276550442718E-22</v>
      </c>
      <c r="J477" s="49">
        <f t="shared" si="94"/>
        <v>1.7475214621437759E-21</v>
      </c>
      <c r="K477" s="49">
        <f t="shared" si="94"/>
        <v>2.0053972672939729E-20</v>
      </c>
      <c r="L477" s="49">
        <f t="shared" si="95"/>
        <v>2.0494485192662244E-19</v>
      </c>
      <c r="M477" s="49">
        <f t="shared" si="95"/>
        <v>1.883879506043453E-18</v>
      </c>
      <c r="N477" s="49">
        <f t="shared" si="95"/>
        <v>1.5703928523291252E-17</v>
      </c>
      <c r="O477" s="49">
        <f t="shared" si="95"/>
        <v>1.1953192676340383E-16</v>
      </c>
      <c r="P477" s="49">
        <f t="shared" si="95"/>
        <v>8.3562557929609373E-16</v>
      </c>
      <c r="Q477" s="49">
        <f t="shared" si="95"/>
        <v>5.3922128309548786E-15</v>
      </c>
      <c r="R477" s="49">
        <f t="shared" si="95"/>
        <v>3.2258017729318224E-14</v>
      </c>
      <c r="S477" s="49">
        <f t="shared" si="95"/>
        <v>1.7958761179428655E-13</v>
      </c>
      <c r="T477" s="49">
        <f t="shared" si="95"/>
        <v>9.3355732175489067E-13</v>
      </c>
      <c r="U477" s="49">
        <f t="shared" si="95"/>
        <v>4.5449192714526165E-12</v>
      </c>
      <c r="V477" s="49">
        <f t="shared" si="95"/>
        <v>2.0777271464847218E-11</v>
      </c>
      <c r="W477" s="47">
        <v>0.52600000000000002</v>
      </c>
    </row>
    <row r="478" spans="2:23" x14ac:dyDescent="0.25">
      <c r="B478" s="49">
        <f t="shared" si="94"/>
        <v>4.6492270137990042E-33</v>
      </c>
      <c r="C478" s="49">
        <f t="shared" si="94"/>
        <v>5.1860042532603131E-31</v>
      </c>
      <c r="D478" s="49">
        <f t="shared" si="94"/>
        <v>2.8641931592408291E-29</v>
      </c>
      <c r="E478" s="49">
        <f t="shared" si="94"/>
        <v>1.044211805812381E-27</v>
      </c>
      <c r="F478" s="49">
        <f t="shared" si="94"/>
        <v>2.8268612530648836E-26</v>
      </c>
      <c r="G478" s="49">
        <f t="shared" si="94"/>
        <v>6.0609168889188232E-25</v>
      </c>
      <c r="H478" s="49">
        <f t="shared" si="94"/>
        <v>1.0719583110944931E-23</v>
      </c>
      <c r="I478" s="49">
        <f t="shared" si="94"/>
        <v>1.608481524601757E-22</v>
      </c>
      <c r="J478" s="49">
        <f t="shared" si="94"/>
        <v>2.0900926850147954E-21</v>
      </c>
      <c r="K478" s="49">
        <f t="shared" si="94"/>
        <v>2.3890374870979513E-20</v>
      </c>
      <c r="L478" s="49">
        <f t="shared" si="95"/>
        <v>2.4318681172771896E-19</v>
      </c>
      <c r="M478" s="49">
        <f t="shared" si="95"/>
        <v>2.2265763398509087E-18</v>
      </c>
      <c r="N478" s="49">
        <f t="shared" si="95"/>
        <v>1.8487377583948513E-17</v>
      </c>
      <c r="O478" s="49">
        <f t="shared" si="95"/>
        <v>1.4016339177271277E-16</v>
      </c>
      <c r="P478" s="49">
        <f t="shared" si="95"/>
        <v>9.7599435199704863E-16</v>
      </c>
      <c r="Q478" s="49">
        <f t="shared" si="95"/>
        <v>6.2731954064791681E-15</v>
      </c>
      <c r="R478" s="49">
        <f t="shared" si="95"/>
        <v>3.7380670294903255E-14</v>
      </c>
      <c r="S478" s="49">
        <f t="shared" si="95"/>
        <v>2.0728835888084047E-13</v>
      </c>
      <c r="T478" s="49">
        <f t="shared" si="95"/>
        <v>1.0733226242790503E-12</v>
      </c>
      <c r="U478" s="49">
        <f t="shared" si="95"/>
        <v>5.2048471210562011E-12</v>
      </c>
      <c r="V478" s="49">
        <f t="shared" si="95"/>
        <v>2.3700893641124129E-11</v>
      </c>
      <c r="W478" s="47">
        <v>0.52500000000000002</v>
      </c>
    </row>
    <row r="479" spans="2:23" x14ac:dyDescent="0.25">
      <c r="B479" s="49">
        <f t="shared" si="94"/>
        <v>5.7375038024804486E-33</v>
      </c>
      <c r="C479" s="49">
        <f t="shared" si="94"/>
        <v>6.3745455402647572E-31</v>
      </c>
      <c r="D479" s="49">
        <f t="shared" si="94"/>
        <v>3.5066577457567977E-29</v>
      </c>
      <c r="E479" s="49">
        <f t="shared" si="94"/>
        <v>1.273371188653295E-27</v>
      </c>
      <c r="F479" s="49">
        <f t="shared" si="94"/>
        <v>3.4335780043601274E-26</v>
      </c>
      <c r="G479" s="49">
        <f t="shared" si="94"/>
        <v>7.3325909610007732E-25</v>
      </c>
      <c r="H479" s="49">
        <f t="shared" si="94"/>
        <v>1.2917381138643963E-23</v>
      </c>
      <c r="I479" s="49">
        <f t="shared" si="94"/>
        <v>1.9305937268143612E-22</v>
      </c>
      <c r="J479" s="49">
        <f t="shared" si="94"/>
        <v>2.4987305779962697E-21</v>
      </c>
      <c r="K479" s="49">
        <f t="shared" si="94"/>
        <v>2.8448332334301024E-20</v>
      </c>
      <c r="L479" s="49">
        <f t="shared" si="95"/>
        <v>2.8843952833040754E-19</v>
      </c>
      <c r="M479" s="49">
        <f t="shared" si="95"/>
        <v>2.6304755330706377E-18</v>
      </c>
      <c r="N479" s="49">
        <f t="shared" si="95"/>
        <v>2.175479447681981E-17</v>
      </c>
      <c r="O479" s="49">
        <f t="shared" si="95"/>
        <v>1.64285192122788E-16</v>
      </c>
      <c r="P479" s="49">
        <f t="shared" si="95"/>
        <v>1.1394532370792384E-15</v>
      </c>
      <c r="Q479" s="49">
        <f t="shared" si="95"/>
        <v>7.2949902983452765E-15</v>
      </c>
      <c r="R479" s="49">
        <f t="shared" si="95"/>
        <v>4.3298325932087464E-14</v>
      </c>
      <c r="S479" s="49">
        <f t="shared" si="95"/>
        <v>2.3916001627107392E-13</v>
      </c>
      <c r="T479" s="49">
        <f t="shared" si="95"/>
        <v>1.2334888397972086E-12</v>
      </c>
      <c r="U479" s="49">
        <f t="shared" si="95"/>
        <v>5.9580749904558244E-12</v>
      </c>
      <c r="V479" s="49">
        <f t="shared" si="95"/>
        <v>2.7024499766000037E-11</v>
      </c>
      <c r="W479" s="47">
        <v>0.52400000000000002</v>
      </c>
    </row>
    <row r="480" spans="2:23" x14ac:dyDescent="0.25">
      <c r="B480" s="49">
        <f t="shared" si="94"/>
        <v>7.077396213247963E-33</v>
      </c>
      <c r="C480" s="49">
        <f t="shared" si="94"/>
        <v>7.8320287274298431E-31</v>
      </c>
      <c r="D480" s="49">
        <f t="shared" si="94"/>
        <v>4.2913460779857764E-29</v>
      </c>
      <c r="E480" s="49">
        <f t="shared" si="94"/>
        <v>1.5521401169363088E-27</v>
      </c>
      <c r="F480" s="49">
        <f t="shared" si="94"/>
        <v>4.1686864759438374E-26</v>
      </c>
      <c r="G480" s="49">
        <f t="shared" si="94"/>
        <v>8.8672078691166855E-25</v>
      </c>
      <c r="H480" s="49">
        <f t="shared" si="94"/>
        <v>1.5559003072800401E-23</v>
      </c>
      <c r="I480" s="49">
        <f t="shared" si="94"/>
        <v>2.3162041639502556E-22</v>
      </c>
      <c r="J480" s="49">
        <f t="shared" si="94"/>
        <v>2.985966119040233E-21</v>
      </c>
      <c r="K480" s="49">
        <f t="shared" si="94"/>
        <v>3.3861223715069579E-20</v>
      </c>
      <c r="L480" s="49">
        <f t="shared" si="95"/>
        <v>3.4196523638048139E-19</v>
      </c>
      <c r="M480" s="49">
        <f t="shared" si="95"/>
        <v>3.1063029602248157E-18</v>
      </c>
      <c r="N480" s="49">
        <f t="shared" si="95"/>
        <v>2.558868543567908E-17</v>
      </c>
      <c r="O480" s="49">
        <f t="shared" si="95"/>
        <v>1.9247574842723039E-16</v>
      </c>
      <c r="P480" s="49">
        <f t="shared" si="95"/>
        <v>1.3297192339646246E-15</v>
      </c>
      <c r="Q480" s="49">
        <f t="shared" si="95"/>
        <v>8.479599486371617E-15</v>
      </c>
      <c r="R480" s="49">
        <f t="shared" si="95"/>
        <v>5.0131457446788476E-14</v>
      </c>
      <c r="S480" s="49">
        <f t="shared" si="95"/>
        <v>2.7581503620012519E-13</v>
      </c>
      <c r="T480" s="49">
        <f t="shared" si="95"/>
        <v>1.4169560456656E-12</v>
      </c>
      <c r="U480" s="49">
        <f t="shared" si="95"/>
        <v>6.8174300428404779E-12</v>
      </c>
      <c r="V480" s="49">
        <f t="shared" si="95"/>
        <v>3.0801217487041778E-11</v>
      </c>
      <c r="W480" s="47">
        <v>0.52300000000000002</v>
      </c>
    </row>
    <row r="481" spans="2:23" x14ac:dyDescent="0.25">
      <c r="B481" s="49">
        <f t="shared" si="94"/>
        <v>8.7263599802866112E-33</v>
      </c>
      <c r="C481" s="49">
        <f t="shared" si="94"/>
        <v>9.6185318829472627E-31</v>
      </c>
      <c r="D481" s="49">
        <f t="shared" si="94"/>
        <v>5.2493261553744396E-29</v>
      </c>
      <c r="E481" s="49">
        <f t="shared" si="94"/>
        <v>1.891111235336787E-27</v>
      </c>
      <c r="F481" s="49">
        <f t="shared" si="94"/>
        <v>5.0589709651218283E-26</v>
      </c>
      <c r="G481" s="49">
        <f t="shared" si="94"/>
        <v>1.0718335684905144E-24</v>
      </c>
      <c r="H481" s="49">
        <f t="shared" si="94"/>
        <v>1.8732705021441553E-23</v>
      </c>
      <c r="I481" s="49">
        <f t="shared" si="94"/>
        <v>2.7776314849406449E-22</v>
      </c>
      <c r="J481" s="49">
        <f t="shared" si="94"/>
        <v>3.5666670656512207E-21</v>
      </c>
      <c r="K481" s="49">
        <f t="shared" si="94"/>
        <v>4.0286649843753741E-20</v>
      </c>
      <c r="L481" s="49">
        <f t="shared" si="95"/>
        <v>4.052492612445323E-19</v>
      </c>
      <c r="M481" s="49">
        <f t="shared" si="95"/>
        <v>3.6666282082409954E-18</v>
      </c>
      <c r="N481" s="49">
        <f t="shared" si="95"/>
        <v>3.0085340001177763E-17</v>
      </c>
      <c r="O481" s="49">
        <f t="shared" si="95"/>
        <v>2.2540732059671568E-16</v>
      </c>
      <c r="P481" s="49">
        <f t="shared" si="95"/>
        <v>1.5510944756940504E-15</v>
      </c>
      <c r="Q481" s="49">
        <f t="shared" si="95"/>
        <v>9.8523828689206431E-15</v>
      </c>
      <c r="R481" s="49">
        <f t="shared" si="95"/>
        <v>5.8018346750732238E-14</v>
      </c>
      <c r="S481" s="49">
        <f t="shared" si="95"/>
        <v>3.1795347827943959E-13</v>
      </c>
      <c r="T481" s="49">
        <f t="shared" si="95"/>
        <v>1.6270253084249053E-12</v>
      </c>
      <c r="U481" s="49">
        <f t="shared" si="95"/>
        <v>7.797451869893751E-12</v>
      </c>
      <c r="V481" s="49">
        <f t="shared" si="95"/>
        <v>3.5091013974088938E-11</v>
      </c>
      <c r="W481" s="47">
        <v>0.52200000000000002</v>
      </c>
    </row>
    <row r="482" spans="2:23" x14ac:dyDescent="0.25">
      <c r="B482" s="49">
        <f t="shared" si="94"/>
        <v>1.0754807218413319E-32</v>
      </c>
      <c r="C482" s="49">
        <f t="shared" si="94"/>
        <v>1.1807380633728289E-30</v>
      </c>
      <c r="D482" s="49">
        <f t="shared" si="94"/>
        <v>6.4183619395511845E-29</v>
      </c>
      <c r="E482" s="49">
        <f t="shared" si="94"/>
        <v>2.3031076024515796E-27</v>
      </c>
      <c r="F482" s="49">
        <f t="shared" si="94"/>
        <v>6.1367230207813725E-26</v>
      </c>
      <c r="G482" s="49">
        <f t="shared" si="94"/>
        <v>1.2950292678976334E-24</v>
      </c>
      <c r="H482" s="49">
        <f t="shared" si="94"/>
        <v>2.2544020658591819E-23</v>
      </c>
      <c r="I482" s="49">
        <f t="shared" si="94"/>
        <v>3.3295455303429167E-22</v>
      </c>
      <c r="J482" s="49">
        <f t="shared" si="94"/>
        <v>4.2584662374424775E-21</v>
      </c>
      <c r="K482" s="49">
        <f t="shared" si="94"/>
        <v>4.7910753664039501E-20</v>
      </c>
      <c r="L482" s="49">
        <f t="shared" si="95"/>
        <v>4.8003870824903999E-19</v>
      </c>
      <c r="M482" s="49">
        <f t="shared" si="95"/>
        <v>4.3261752618511563E-18</v>
      </c>
      <c r="N482" s="49">
        <f t="shared" si="95"/>
        <v>3.5357086056748773E-17</v>
      </c>
      <c r="O482" s="49">
        <f t="shared" si="95"/>
        <v>2.6386090101878299E-16</v>
      </c>
      <c r="P482" s="49">
        <f t="shared" si="95"/>
        <v>1.8085562335949116E-15</v>
      </c>
      <c r="Q482" s="49">
        <f t="shared" si="95"/>
        <v>1.1442558370596727E-14</v>
      </c>
      <c r="R482" s="49">
        <f t="shared" si="95"/>
        <v>6.7117650308597024E-14</v>
      </c>
      <c r="S482" s="49">
        <f t="shared" si="95"/>
        <v>3.6637520212934047E-13</v>
      </c>
      <c r="T482" s="49">
        <f t="shared" si="95"/>
        <v>1.8674525347086499E-12</v>
      </c>
      <c r="U482" s="49">
        <f t="shared" si="95"/>
        <v>8.9146141061897239E-12</v>
      </c>
      <c r="V482" s="49">
        <f t="shared" si="95"/>
        <v>3.9961547655746537E-11</v>
      </c>
      <c r="W482" s="47">
        <v>0.52100000000000002</v>
      </c>
    </row>
    <row r="483" spans="2:23" x14ac:dyDescent="0.25">
      <c r="B483" s="49">
        <f t="shared" ref="B483:K492" si="96">_xlfn.HYPGEOM.DIST(B$2,comau,tongtheN*$W483,tongtheN,TRUE)</f>
        <v>1.3248991415087699E-32</v>
      </c>
      <c r="C483" s="49">
        <f t="shared" si="96"/>
        <v>1.4488031305839695E-30</v>
      </c>
      <c r="D483" s="49">
        <f t="shared" si="96"/>
        <v>7.844337024567952E-29</v>
      </c>
      <c r="E483" s="49">
        <f t="shared" si="96"/>
        <v>2.8036457494005101E-27</v>
      </c>
      <c r="F483" s="49">
        <f t="shared" si="96"/>
        <v>7.4408573207618839E-26</v>
      </c>
      <c r="G483" s="49">
        <f t="shared" si="96"/>
        <v>1.5640272006426749E-24</v>
      </c>
      <c r="H483" s="49">
        <f t="shared" si="96"/>
        <v>2.7119090198626727E-23</v>
      </c>
      <c r="I483" s="49">
        <f t="shared" si="96"/>
        <v>3.98940870489596E-22</v>
      </c>
      <c r="J483" s="49">
        <f t="shared" si="96"/>
        <v>5.0822669177633473E-21</v>
      </c>
      <c r="K483" s="49">
        <f t="shared" si="96"/>
        <v>5.6953296463889409E-20</v>
      </c>
      <c r="L483" s="49">
        <f t="shared" ref="L483:V492" si="97">_xlfn.HYPGEOM.DIST(L$2,comau,tongtheN*$W483,tongtheN,TRUE)</f>
        <v>5.6838773229136941E-19</v>
      </c>
      <c r="M483" s="49">
        <f t="shared" si="97"/>
        <v>5.1021844829381839E-18</v>
      </c>
      <c r="N483" s="49">
        <f t="shared" si="97"/>
        <v>4.1534905939935563E-17</v>
      </c>
      <c r="O483" s="49">
        <f t="shared" si="97"/>
        <v>3.0874341829572941E-16</v>
      </c>
      <c r="P483" s="49">
        <f t="shared" si="97"/>
        <v>2.1078604374965269E-15</v>
      </c>
      <c r="Q483" s="49">
        <f t="shared" si="97"/>
        <v>1.3283774658808202E-14</v>
      </c>
      <c r="R483" s="49">
        <f t="shared" si="97"/>
        <v>7.7611324271918383E-14</v>
      </c>
      <c r="S483" s="49">
        <f t="shared" si="97"/>
        <v>4.2199370865084071E-13</v>
      </c>
      <c r="T483" s="49">
        <f t="shared" si="97"/>
        <v>2.1425093345451509E-12</v>
      </c>
      <c r="U483" s="49">
        <f t="shared" si="97"/>
        <v>1.0187573791681374E-11</v>
      </c>
      <c r="V483" s="49">
        <f t="shared" si="97"/>
        <v>4.5489122319887364E-11</v>
      </c>
      <c r="W483" s="47">
        <v>0.52</v>
      </c>
    </row>
    <row r="484" spans="2:23" x14ac:dyDescent="0.25">
      <c r="B484" s="49">
        <f t="shared" si="96"/>
        <v>1.6314526688092277E-32</v>
      </c>
      <c r="C484" s="49">
        <f t="shared" si="96"/>
        <v>1.7769573294806557E-30</v>
      </c>
      <c r="D484" s="49">
        <f t="shared" si="96"/>
        <v>9.5829768718719332E-29</v>
      </c>
      <c r="E484" s="49">
        <f t="shared" si="96"/>
        <v>3.4114935104912229E-27</v>
      </c>
      <c r="F484" s="49">
        <f t="shared" si="96"/>
        <v>9.0182503087754393E-26</v>
      </c>
      <c r="G484" s="49">
        <f t="shared" si="96"/>
        <v>1.8880879855720566E-24</v>
      </c>
      <c r="H484" s="49">
        <f t="shared" si="96"/>
        <v>3.2608620484963083E-23</v>
      </c>
      <c r="I484" s="49">
        <f t="shared" si="96"/>
        <v>4.7779988158510415E-22</v>
      </c>
      <c r="J484" s="49">
        <f t="shared" si="96"/>
        <v>6.0628390120237502E-21</v>
      </c>
      <c r="K484" s="49">
        <f t="shared" si="96"/>
        <v>6.7673620316656503E-20</v>
      </c>
      <c r="L484" s="49">
        <f t="shared" si="97"/>
        <v>6.7271048487523108E-19</v>
      </c>
      <c r="M484" s="49">
        <f t="shared" si="97"/>
        <v>6.0148341757579895E-18</v>
      </c>
      <c r="N484" s="49">
        <f t="shared" si="97"/>
        <v>4.8771470170674108E-17</v>
      </c>
      <c r="O484" s="49">
        <f t="shared" si="97"/>
        <v>3.6110760164741822E-16</v>
      </c>
      <c r="P484" s="49">
        <f t="shared" si="97"/>
        <v>2.4556606908512275E-15</v>
      </c>
      <c r="Q484" s="49">
        <f t="shared" si="97"/>
        <v>1.5414766733645398E-14</v>
      </c>
      <c r="R484" s="49">
        <f t="shared" si="97"/>
        <v>8.9707958313981072E-14</v>
      </c>
      <c r="S484" s="49">
        <f t="shared" si="97"/>
        <v>4.8585184616403226E-13</v>
      </c>
      <c r="T484" s="49">
        <f t="shared" si="97"/>
        <v>2.4570517807503324E-12</v>
      </c>
      <c r="U484" s="49">
        <f t="shared" si="97"/>
        <v>1.1637451835819076E-11</v>
      </c>
      <c r="V484" s="49">
        <f t="shared" si="97"/>
        <v>5.1759755417602085E-11</v>
      </c>
      <c r="W484" s="47">
        <v>0.51900000000000002</v>
      </c>
    </row>
    <row r="485" spans="2:23" x14ac:dyDescent="0.25">
      <c r="B485" s="49">
        <f t="shared" si="96"/>
        <v>2.0080678971981627E-32</v>
      </c>
      <c r="C485" s="49">
        <f t="shared" si="96"/>
        <v>2.1784981897464646E-30</v>
      </c>
      <c r="D485" s="49">
        <f t="shared" si="96"/>
        <v>1.1701931359563702E-28</v>
      </c>
      <c r="E485" s="49">
        <f t="shared" si="96"/>
        <v>4.149341743831249E-27</v>
      </c>
      <c r="F485" s="49">
        <f t="shared" si="96"/>
        <v>1.0925345393642927E-25</v>
      </c>
      <c r="G485" s="49">
        <f t="shared" si="96"/>
        <v>2.2783166262614504E-24</v>
      </c>
      <c r="H485" s="49">
        <f t="shared" si="96"/>
        <v>3.9192593885223517E-23</v>
      </c>
      <c r="I485" s="49">
        <f t="shared" si="96"/>
        <v>5.7200281561858838E-22</v>
      </c>
      <c r="J485" s="49">
        <f t="shared" si="96"/>
        <v>7.2295219677586097E-21</v>
      </c>
      <c r="K485" s="49">
        <f t="shared" si="96"/>
        <v>8.0377648531232113E-20</v>
      </c>
      <c r="L485" s="49">
        <f t="shared" si="97"/>
        <v>7.9584301479207791E-19</v>
      </c>
      <c r="M485" s="49">
        <f t="shared" si="97"/>
        <v>7.0877313415145721E-18</v>
      </c>
      <c r="N485" s="49">
        <f t="shared" si="97"/>
        <v>5.7244653989900472E-17</v>
      </c>
      <c r="O485" s="49">
        <f t="shared" si="97"/>
        <v>4.2217490784824005E-16</v>
      </c>
      <c r="P485" s="49">
        <f t="shared" si="97"/>
        <v>2.8596450425030658E-15</v>
      </c>
      <c r="Q485" s="49">
        <f t="shared" si="97"/>
        <v>1.78801060664873E-14</v>
      </c>
      <c r="R485" s="49">
        <f t="shared" si="97"/>
        <v>1.0364657366113091E-13</v>
      </c>
      <c r="S485" s="49">
        <f t="shared" si="97"/>
        <v>5.5913962509479454E-13</v>
      </c>
      <c r="T485" s="49">
        <f t="shared" si="97"/>
        <v>2.8165980556268129E-12</v>
      </c>
      <c r="U485" s="49">
        <f t="shared" si="97"/>
        <v>1.3288148326934E-11</v>
      </c>
      <c r="V485" s="49">
        <f t="shared" si="97"/>
        <v>5.8870373723283511E-11</v>
      </c>
      <c r="W485" s="47">
        <v>0.51800000000000002</v>
      </c>
    </row>
    <row r="486" spans="2:23" x14ac:dyDescent="0.25">
      <c r="B486" s="49">
        <f t="shared" si="96"/>
        <v>2.470559629060455E-32</v>
      </c>
      <c r="C486" s="49">
        <f t="shared" si="96"/>
        <v>2.6696280276049928E-30</v>
      </c>
      <c r="D486" s="49">
        <f t="shared" si="96"/>
        <v>1.4283291988426149E-28</v>
      </c>
      <c r="E486" s="49">
        <f t="shared" si="96"/>
        <v>5.0446128601929986E-27</v>
      </c>
      <c r="F486" s="49">
        <f t="shared" si="96"/>
        <v>1.3230076995914597E-25</v>
      </c>
      <c r="G486" s="49">
        <f t="shared" si="96"/>
        <v>2.7480242721197838E-24</v>
      </c>
      <c r="H486" s="49">
        <f t="shared" si="96"/>
        <v>4.7085865267058633E-23</v>
      </c>
      <c r="I486" s="49">
        <f t="shared" si="96"/>
        <v>6.8448762461080411E-22</v>
      </c>
      <c r="J486" s="49">
        <f t="shared" si="96"/>
        <v>8.6170532321310267E-21</v>
      </c>
      <c r="K486" s="49">
        <f t="shared" si="96"/>
        <v>9.5426101408933899E-20</v>
      </c>
      <c r="L486" s="49">
        <f t="shared" si="97"/>
        <v>9.4111560648710609E-19</v>
      </c>
      <c r="M486" s="49">
        <f t="shared" si="97"/>
        <v>8.3484827401551163E-18</v>
      </c>
      <c r="N486" s="49">
        <f t="shared" si="97"/>
        <v>6.7161611846099633E-17</v>
      </c>
      <c r="O486" s="49">
        <f t="shared" si="97"/>
        <v>4.93361971790317E-16</v>
      </c>
      <c r="P486" s="49">
        <f t="shared" si="97"/>
        <v>3.3286930984276952E-15</v>
      </c>
      <c r="Q486" s="49">
        <f t="shared" si="97"/>
        <v>2.0731058562006113E-14</v>
      </c>
      <c r="R486" s="49">
        <f t="shared" si="97"/>
        <v>1.1970094812722142E-13</v>
      </c>
      <c r="S486" s="49">
        <f t="shared" si="97"/>
        <v>6.4321441571307521E-13</v>
      </c>
      <c r="T486" s="49">
        <f t="shared" si="97"/>
        <v>3.2274160963040506E-12</v>
      </c>
      <c r="U486" s="49">
        <f t="shared" si="97"/>
        <v>1.5166696864146571E-11</v>
      </c>
      <c r="V486" s="49">
        <f t="shared" si="97"/>
        <v>6.6930150955880033E-11</v>
      </c>
      <c r="W486" s="47">
        <v>0.51700000000000002</v>
      </c>
    </row>
    <row r="487" spans="2:23" x14ac:dyDescent="0.25">
      <c r="B487" s="49">
        <f t="shared" si="96"/>
        <v>3.0382681004262031E-32</v>
      </c>
      <c r="C487" s="49">
        <f t="shared" si="96"/>
        <v>3.2700802323842171E-30</v>
      </c>
      <c r="D487" s="49">
        <f t="shared" si="96"/>
        <v>1.7426633212025623E-28</v>
      </c>
      <c r="E487" s="49">
        <f t="shared" si="96"/>
        <v>6.1304336231989226E-27</v>
      </c>
      <c r="F487" s="49">
        <f t="shared" si="96"/>
        <v>1.6014175826492497E-25</v>
      </c>
      <c r="G487" s="49">
        <f t="shared" si="96"/>
        <v>3.3131598423503642E-24</v>
      </c>
      <c r="H487" s="49">
        <f t="shared" si="96"/>
        <v>5.6544811801245968E-23</v>
      </c>
      <c r="I487" s="49">
        <f t="shared" si="96"/>
        <v>8.1874567417011097E-22</v>
      </c>
      <c r="J487" s="49">
        <f t="shared" si="96"/>
        <v>1.0266544263837078E-20</v>
      </c>
      <c r="K487" s="49">
        <f t="shared" si="96"/>
        <v>1.1324413430150321E-19</v>
      </c>
      <c r="L487" s="49">
        <f t="shared" si="97"/>
        <v>1.1124372810914866E-18</v>
      </c>
      <c r="M487" s="49">
        <f t="shared" si="97"/>
        <v>9.8293591250943386E-18</v>
      </c>
      <c r="N487" s="49">
        <f t="shared" si="97"/>
        <v>7.8763496392548604E-17</v>
      </c>
      <c r="O487" s="49">
        <f t="shared" si="97"/>
        <v>5.7631110949253415E-16</v>
      </c>
      <c r="P487" s="49">
        <f t="shared" si="97"/>
        <v>3.873056422822488E-15</v>
      </c>
      <c r="Q487" s="49">
        <f t="shared" si="97"/>
        <v>2.4026565430148563E-14</v>
      </c>
      <c r="R487" s="49">
        <f t="shared" si="97"/>
        <v>1.3818453920192322E-13</v>
      </c>
      <c r="S487" s="49">
        <f t="shared" si="97"/>
        <v>7.3962383801192688E-13</v>
      </c>
      <c r="T487" s="49">
        <f t="shared" si="97"/>
        <v>3.6966224841774262E-12</v>
      </c>
      <c r="U487" s="49">
        <f t="shared" si="97"/>
        <v>1.7303662570860135E-11</v>
      </c>
      <c r="V487" s="49">
        <f t="shared" si="97"/>
        <v>7.6062003571760972E-11</v>
      </c>
      <c r="W487" s="47">
        <v>0.51600000000000001</v>
      </c>
    </row>
    <row r="488" spans="2:23" x14ac:dyDescent="0.25">
      <c r="B488" s="49">
        <f t="shared" si="96"/>
        <v>3.7348350190097049E-32</v>
      </c>
      <c r="C488" s="49">
        <f t="shared" si="96"/>
        <v>4.0038788111241431E-30</v>
      </c>
      <c r="D488" s="49">
        <f t="shared" si="96"/>
        <v>2.1252685516655349E-28</v>
      </c>
      <c r="E488" s="49">
        <f t="shared" si="96"/>
        <v>7.4468051165988316E-27</v>
      </c>
      <c r="F488" s="49">
        <f t="shared" si="96"/>
        <v>1.9375929802128982E-25</v>
      </c>
      <c r="G488" s="49">
        <f t="shared" si="96"/>
        <v>3.9928247932661204E-24</v>
      </c>
      <c r="H488" s="49">
        <f t="shared" si="96"/>
        <v>6.7875230390766396E-23</v>
      </c>
      <c r="I488" s="49">
        <f t="shared" si="96"/>
        <v>9.7892426554419267E-22</v>
      </c>
      <c r="J488" s="49">
        <f t="shared" si="96"/>
        <v>1.2226629906617847E-20</v>
      </c>
      <c r="K488" s="49">
        <f t="shared" si="96"/>
        <v>1.3433263953613769E-19</v>
      </c>
      <c r="L488" s="49">
        <f t="shared" si="97"/>
        <v>1.3143944643411568E-18</v>
      </c>
      <c r="M488" s="49">
        <f t="shared" si="97"/>
        <v>1.1568067533061332E-17</v>
      </c>
      <c r="N488" s="49">
        <f t="shared" si="97"/>
        <v>9.233092167879472E-17</v>
      </c>
      <c r="O488" s="49">
        <f t="shared" si="97"/>
        <v>6.7292547979839229E-16</v>
      </c>
      <c r="P488" s="49">
        <f t="shared" si="97"/>
        <v>4.5045655944413111E-15</v>
      </c>
      <c r="Q488" s="49">
        <f t="shared" si="97"/>
        <v>2.7834364106634481E-14</v>
      </c>
      <c r="R488" s="49">
        <f t="shared" si="97"/>
        <v>1.5945608553554391E-13</v>
      </c>
      <c r="S488" s="49">
        <f t="shared" si="97"/>
        <v>8.5013169161036093E-13</v>
      </c>
      <c r="T488" s="49">
        <f t="shared" si="97"/>
        <v>4.2322939736119754E-12</v>
      </c>
      <c r="U488" s="49">
        <f t="shared" si="97"/>
        <v>1.9733588983940395E-11</v>
      </c>
      <c r="V488" s="49">
        <f t="shared" si="97"/>
        <v>8.6404262713490504E-11</v>
      </c>
      <c r="W488" s="47">
        <v>0.51500000000000001</v>
      </c>
    </row>
    <row r="489" spans="2:23" x14ac:dyDescent="0.25">
      <c r="B489" s="49">
        <f t="shared" si="96"/>
        <v>4.5891482692740433E-32</v>
      </c>
      <c r="C489" s="49">
        <f t="shared" si="96"/>
        <v>4.9002591694026825E-30</v>
      </c>
      <c r="D489" s="49">
        <f t="shared" si="96"/>
        <v>2.5907769668866477E-28</v>
      </c>
      <c r="E489" s="49">
        <f t="shared" si="96"/>
        <v>9.0420092659461015E-27</v>
      </c>
      <c r="F489" s="49">
        <f t="shared" si="96"/>
        <v>2.3433489303237318E-25</v>
      </c>
      <c r="G489" s="49">
        <f t="shared" si="96"/>
        <v>4.8098867937766021E-24</v>
      </c>
      <c r="H489" s="49">
        <f t="shared" si="96"/>
        <v>8.1441712965136706E-23</v>
      </c>
      <c r="I489" s="49">
        <f t="shared" si="96"/>
        <v>1.1699478302213761E-21</v>
      </c>
      <c r="J489" s="49">
        <f t="shared" si="96"/>
        <v>1.4554821362015143E-20</v>
      </c>
      <c r="K489" s="49">
        <f t="shared" si="96"/>
        <v>1.5928149400409234E-19</v>
      </c>
      <c r="L489" s="49">
        <f t="shared" si="97"/>
        <v>1.552366149085887E-18</v>
      </c>
      <c r="M489" s="49">
        <f t="shared" si="97"/>
        <v>1.3608648836681548E-17</v>
      </c>
      <c r="N489" s="49">
        <f t="shared" si="97"/>
        <v>1.0819028528207462E-16</v>
      </c>
      <c r="O489" s="49">
        <f t="shared" si="97"/>
        <v>7.8540959947351527E-16</v>
      </c>
      <c r="P489" s="49">
        <f t="shared" si="97"/>
        <v>5.2368677577864585E-15</v>
      </c>
      <c r="Q489" s="49">
        <f t="shared" si="97"/>
        <v>3.2232268683328274E-14</v>
      </c>
      <c r="R489" s="49">
        <f t="shared" si="97"/>
        <v>1.839259776310487E-13</v>
      </c>
      <c r="S489" s="49">
        <f t="shared" si="97"/>
        <v>9.7674731705624442E-13</v>
      </c>
      <c r="T489" s="49">
        <f t="shared" si="97"/>
        <v>4.8435932220930484E-12</v>
      </c>
      <c r="U489" s="49">
        <f t="shared" si="97"/>
        <v>2.2495499606646758E-11</v>
      </c>
      <c r="V489" s="49">
        <f t="shared" si="97"/>
        <v>9.8112542257685765E-11</v>
      </c>
      <c r="W489" s="47">
        <v>0.51400000000000001</v>
      </c>
    </row>
    <row r="490" spans="2:23" x14ac:dyDescent="0.25">
      <c r="B490" s="49">
        <f t="shared" si="96"/>
        <v>5.6364914761527836E-32</v>
      </c>
      <c r="C490" s="49">
        <f t="shared" si="96"/>
        <v>5.9947839020980887E-30</v>
      </c>
      <c r="D490" s="49">
        <f t="shared" si="96"/>
        <v>3.1569147690362216E-28</v>
      </c>
      <c r="E490" s="49">
        <f t="shared" si="96"/>
        <v>1.0974299055619137E-26</v>
      </c>
      <c r="F490" s="49">
        <f t="shared" si="96"/>
        <v>2.8328822486074236E-25</v>
      </c>
      <c r="G490" s="49">
        <f t="shared" si="96"/>
        <v>5.7917110153943029E-24</v>
      </c>
      <c r="H490" s="49">
        <f t="shared" si="96"/>
        <v>9.767877165803424E-23</v>
      </c>
      <c r="I490" s="49">
        <f t="shared" si="96"/>
        <v>1.3976611394566566E-21</v>
      </c>
      <c r="J490" s="49">
        <f t="shared" si="96"/>
        <v>1.7319098175626818E-20</v>
      </c>
      <c r="K490" s="49">
        <f t="shared" si="96"/>
        <v>1.8878508100572459E-19</v>
      </c>
      <c r="L490" s="49">
        <f t="shared" si="97"/>
        <v>1.8326582546821778E-18</v>
      </c>
      <c r="M490" s="49">
        <f t="shared" si="97"/>
        <v>1.6002520448012012E-17</v>
      </c>
      <c r="N490" s="49">
        <f t="shared" si="97"/>
        <v>1.2672108140773256E-16</v>
      </c>
      <c r="O490" s="49">
        <f t="shared" si="97"/>
        <v>9.163160074620335E-16</v>
      </c>
      <c r="P490" s="49">
        <f t="shared" si="97"/>
        <v>6.0856990473311404E-15</v>
      </c>
      <c r="Q490" s="49">
        <f t="shared" si="97"/>
        <v>3.7309631938135708E-14</v>
      </c>
      <c r="R490" s="49">
        <f t="shared" si="97"/>
        <v>2.1206350034258135E-13</v>
      </c>
      <c r="S490" s="49">
        <f t="shared" si="97"/>
        <v>1.1217588286481575E-12</v>
      </c>
      <c r="T490" s="49">
        <f t="shared" si="97"/>
        <v>5.5409104702580069E-12</v>
      </c>
      <c r="U490" s="49">
        <f t="shared" si="97"/>
        <v>2.5633460572382201E-11</v>
      </c>
      <c r="V490" s="49">
        <f t="shared" si="97"/>
        <v>1.1136182506766287E-10</v>
      </c>
      <c r="W490" s="47">
        <v>0.51300000000000001</v>
      </c>
    </row>
    <row r="491" spans="2:23" x14ac:dyDescent="0.25">
      <c r="B491" s="49">
        <f t="shared" si="96"/>
        <v>6.9199422850683998E-32</v>
      </c>
      <c r="C491" s="49">
        <f t="shared" si="96"/>
        <v>7.3306943476177321E-30</v>
      </c>
      <c r="D491" s="49">
        <f t="shared" si="96"/>
        <v>3.8451477468203184E-28</v>
      </c>
      <c r="E491" s="49">
        <f t="shared" si="96"/>
        <v>1.331392883959807E-26</v>
      </c>
      <c r="F491" s="49">
        <f t="shared" si="96"/>
        <v>3.4232446578063247E-25</v>
      </c>
      <c r="G491" s="49">
        <f t="shared" si="96"/>
        <v>6.9710312245700008E-24</v>
      </c>
      <c r="H491" s="49">
        <f t="shared" si="96"/>
        <v>1.1710403511673175E-22</v>
      </c>
      <c r="I491" s="49">
        <f t="shared" si="96"/>
        <v>1.6689984588682142E-21</v>
      </c>
      <c r="J491" s="49">
        <f t="shared" si="96"/>
        <v>2.0599780697187706E-20</v>
      </c>
      <c r="K491" s="49">
        <f t="shared" si="96"/>
        <v>2.2366046935702977E-19</v>
      </c>
      <c r="L491" s="49">
        <f t="shared" si="97"/>
        <v>2.1626603191534715E-18</v>
      </c>
      <c r="M491" s="49">
        <f t="shared" si="97"/>
        <v>1.8809687150025956E-17</v>
      </c>
      <c r="N491" s="49">
        <f t="shared" si="97"/>
        <v>1.4836435681175733E-16</v>
      </c>
      <c r="O491" s="49">
        <f t="shared" si="97"/>
        <v>1.0685989894269727E-15</v>
      </c>
      <c r="P491" s="49">
        <f t="shared" si="97"/>
        <v>7.0691968749582191E-15</v>
      </c>
      <c r="Q491" s="49">
        <f t="shared" si="97"/>
        <v>4.3169014026810279E-14</v>
      </c>
      <c r="R491" s="49">
        <f t="shared" si="97"/>
        <v>2.4440506304932092E-13</v>
      </c>
      <c r="S491" s="49">
        <f t="shared" si="97"/>
        <v>1.2877707134948324E-12</v>
      </c>
      <c r="T491" s="49">
        <f t="shared" si="97"/>
        <v>6.3360231278494063E-12</v>
      </c>
      <c r="U491" s="49">
        <f t="shared" si="97"/>
        <v>2.9197211597220427E-11</v>
      </c>
      <c r="V491" s="49">
        <f t="shared" si="97"/>
        <v>1.2634879194230532E-10</v>
      </c>
      <c r="W491" s="47">
        <v>0.51200000000000001</v>
      </c>
    </row>
    <row r="492" spans="2:23" x14ac:dyDescent="0.25">
      <c r="B492" s="49">
        <f t="shared" si="96"/>
        <v>8.4920724846665151E-32</v>
      </c>
      <c r="C492" s="49">
        <f t="shared" si="96"/>
        <v>8.9605470619374099E-30</v>
      </c>
      <c r="D492" s="49">
        <f t="shared" si="96"/>
        <v>4.6814595484433322E-28</v>
      </c>
      <c r="E492" s="49">
        <f t="shared" si="96"/>
        <v>1.6145592192987471E-26</v>
      </c>
      <c r="F492" s="49">
        <f t="shared" si="96"/>
        <v>4.1349085108264675E-25</v>
      </c>
      <c r="G492" s="49">
        <f t="shared" si="96"/>
        <v>8.3869869840728834E-24</v>
      </c>
      <c r="H492" s="49">
        <f t="shared" si="96"/>
        <v>1.4033389518015743E-22</v>
      </c>
      <c r="I492" s="49">
        <f t="shared" si="96"/>
        <v>1.9921832675226546E-21</v>
      </c>
      <c r="J492" s="49">
        <f t="shared" si="96"/>
        <v>2.4491731533495097E-20</v>
      </c>
      <c r="K492" s="49">
        <f t="shared" si="96"/>
        <v>2.6486869600411479E-19</v>
      </c>
      <c r="L492" s="49">
        <f t="shared" si="97"/>
        <v>2.5510281616829481E-18</v>
      </c>
      <c r="M492" s="49">
        <f t="shared" si="97"/>
        <v>2.210014659065133E-17</v>
      </c>
      <c r="N492" s="49">
        <f t="shared" si="97"/>
        <v>1.7363248412740039E-16</v>
      </c>
      <c r="O492" s="49">
        <f t="shared" si="97"/>
        <v>1.2456764053624443E-15</v>
      </c>
      <c r="P492" s="49">
        <f t="shared" si="97"/>
        <v>8.2082577659987052E-15</v>
      </c>
      <c r="Q492" s="49">
        <f t="shared" si="97"/>
        <v>4.992808625984187E-14</v>
      </c>
      <c r="R492" s="49">
        <f t="shared" si="97"/>
        <v>2.815635483035188E-13</v>
      </c>
      <c r="S492" s="49">
        <f t="shared" si="97"/>
        <v>1.4777463526653059E-12</v>
      </c>
      <c r="T492" s="49">
        <f t="shared" si="97"/>
        <v>7.2422754529351186E-12</v>
      </c>
      <c r="U492" s="49">
        <f t="shared" si="97"/>
        <v>3.3242873209402721E-11</v>
      </c>
      <c r="V492" s="49">
        <f t="shared" si="97"/>
        <v>1.4329442038400009E-10</v>
      </c>
      <c r="W492" s="47">
        <v>0.51100000000000001</v>
      </c>
    </row>
    <row r="493" spans="2:23" x14ac:dyDescent="0.25">
      <c r="B493" s="49">
        <f t="shared" ref="B493:K502" si="98">_xlfn.HYPGEOM.DIST(B$2,comau,tongtheN*$W493,tongtheN,TRUE)</f>
        <v>1.0417014300916741E-31</v>
      </c>
      <c r="C493" s="49">
        <f t="shared" si="98"/>
        <v>1.0948194480714237E-29</v>
      </c>
      <c r="D493" s="49">
        <f t="shared" si="98"/>
        <v>5.6972897173139822E-28</v>
      </c>
      <c r="E493" s="49">
        <f t="shared" si="98"/>
        <v>1.9571347932316585E-26</v>
      </c>
      <c r="F493" s="49">
        <f t="shared" si="98"/>
        <v>4.9924429560109759E-25</v>
      </c>
      <c r="G493" s="49">
        <f t="shared" si="98"/>
        <v>1.0086358141213625E-23</v>
      </c>
      <c r="H493" s="49">
        <f t="shared" si="98"/>
        <v>1.6810205143935992E-22</v>
      </c>
      <c r="I493" s="49">
        <f t="shared" si="98"/>
        <v>2.3769639689109074E-21</v>
      </c>
      <c r="J493" s="49">
        <f t="shared" si="98"/>
        <v>2.9106942750817181E-20</v>
      </c>
      <c r="K493" s="49">
        <f t="shared" si="98"/>
        <v>3.1353967186593611E-19</v>
      </c>
      <c r="L493" s="49">
        <f t="shared" ref="L493:V502" si="99">_xlfn.HYPGEOM.DIST(L$2,comau,tongtheN*$W493,tongtheN,TRUE)</f>
        <v>3.0078967332314399E-18</v>
      </c>
      <c r="M493" s="49">
        <f t="shared" si="99"/>
        <v>2.5955520069951372E-17</v>
      </c>
      <c r="N493" s="49">
        <f t="shared" si="99"/>
        <v>2.031204532262201E-16</v>
      </c>
      <c r="O493" s="49">
        <f t="shared" si="99"/>
        <v>1.4515008132578465E-15</v>
      </c>
      <c r="P493" s="49">
        <f t="shared" si="99"/>
        <v>9.5269472186039501E-15</v>
      </c>
      <c r="Q493" s="49">
        <f t="shared" si="99"/>
        <v>5.7721802185587098E-14</v>
      </c>
      <c r="R493" s="49">
        <f t="shared" si="99"/>
        <v>3.2423892654331382E-13</v>
      </c>
      <c r="S493" s="49">
        <f t="shared" si="99"/>
        <v>1.6950560887064118E-12</v>
      </c>
      <c r="T493" s="49">
        <f t="shared" si="99"/>
        <v>8.2747807693424195E-12</v>
      </c>
      <c r="U493" s="49">
        <f t="shared" si="99"/>
        <v>3.7833739141732131E-11</v>
      </c>
      <c r="V493" s="49">
        <f t="shared" si="99"/>
        <v>1.6244688320888098E-10</v>
      </c>
      <c r="W493" s="47">
        <v>0.51</v>
      </c>
    </row>
    <row r="494" spans="2:23" x14ac:dyDescent="0.25">
      <c r="B494" s="49">
        <f t="shared" si="98"/>
        <v>1.2772970724996247E-31</v>
      </c>
      <c r="C494" s="49">
        <f t="shared" si="98"/>
        <v>1.337118120169276E-29</v>
      </c>
      <c r="D494" s="49">
        <f t="shared" si="98"/>
        <v>6.9306638339593072E-28</v>
      </c>
      <c r="E494" s="49">
        <f t="shared" si="98"/>
        <v>2.371413065159351E-26</v>
      </c>
      <c r="F494" s="49">
        <f t="shared" si="98"/>
        <v>6.025321781469192E-25</v>
      </c>
      <c r="G494" s="49">
        <f t="shared" si="98"/>
        <v>1.2125033539107685E-23</v>
      </c>
      <c r="H494" s="49">
        <f t="shared" si="98"/>
        <v>2.0128148155326111E-22</v>
      </c>
      <c r="I494" s="49">
        <f t="shared" si="98"/>
        <v>2.8348919679784387E-21</v>
      </c>
      <c r="J494" s="49">
        <f t="shared" si="98"/>
        <v>3.4577575193012555E-20</v>
      </c>
      <c r="K494" s="49">
        <f t="shared" si="98"/>
        <v>3.7100131595319675E-19</v>
      </c>
      <c r="L494" s="49">
        <f t="shared" si="99"/>
        <v>3.5451280438786745E-18</v>
      </c>
      <c r="M494" s="49">
        <f t="shared" si="99"/>
        <v>3.0470943964888787E-17</v>
      </c>
      <c r="N494" s="49">
        <f t="shared" si="99"/>
        <v>2.3751891108481204E-16</v>
      </c>
      <c r="O494" s="49">
        <f t="shared" si="99"/>
        <v>1.6906412530606556E-15</v>
      </c>
      <c r="P494" s="49">
        <f t="shared" si="99"/>
        <v>1.1052968957071628E-14</v>
      </c>
      <c r="Q494" s="49">
        <f t="shared" si="99"/>
        <v>6.6704872491006038E-14</v>
      </c>
      <c r="R494" s="49">
        <f t="shared" si="99"/>
        <v>3.7323030333758303E-13</v>
      </c>
      <c r="S494" s="49">
        <f t="shared" si="99"/>
        <v>1.9435315403486614E-12</v>
      </c>
      <c r="T494" s="49">
        <f t="shared" si="99"/>
        <v>9.4506489540041181E-12</v>
      </c>
      <c r="U494" s="49">
        <f t="shared" si="99"/>
        <v>4.3041163767165674E-11</v>
      </c>
      <c r="V494" s="49">
        <f t="shared" si="99"/>
        <v>1.8408478021847553E-10</v>
      </c>
      <c r="W494" s="47">
        <v>0.50900000000000001</v>
      </c>
    </row>
    <row r="495" spans="2:23" x14ac:dyDescent="0.25">
      <c r="B495" s="49">
        <f t="shared" si="98"/>
        <v>1.5655264081558329E-31</v>
      </c>
      <c r="C495" s="49">
        <f t="shared" si="98"/>
        <v>1.6323641946302119E-29</v>
      </c>
      <c r="D495" s="49">
        <f t="shared" si="98"/>
        <v>8.4275545640738092E-28</v>
      </c>
      <c r="E495" s="49">
        <f t="shared" si="98"/>
        <v>2.8721960859237852E-26</v>
      </c>
      <c r="F495" s="49">
        <f t="shared" si="98"/>
        <v>7.2688881965872508E-25</v>
      </c>
      <c r="G495" s="49">
        <f t="shared" si="98"/>
        <v>1.4569757691799588E-23</v>
      </c>
      <c r="H495" s="49">
        <f t="shared" si="98"/>
        <v>2.4091045973466975E-22</v>
      </c>
      <c r="I495" s="49">
        <f t="shared" si="98"/>
        <v>3.3796495973081506E-21</v>
      </c>
      <c r="J495" s="49">
        <f t="shared" si="98"/>
        <v>4.1059527487209329E-20</v>
      </c>
      <c r="K495" s="49">
        <f t="shared" si="98"/>
        <v>4.3881362186542115E-19</v>
      </c>
      <c r="L495" s="49">
        <f t="shared" si="99"/>
        <v>4.176599830687229E-18</v>
      </c>
      <c r="M495" s="49">
        <f t="shared" si="99"/>
        <v>3.5757262558886914E-17</v>
      </c>
      <c r="N495" s="49">
        <f t="shared" si="99"/>
        <v>2.7762921479939551E-16</v>
      </c>
      <c r="O495" s="49">
        <f t="shared" si="99"/>
        <v>1.9683772503943917E-15</v>
      </c>
      <c r="P495" s="49">
        <f t="shared" si="99"/>
        <v>1.2818201966121773E-14</v>
      </c>
      <c r="Q495" s="49">
        <f t="shared" si="99"/>
        <v>7.7054585075464629E-14</v>
      </c>
      <c r="R495" s="49">
        <f t="shared" si="99"/>
        <v>4.2944958684202494E-13</v>
      </c>
      <c r="S495" s="49">
        <f t="shared" si="99"/>
        <v>2.2275269508163438E-12</v>
      </c>
      <c r="T495" s="49">
        <f t="shared" si="99"/>
        <v>1.0789242244981349E-11</v>
      </c>
      <c r="U495" s="49">
        <f t="shared" si="99"/>
        <v>4.8945555558603781E-11</v>
      </c>
      <c r="V495" s="49">
        <f t="shared" si="99"/>
        <v>2.085207396713336E-10</v>
      </c>
      <c r="W495" s="47">
        <v>0.50800000000000001</v>
      </c>
    </row>
    <row r="496" spans="2:23" x14ac:dyDescent="0.25">
      <c r="B496" s="49">
        <f t="shared" si="98"/>
        <v>1.9180036774648099E-31</v>
      </c>
      <c r="C496" s="49">
        <f t="shared" si="98"/>
        <v>1.991980484059783E-29</v>
      </c>
      <c r="D496" s="49">
        <f t="shared" si="98"/>
        <v>1.0243520139747692E-27</v>
      </c>
      <c r="E496" s="49">
        <f t="shared" si="98"/>
        <v>3.4772992129598372E-26</v>
      </c>
      <c r="F496" s="49">
        <f t="shared" si="98"/>
        <v>8.7655065797851826E-25</v>
      </c>
      <c r="G496" s="49">
        <f t="shared" si="98"/>
        <v>1.7500207201884314E-23</v>
      </c>
      <c r="H496" s="49">
        <f t="shared" si="98"/>
        <v>2.8822335700588994E-22</v>
      </c>
      <c r="I496" s="49">
        <f t="shared" si="98"/>
        <v>4.0274366739295429E-21</v>
      </c>
      <c r="J496" s="49">
        <f t="shared" si="98"/>
        <v>4.8736625370373059E-20</v>
      </c>
      <c r="K496" s="49">
        <f t="shared" si="98"/>
        <v>5.1880847571047456E-19</v>
      </c>
      <c r="L496" s="49">
        <f t="shared" si="99"/>
        <v>4.9185415253840804E-18</v>
      </c>
      <c r="M496" s="49">
        <f t="shared" si="99"/>
        <v>4.1943569279142093E-17</v>
      </c>
      <c r="N496" s="49">
        <f t="shared" si="99"/>
        <v>3.2438080150452248E-16</v>
      </c>
      <c r="O496" s="49">
        <f t="shared" si="99"/>
        <v>2.2908068219020009E-15</v>
      </c>
      <c r="P496" s="49">
        <f t="shared" si="99"/>
        <v>1.4859314845698169E-14</v>
      </c>
      <c r="Q496" s="49">
        <f t="shared" si="99"/>
        <v>8.8974017120433136E-14</v>
      </c>
      <c r="R496" s="49">
        <f t="shared" si="99"/>
        <v>4.9393698697144309E-13</v>
      </c>
      <c r="S496" s="49">
        <f t="shared" si="99"/>
        <v>2.5519884518327542E-12</v>
      </c>
      <c r="T496" s="49">
        <f t="shared" si="99"/>
        <v>1.231246277578281E-11</v>
      </c>
      <c r="U496" s="49">
        <f t="shared" si="99"/>
        <v>5.5637488771973931E-11</v>
      </c>
      <c r="V496" s="49">
        <f t="shared" si="99"/>
        <v>2.3610543016767647E-10</v>
      </c>
      <c r="W496" s="47">
        <v>0.50700000000000001</v>
      </c>
    </row>
    <row r="497" spans="2:23" x14ac:dyDescent="0.25">
      <c r="B497" s="49">
        <f t="shared" si="98"/>
        <v>2.3488741958079987E-31</v>
      </c>
      <c r="C497" s="49">
        <f t="shared" si="98"/>
        <v>2.4298224780149412E-29</v>
      </c>
      <c r="D497" s="49">
        <f t="shared" si="98"/>
        <v>1.2445676045173645E-27</v>
      </c>
      <c r="E497" s="49">
        <f t="shared" si="98"/>
        <v>4.2081559279432154E-26</v>
      </c>
      <c r="F497" s="49">
        <f t="shared" si="98"/>
        <v>1.056593687973204E-24</v>
      </c>
      <c r="G497" s="49">
        <f t="shared" si="98"/>
        <v>2.1011458190029256E-23</v>
      </c>
      <c r="H497" s="49">
        <f t="shared" si="98"/>
        <v>3.4468708752845835E-22</v>
      </c>
      <c r="I497" s="49">
        <f t="shared" si="98"/>
        <v>4.7974259878062215E-21</v>
      </c>
      <c r="J497" s="49">
        <f t="shared" si="98"/>
        <v>5.7825537188873915E-20</v>
      </c>
      <c r="K497" s="49">
        <f t="shared" si="98"/>
        <v>6.1313617781778519E-19</v>
      </c>
      <c r="L497" s="49">
        <f t="shared" si="99"/>
        <v>5.7899251151840934E-18</v>
      </c>
      <c r="M497" s="49">
        <f t="shared" si="99"/>
        <v>4.9180150512346764E-17</v>
      </c>
      <c r="N497" s="49">
        <f t="shared" si="99"/>
        <v>3.7885122370532992E-16</v>
      </c>
      <c r="O497" s="49">
        <f t="shared" si="99"/>
        <v>2.6649705173875395E-15</v>
      </c>
      <c r="P497" s="49">
        <f t="shared" si="99"/>
        <v>1.7218468332384223E-14</v>
      </c>
      <c r="Q497" s="49">
        <f t="shared" si="99"/>
        <v>1.0269569214591016E-13</v>
      </c>
      <c r="R497" s="49">
        <f t="shared" si="99"/>
        <v>5.6787858454329186E-13</v>
      </c>
      <c r="S497" s="49">
        <f t="shared" si="99"/>
        <v>2.9225322323006413E-12</v>
      </c>
      <c r="T497" s="49">
        <f t="shared" si="99"/>
        <v>1.4045075636107978E-11</v>
      </c>
      <c r="U497" s="49">
        <f t="shared" si="99"/>
        <v>6.3218946898868829E-11</v>
      </c>
      <c r="V497" s="49">
        <f t="shared" si="99"/>
        <v>2.6723202782263994E-10</v>
      </c>
      <c r="W497" s="47">
        <v>0.50600000000000001</v>
      </c>
    </row>
    <row r="498" spans="2:23" x14ac:dyDescent="0.25">
      <c r="B498" s="49">
        <f t="shared" si="98"/>
        <v>2.8753590597885562E-31</v>
      </c>
      <c r="C498" s="49">
        <f t="shared" si="98"/>
        <v>2.9626897015522824E-29</v>
      </c>
      <c r="D498" s="49">
        <f t="shared" si="98"/>
        <v>1.5115066733163253E-27</v>
      </c>
      <c r="E498" s="49">
        <f t="shared" si="98"/>
        <v>5.090542324808519E-26</v>
      </c>
      <c r="F498" s="49">
        <f t="shared" si="98"/>
        <v>1.2730974064930135E-24</v>
      </c>
      <c r="G498" s="49">
        <f t="shared" si="98"/>
        <v>2.5216917207820117E-23</v>
      </c>
      <c r="H498" s="49">
        <f t="shared" si="98"/>
        <v>4.1204421890427003E-22</v>
      </c>
      <c r="I498" s="49">
        <f t="shared" si="98"/>
        <v>5.7122998008238039E-21</v>
      </c>
      <c r="J498" s="49">
        <f t="shared" si="98"/>
        <v>6.858153914838345E-20</v>
      </c>
      <c r="K498" s="49">
        <f t="shared" si="98"/>
        <v>7.2431977520530208E-19</v>
      </c>
      <c r="L498" s="49">
        <f t="shared" si="99"/>
        <v>6.8129196836056769E-18</v>
      </c>
      <c r="M498" s="49">
        <f t="shared" si="99"/>
        <v>5.7641894405136289E-17</v>
      </c>
      <c r="N498" s="49">
        <f t="shared" si="99"/>
        <v>4.4228924971828128E-16</v>
      </c>
      <c r="O498" s="49">
        <f t="shared" si="99"/>
        <v>3.0989938222905787E-15</v>
      </c>
      <c r="P498" s="49">
        <f t="shared" si="99"/>
        <v>1.9944118313893704E-14</v>
      </c>
      <c r="Q498" s="49">
        <f t="shared" si="99"/>
        <v>1.1848574200017007E-13</v>
      </c>
      <c r="R498" s="49">
        <f t="shared" si="99"/>
        <v>6.5262623866866127E-13</v>
      </c>
      <c r="S498" s="49">
        <f t="shared" si="99"/>
        <v>3.3455327200144848E-12</v>
      </c>
      <c r="T498" s="49">
        <f t="shared" si="99"/>
        <v>1.6015071697494804E-11</v>
      </c>
      <c r="U498" s="49">
        <f t="shared" si="99"/>
        <v>7.1804712924436586E-11</v>
      </c>
      <c r="V498" s="49">
        <f t="shared" si="99"/>
        <v>3.0234118829214872E-10</v>
      </c>
      <c r="W498" s="47">
        <v>0.505</v>
      </c>
    </row>
    <row r="499" spans="2:23" x14ac:dyDescent="0.25">
      <c r="B499" s="49">
        <f t="shared" si="98"/>
        <v>3.5184156026172333E-31</v>
      </c>
      <c r="C499" s="49">
        <f t="shared" si="98"/>
        <v>3.6109431556966698E-29</v>
      </c>
      <c r="D499" s="49">
        <f t="shared" si="98"/>
        <v>1.8349517414209116E-27</v>
      </c>
      <c r="E499" s="49">
        <f t="shared" si="98"/>
        <v>6.1554446052751E-26</v>
      </c>
      <c r="F499" s="49">
        <f t="shared" si="98"/>
        <v>1.5333402965503192E-24</v>
      </c>
      <c r="G499" s="49">
        <f t="shared" si="98"/>
        <v>3.0251801322016729E-23</v>
      </c>
      <c r="H499" s="49">
        <f t="shared" si="98"/>
        <v>4.9236394476375776E-22</v>
      </c>
      <c r="I499" s="49">
        <f t="shared" si="98"/>
        <v>6.7988815141098002E-21</v>
      </c>
      <c r="J499" s="49">
        <f t="shared" si="98"/>
        <v>8.1305274527967774E-20</v>
      </c>
      <c r="K499" s="49">
        <f t="shared" si="98"/>
        <v>8.5531849093306166E-19</v>
      </c>
      <c r="L499" s="49">
        <f t="shared" si="99"/>
        <v>8.0134197951993695E-18</v>
      </c>
      <c r="M499" s="49">
        <f t="shared" si="99"/>
        <v>6.7532236514442657E-17</v>
      </c>
      <c r="N499" s="49">
        <f t="shared" si="99"/>
        <v>5.1614148743254901E-16</v>
      </c>
      <c r="O499" s="49">
        <f t="shared" si="99"/>
        <v>3.6022505721706103E-15</v>
      </c>
      <c r="P499" s="49">
        <f t="shared" si="99"/>
        <v>2.3091933339762469E-14</v>
      </c>
      <c r="Q499" s="49">
        <f t="shared" si="99"/>
        <v>1.3664864156995348E-13</v>
      </c>
      <c r="R499" s="49">
        <f t="shared" si="99"/>
        <v>7.497201343434868E-13</v>
      </c>
      <c r="S499" s="49">
        <f t="shared" si="99"/>
        <v>3.8282220180152812E-12</v>
      </c>
      <c r="T499" s="49">
        <f t="shared" si="99"/>
        <v>1.8254074929272825E-11</v>
      </c>
      <c r="U499" s="49">
        <f t="shared" si="99"/>
        <v>8.1523923072057347E-11</v>
      </c>
      <c r="V499" s="49">
        <f t="shared" si="99"/>
        <v>3.4192657836855539E-10</v>
      </c>
      <c r="W499" s="47">
        <v>0.504</v>
      </c>
    </row>
    <row r="500" spans="2:23" x14ac:dyDescent="0.25">
      <c r="B500" s="49">
        <f t="shared" si="98"/>
        <v>4.3035378829185969E-31</v>
      </c>
      <c r="C500" s="49">
        <f t="shared" si="98"/>
        <v>4.39925055561017E-29</v>
      </c>
      <c r="D500" s="49">
        <f t="shared" si="98"/>
        <v>2.2267061751773794E-27</v>
      </c>
      <c r="E500" s="49">
        <f t="shared" si="98"/>
        <v>7.4400974035920434E-26</v>
      </c>
      <c r="F500" s="49">
        <f t="shared" si="98"/>
        <v>1.8460328267151749E-24</v>
      </c>
      <c r="G500" s="49">
        <f t="shared" si="98"/>
        <v>3.6277268645961172E-23</v>
      </c>
      <c r="H500" s="49">
        <f t="shared" si="98"/>
        <v>5.8810232980309533E-22</v>
      </c>
      <c r="I500" s="49">
        <f t="shared" si="98"/>
        <v>8.0888790918745271E-21</v>
      </c>
      <c r="J500" s="49">
        <f t="shared" si="98"/>
        <v>9.6350675088628522E-20</v>
      </c>
      <c r="K500" s="49">
        <f t="shared" si="98"/>
        <v>1.0096017440577372E-18</v>
      </c>
      <c r="L500" s="49">
        <f t="shared" si="99"/>
        <v>9.4216594763247067E-18</v>
      </c>
      <c r="M500" s="49">
        <f t="shared" si="99"/>
        <v>7.9087725032372384E-17</v>
      </c>
      <c r="N500" s="49">
        <f t="shared" si="99"/>
        <v>6.0208305647784636E-16</v>
      </c>
      <c r="O500" s="49">
        <f t="shared" si="99"/>
        <v>4.1855504041307655E-15</v>
      </c>
      <c r="P500" s="49">
        <f t="shared" si="99"/>
        <v>2.6725842529611921E-14</v>
      </c>
      <c r="Q500" s="49">
        <f t="shared" si="99"/>
        <v>1.5753259283274071E-13</v>
      </c>
      <c r="R500" s="49">
        <f t="shared" si="99"/>
        <v>8.6091430995564139E-13</v>
      </c>
      <c r="S500" s="49">
        <f t="shared" si="99"/>
        <v>4.3788019858872448E-12</v>
      </c>
      <c r="T500" s="49">
        <f t="shared" si="99"/>
        <v>2.0797799470771839E-11</v>
      </c>
      <c r="U500" s="49">
        <f t="shared" si="99"/>
        <v>9.2521802534267157E-11</v>
      </c>
      <c r="V500" s="49">
        <f t="shared" si="99"/>
        <v>3.8654102752575987E-10</v>
      </c>
      <c r="W500" s="47">
        <v>0.503</v>
      </c>
    </row>
    <row r="501" spans="2:23" x14ac:dyDescent="0.25">
      <c r="B501" s="49">
        <f t="shared" si="98"/>
        <v>5.2617265208853073E-31</v>
      </c>
      <c r="C501" s="49">
        <f t="shared" si="98"/>
        <v>5.3574854682433343E-29</v>
      </c>
      <c r="D501" s="49">
        <f t="shared" si="98"/>
        <v>2.701006016112293E-27</v>
      </c>
      <c r="E501" s="49">
        <f t="shared" si="98"/>
        <v>8.9892260958061848E-26</v>
      </c>
      <c r="F501" s="49">
        <f t="shared" si="98"/>
        <v>2.2215950567203923E-24</v>
      </c>
      <c r="G501" s="49">
        <f t="shared" si="98"/>
        <v>4.3485318970723382E-23</v>
      </c>
      <c r="H501" s="49">
        <f t="shared" si="98"/>
        <v>7.0217348608582769E-22</v>
      </c>
      <c r="I501" s="49">
        <f t="shared" si="98"/>
        <v>9.6197596699337166E-21</v>
      </c>
      <c r="J501" s="49">
        <f t="shared" si="98"/>
        <v>1.1413424084557108E-19</v>
      </c>
      <c r="K501" s="49">
        <f t="shared" si="98"/>
        <v>1.1912354943052065E-18</v>
      </c>
      <c r="L501" s="49">
        <f t="shared" si="99"/>
        <v>1.1072925375098022E-17</v>
      </c>
      <c r="M501" s="49">
        <f t="shared" si="99"/>
        <v>9.2583300772701536E-17</v>
      </c>
      <c r="N501" s="49">
        <f t="shared" si="99"/>
        <v>7.0205291027557969E-16</v>
      </c>
      <c r="O501" s="49">
        <f t="shared" si="99"/>
        <v>4.8613536945096663E-15</v>
      </c>
      <c r="P501" s="49">
        <f t="shared" si="99"/>
        <v>3.0919231928514758E-14</v>
      </c>
      <c r="Q501" s="49">
        <f t="shared" si="99"/>
        <v>1.8153564482266881E-13</v>
      </c>
      <c r="R501" s="49">
        <f t="shared" si="99"/>
        <v>9.8820554674849836E-13</v>
      </c>
      <c r="S501" s="49">
        <f t="shared" si="99"/>
        <v>5.0065705221326108E-12</v>
      </c>
      <c r="T501" s="49">
        <f t="shared" si="99"/>
        <v>2.3686562325656206E-11</v>
      </c>
      <c r="U501" s="49">
        <f t="shared" si="99"/>
        <v>1.0496160369649636E-10</v>
      </c>
      <c r="V501" s="49">
        <f t="shared" si="99"/>
        <v>4.3680336601212691E-10</v>
      </c>
      <c r="W501" s="47">
        <v>0.502</v>
      </c>
    </row>
    <row r="502" spans="2:23" x14ac:dyDescent="0.25">
      <c r="B502" s="49">
        <f t="shared" si="98"/>
        <v>6.4306632536207298E-31</v>
      </c>
      <c r="C502" s="49">
        <f t="shared" si="98"/>
        <v>6.5218117111595042E-29</v>
      </c>
      <c r="D502" s="49">
        <f t="shared" si="98"/>
        <v>3.2750145933265623E-27</v>
      </c>
      <c r="E502" s="49">
        <f t="shared" si="98"/>
        <v>1.0856532589789354E-25</v>
      </c>
      <c r="F502" s="49">
        <f t="shared" si="98"/>
        <v>2.6724872600594199E-24</v>
      </c>
      <c r="G502" s="49">
        <f t="shared" si="98"/>
        <v>5.2104605805417782E-23</v>
      </c>
      <c r="H502" s="49">
        <f t="shared" si="98"/>
        <v>8.3803363116547237E-22</v>
      </c>
      <c r="I502" s="49">
        <f t="shared" si="98"/>
        <v>1.1435778094387845E-20</v>
      </c>
      <c r="J502" s="49">
        <f t="shared" si="98"/>
        <v>1.3514590686297599E-19</v>
      </c>
      <c r="K502" s="49">
        <f t="shared" si="98"/>
        <v>1.4049829238792722E-18</v>
      </c>
      <c r="L502" s="49">
        <f t="shared" si="99"/>
        <v>1.3008384793704546E-17</v>
      </c>
      <c r="M502" s="49">
        <f t="shared" si="99"/>
        <v>1.0833840140223751E-16</v>
      </c>
      <c r="N502" s="49">
        <f t="shared" si="99"/>
        <v>8.1829449667887558E-16</v>
      </c>
      <c r="O502" s="49">
        <f t="shared" si="99"/>
        <v>5.6440179145166311E-15</v>
      </c>
      <c r="P502" s="49">
        <f t="shared" si="99"/>
        <v>3.5756309789002413E-14</v>
      </c>
      <c r="Q502" s="49">
        <f t="shared" si="99"/>
        <v>2.0911264728352286E-13</v>
      </c>
      <c r="R502" s="49">
        <f t="shared" si="99"/>
        <v>1.1338660497016465E-12</v>
      </c>
      <c r="S502" s="49">
        <f t="shared" si="99"/>
        <v>5.7220637886377257E-12</v>
      </c>
      <c r="T502" s="49">
        <f t="shared" si="99"/>
        <v>2.6965858209643115E-11</v>
      </c>
      <c r="U502" s="49">
        <f t="shared" si="99"/>
        <v>1.1902676957505381E-10</v>
      </c>
      <c r="V502" s="49">
        <f t="shared" si="99"/>
        <v>4.934060229156088E-10</v>
      </c>
      <c r="W502" s="47">
        <v>0.501</v>
      </c>
    </row>
    <row r="503" spans="2:23" x14ac:dyDescent="0.25">
      <c r="B503" s="49">
        <f t="shared" ref="B503:K512" si="100">_xlfn.HYPGEOM.DIST(B$2,comau,tongtheN*$W503,tongtheN,TRUE)</f>
        <v>7.8561328751853171E-31</v>
      </c>
      <c r="C503" s="49">
        <f t="shared" si="100"/>
        <v>7.9359906797802181E-29</v>
      </c>
      <c r="D503" s="49">
        <f t="shared" si="100"/>
        <v>3.9694163290598691E-27</v>
      </c>
      <c r="E503" s="49">
        <f t="shared" si="100"/>
        <v>1.3106471627919139E-25</v>
      </c>
      <c r="F503" s="49">
        <f t="shared" si="100"/>
        <v>3.2136035359758942E-24</v>
      </c>
      <c r="G503" s="49">
        <f t="shared" si="100"/>
        <v>6.2407326648676577E-23</v>
      </c>
      <c r="H503" s="49">
        <f t="shared" si="100"/>
        <v>9.9978032075259185E-22</v>
      </c>
      <c r="I503" s="49">
        <f t="shared" si="100"/>
        <v>1.3589186009370665E-20</v>
      </c>
      <c r="J503" s="49">
        <f t="shared" si="100"/>
        <v>1.599617634966242E-19</v>
      </c>
      <c r="K503" s="49">
        <f t="shared" si="100"/>
        <v>1.6564217908747324E-18</v>
      </c>
      <c r="L503" s="49">
        <f t="shared" ref="L503:V512" si="101">_xlfn.HYPGEOM.DIST(L$2,comau,tongtheN*$W503,tongtheN,TRUE)</f>
        <v>1.5276046716960622E-17</v>
      </c>
      <c r="M503" s="49">
        <f t="shared" si="101"/>
        <v>1.2672401579392308E-16</v>
      </c>
      <c r="N503" s="49">
        <f t="shared" si="101"/>
        <v>9.5340254547104069E-16</v>
      </c>
      <c r="O503" s="49">
        <f t="shared" si="101"/>
        <v>6.5500798834831524E-15</v>
      </c>
      <c r="P503" s="49">
        <f t="shared" si="101"/>
        <v>4.133366400698842E-14</v>
      </c>
      <c r="Q503" s="49">
        <f t="shared" si="101"/>
        <v>2.407831483881204E-13</v>
      </c>
      <c r="R503" s="49">
        <f t="shared" si="101"/>
        <v>1.3004804023937809E-12</v>
      </c>
      <c r="S503" s="49">
        <f t="shared" si="101"/>
        <v>6.5372163242724993E-12</v>
      </c>
      <c r="T503" s="49">
        <f t="shared" si="101"/>
        <v>3.0687003820709205E-11</v>
      </c>
      <c r="U503" s="49">
        <f t="shared" si="101"/>
        <v>1.3492334763399629E-10</v>
      </c>
      <c r="V503" s="49">
        <f t="shared" si="101"/>
        <v>5.5712346511571333E-10</v>
      </c>
      <c r="W503" s="47">
        <v>0.5</v>
      </c>
    </row>
    <row r="504" spans="2:23" x14ac:dyDescent="0.25">
      <c r="B504" s="49">
        <f t="shared" si="100"/>
        <v>9.5937440050707569E-31</v>
      </c>
      <c r="C504" s="49">
        <f t="shared" si="100"/>
        <v>9.6529568265371142E-29</v>
      </c>
      <c r="D504" s="49">
        <f t="shared" si="100"/>
        <v>4.8091293558991967E-27</v>
      </c>
      <c r="E504" s="49">
        <f t="shared" si="100"/>
        <v>1.5816373586442687E-25</v>
      </c>
      <c r="F504" s="49">
        <f t="shared" si="100"/>
        <v>3.862740230284826E-24</v>
      </c>
      <c r="G504" s="49">
        <f t="shared" si="100"/>
        <v>7.4717388356346879E-23</v>
      </c>
      <c r="H504" s="49">
        <f t="shared" si="100"/>
        <v>1.1922695498002423E-21</v>
      </c>
      <c r="I504" s="49">
        <f t="shared" si="100"/>
        <v>1.6141652633773441E-20</v>
      </c>
      <c r="J504" s="49">
        <f t="shared" si="100"/>
        <v>1.8925894039344786E-19</v>
      </c>
      <c r="K504" s="49">
        <f t="shared" si="100"/>
        <v>1.9520811612924927E-18</v>
      </c>
      <c r="L504" s="49">
        <f t="shared" si="101"/>
        <v>1.7931876759962716E-17</v>
      </c>
      <c r="M504" s="49">
        <f t="shared" si="101"/>
        <v>1.4817083316923806E-16</v>
      </c>
      <c r="N504" s="49">
        <f t="shared" si="101"/>
        <v>1.1103768845890089E-15</v>
      </c>
      <c r="O504" s="49">
        <f t="shared" si="101"/>
        <v>7.598579021719962E-15</v>
      </c>
      <c r="P504" s="49">
        <f t="shared" si="101"/>
        <v>4.7762038044527079E-14</v>
      </c>
      <c r="Q504" s="49">
        <f t="shared" si="101"/>
        <v>2.7714036108321634E-13</v>
      </c>
      <c r="R504" s="49">
        <f t="shared" si="101"/>
        <v>1.4909873378586547E-12</v>
      </c>
      <c r="S504" s="49">
        <f t="shared" si="101"/>
        <v>7.4655412241468052E-12</v>
      </c>
      <c r="T504" s="49">
        <f t="shared" si="101"/>
        <v>3.4907859618515298E-11</v>
      </c>
      <c r="U504" s="49">
        <f t="shared" si="101"/>
        <v>1.5288268183919116E-10</v>
      </c>
      <c r="V504" s="49">
        <f t="shared" si="101"/>
        <v>6.2882156625109801E-10</v>
      </c>
      <c r="W504" s="47">
        <v>0.499</v>
      </c>
    </row>
    <row r="505" spans="2:23" x14ac:dyDescent="0.25">
      <c r="B505" s="49">
        <f t="shared" si="100"/>
        <v>1.1711010689842961E-30</v>
      </c>
      <c r="C505" s="49">
        <f t="shared" si="100"/>
        <v>1.1736715567042558E-28</v>
      </c>
      <c r="D505" s="49">
        <f t="shared" si="100"/>
        <v>5.8241603900801147E-27</v>
      </c>
      <c r="E505" s="49">
        <f t="shared" si="100"/>
        <v>1.907898038635998E-25</v>
      </c>
      <c r="F505" s="49">
        <f t="shared" si="100"/>
        <v>4.641153168275849E-24</v>
      </c>
      <c r="G505" s="49">
        <f t="shared" si="100"/>
        <v>8.9420079835480658E-23</v>
      </c>
      <c r="H505" s="49">
        <f t="shared" si="100"/>
        <v>1.4212538860071724E-21</v>
      </c>
      <c r="I505" s="49">
        <f t="shared" si="100"/>
        <v>1.9165933641666732E-20</v>
      </c>
      <c r="J505" s="49">
        <f t="shared" si="100"/>
        <v>2.2383301552872296E-19</v>
      </c>
      <c r="K505" s="49">
        <f t="shared" si="100"/>
        <v>2.2996006574076902E-18</v>
      </c>
      <c r="L505" s="49">
        <f t="shared" si="101"/>
        <v>2.1041090179399533E-17</v>
      </c>
      <c r="M505" s="49">
        <f t="shared" si="101"/>
        <v>1.7317865322788258E-16</v>
      </c>
      <c r="N505" s="49">
        <f t="shared" si="101"/>
        <v>1.2926843164953432E-15</v>
      </c>
      <c r="O505" s="49">
        <f t="shared" si="101"/>
        <v>8.8114274114106341E-15</v>
      </c>
      <c r="P505" s="49">
        <f t="shared" si="101"/>
        <v>5.5168355181160272E-14</v>
      </c>
      <c r="Q505" s="49">
        <f t="shared" si="101"/>
        <v>3.1886133856319904E-13</v>
      </c>
      <c r="R505" s="49">
        <f t="shared" si="101"/>
        <v>1.7087269339608686E-12</v>
      </c>
      <c r="S505" s="49">
        <f t="shared" si="101"/>
        <v>8.5223328165626706E-12</v>
      </c>
      <c r="T505" s="49">
        <f t="shared" si="101"/>
        <v>3.9693638105634616E-11</v>
      </c>
      <c r="U505" s="49">
        <f t="shared" si="101"/>
        <v>1.7316441377651206E-10</v>
      </c>
      <c r="V505" s="49">
        <f t="shared" si="101"/>
        <v>7.0946800383583338E-10</v>
      </c>
      <c r="W505" s="47">
        <v>0.498</v>
      </c>
    </row>
    <row r="506" spans="2:23" x14ac:dyDescent="0.25">
      <c r="B506" s="49">
        <f t="shared" si="100"/>
        <v>1.4289869543830123E-30</v>
      </c>
      <c r="C506" s="49">
        <f t="shared" si="100"/>
        <v>1.4264628727269453E-28</v>
      </c>
      <c r="D506" s="49">
        <f t="shared" si="100"/>
        <v>7.0506298669141629E-27</v>
      </c>
      <c r="E506" s="49">
        <f t="shared" si="100"/>
        <v>2.3005473750252706E-25</v>
      </c>
      <c r="F506" s="49">
        <f t="shared" si="100"/>
        <v>5.5742202839656996E-24</v>
      </c>
      <c r="G506" s="49">
        <f t="shared" si="100"/>
        <v>1.0697352590823001E-22</v>
      </c>
      <c r="H506" s="49">
        <f t="shared" si="100"/>
        <v>1.6935453504880905E-21</v>
      </c>
      <c r="I506" s="49">
        <f t="shared" si="100"/>
        <v>2.2747830713104674E-20</v>
      </c>
      <c r="J506" s="49">
        <f t="shared" si="100"/>
        <v>2.6461836974382875E-19</v>
      </c>
      <c r="K506" s="49">
        <f t="shared" si="100"/>
        <v>2.7079158581274653E-18</v>
      </c>
      <c r="L506" s="49">
        <f t="shared" si="101"/>
        <v>2.4679650800035844E-17</v>
      </c>
      <c r="M506" s="49">
        <f t="shared" si="101"/>
        <v>2.0232724812188785E-16</v>
      </c>
      <c r="N506" s="49">
        <f t="shared" si="101"/>
        <v>1.5043297338232542E-15</v>
      </c>
      <c r="O506" s="49">
        <f t="shared" si="101"/>
        <v>1.0213833275578372E-14</v>
      </c>
      <c r="P506" s="49">
        <f t="shared" si="101"/>
        <v>6.3698024898287788E-14</v>
      </c>
      <c r="Q506" s="49">
        <f t="shared" si="101"/>
        <v>3.6671851729573447E-13</v>
      </c>
      <c r="R506" s="49">
        <f t="shared" si="101"/>
        <v>1.9574939162151838E-12</v>
      </c>
      <c r="S506" s="49">
        <f t="shared" si="101"/>
        <v>9.7248945540616599E-12</v>
      </c>
      <c r="T506" s="49">
        <f t="shared" si="101"/>
        <v>4.5117808606139357E-11</v>
      </c>
      <c r="U506" s="49">
        <f t="shared" si="101"/>
        <v>1.960598269311982E-10</v>
      </c>
      <c r="V506" s="49">
        <f t="shared" si="101"/>
        <v>8.0014379252373386E-10</v>
      </c>
      <c r="W506" s="47">
        <v>0.497</v>
      </c>
    </row>
    <row r="507" spans="2:23" x14ac:dyDescent="0.25">
      <c r="B507" s="49">
        <f t="shared" si="100"/>
        <v>1.7429722404076976E-30</v>
      </c>
      <c r="C507" s="49">
        <f t="shared" si="100"/>
        <v>1.7330165620003059E-28</v>
      </c>
      <c r="D507" s="49">
        <f t="shared" si="100"/>
        <v>8.5320007809543163E-27</v>
      </c>
      <c r="E507" s="49">
        <f t="shared" si="100"/>
        <v>2.7729090014269885E-25</v>
      </c>
      <c r="F507" s="49">
        <f t="shared" si="100"/>
        <v>6.6922292792797986E-24</v>
      </c>
      <c r="G507" s="49">
        <f t="shared" si="100"/>
        <v>1.2792224513721211E-22</v>
      </c>
      <c r="H507" s="49">
        <f t="shared" si="100"/>
        <v>2.0172074053124144E-21</v>
      </c>
      <c r="I507" s="49">
        <f t="shared" si="100"/>
        <v>2.6988491494201571E-20</v>
      </c>
      <c r="J507" s="49">
        <f t="shared" si="100"/>
        <v>3.1271197593561733E-19</v>
      </c>
      <c r="K507" s="49">
        <f t="shared" si="100"/>
        <v>3.1874740622269604E-18</v>
      </c>
      <c r="L507" s="49">
        <f t="shared" si="101"/>
        <v>2.8936007971384758E-17</v>
      </c>
      <c r="M507" s="49">
        <f t="shared" si="101"/>
        <v>2.3628889536345883E-16</v>
      </c>
      <c r="N507" s="49">
        <f t="shared" si="101"/>
        <v>1.7499378217347722E-15</v>
      </c>
      <c r="O507" s="49">
        <f t="shared" si="101"/>
        <v>1.1834785394389896E-14</v>
      </c>
      <c r="P507" s="49">
        <f t="shared" si="101"/>
        <v>7.3517569674425449E-14</v>
      </c>
      <c r="Q507" s="49">
        <f t="shared" si="101"/>
        <v>4.215928061551743E-13</v>
      </c>
      <c r="R507" s="49">
        <f t="shared" si="101"/>
        <v>2.2415978341463392E-12</v>
      </c>
      <c r="S507" s="49">
        <f t="shared" si="101"/>
        <v>1.109279515130758E-11</v>
      </c>
      <c r="T507" s="49">
        <f t="shared" si="101"/>
        <v>5.1263109647215674E-11</v>
      </c>
      <c r="U507" s="49">
        <f t="shared" si="101"/>
        <v>2.218955718259459E-10</v>
      </c>
      <c r="V507" s="49">
        <f t="shared" si="101"/>
        <v>9.0205607232468095E-10</v>
      </c>
      <c r="W507" s="47">
        <v>0.496</v>
      </c>
    </row>
    <row r="508" spans="2:23" x14ac:dyDescent="0.25">
      <c r="B508" s="49">
        <f t="shared" si="100"/>
        <v>2.1251112824873867E-30</v>
      </c>
      <c r="C508" s="49">
        <f t="shared" si="100"/>
        <v>2.1046213363390871E-28</v>
      </c>
      <c r="D508" s="49">
        <f t="shared" si="100"/>
        <v>1.0320551150531523E-26</v>
      </c>
      <c r="E508" s="49">
        <f t="shared" si="100"/>
        <v>3.3409433467374169E-25</v>
      </c>
      <c r="F508" s="49">
        <f t="shared" si="100"/>
        <v>8.0313135479770496E-24</v>
      </c>
      <c r="G508" s="49">
        <f t="shared" si="100"/>
        <v>1.5291319195704767E-22</v>
      </c>
      <c r="H508" s="49">
        <f t="shared" si="100"/>
        <v>2.4017811626025386E-21</v>
      </c>
      <c r="I508" s="49">
        <f t="shared" si="100"/>
        <v>3.2007108063885158E-20</v>
      </c>
      <c r="J508" s="49">
        <f t="shared" si="100"/>
        <v>3.6940119173929723E-19</v>
      </c>
      <c r="K508" s="49">
        <f t="shared" si="100"/>
        <v>3.7504852897452784E-18</v>
      </c>
      <c r="L508" s="49">
        <f t="shared" si="101"/>
        <v>3.3913108571377671E-17</v>
      </c>
      <c r="M508" s="49">
        <f t="shared" si="101"/>
        <v>2.7584283306513512E-16</v>
      </c>
      <c r="N508" s="49">
        <f t="shared" si="101"/>
        <v>2.0348468861683496E-15</v>
      </c>
      <c r="O508" s="49">
        <f t="shared" si="101"/>
        <v>1.3707607008944589E-14</v>
      </c>
      <c r="P508" s="49">
        <f t="shared" si="101"/>
        <v>8.481761551712255E-14</v>
      </c>
      <c r="Q508" s="49">
        <f t="shared" si="101"/>
        <v>4.8448842282854344E-13</v>
      </c>
      <c r="R508" s="49">
        <f t="shared" si="101"/>
        <v>2.565930970235526E-12</v>
      </c>
      <c r="S508" s="49">
        <f t="shared" si="101"/>
        <v>1.2648156354302037E-11</v>
      </c>
      <c r="T508" s="49">
        <f t="shared" si="101"/>
        <v>5.8222681277661665E-11</v>
      </c>
      <c r="U508" s="49">
        <f t="shared" si="101"/>
        <v>2.5103781367795479E-10</v>
      </c>
      <c r="V508" s="49">
        <f t="shared" si="101"/>
        <v>1.0165522824047654E-9</v>
      </c>
      <c r="W508" s="47">
        <v>0.495</v>
      </c>
    </row>
    <row r="509" spans="2:23" x14ac:dyDescent="0.25">
      <c r="B509" s="49">
        <f t="shared" si="100"/>
        <v>2.5900166781458271E-30</v>
      </c>
      <c r="C509" s="49">
        <f t="shared" si="100"/>
        <v>2.5549058623821288E-28</v>
      </c>
      <c r="D509" s="49">
        <f t="shared" si="100"/>
        <v>1.2479137740035219E-26</v>
      </c>
      <c r="E509" s="49">
        <f t="shared" si="100"/>
        <v>4.0237621252345431E-25</v>
      </c>
      <c r="F509" s="49">
        <f t="shared" si="100"/>
        <v>9.6345638506041467E-24</v>
      </c>
      <c r="G509" s="49">
        <f t="shared" si="100"/>
        <v>1.8271473110271093E-22</v>
      </c>
      <c r="H509" s="49">
        <f t="shared" si="100"/>
        <v>2.8585518133394142E-21</v>
      </c>
      <c r="I509" s="49">
        <f t="shared" si="100"/>
        <v>3.7944081741995517E-20</v>
      </c>
      <c r="J509" s="49">
        <f t="shared" si="100"/>
        <v>4.361962169672746E-19</v>
      </c>
      <c r="K509" s="49">
        <f t="shared" si="100"/>
        <v>4.4112141638617683E-18</v>
      </c>
      <c r="L509" s="49">
        <f t="shared" si="101"/>
        <v>3.97307267072126E-17</v>
      </c>
      <c r="M509" s="49">
        <f t="shared" si="101"/>
        <v>3.2189192587261016E-16</v>
      </c>
      <c r="N509" s="49">
        <f t="shared" si="101"/>
        <v>2.3652165654768668E-15</v>
      </c>
      <c r="O509" s="49">
        <f t="shared" si="101"/>
        <v>1.5870588931036099E-14</v>
      </c>
      <c r="P509" s="49">
        <f t="shared" si="101"/>
        <v>9.7816295251225792E-14</v>
      </c>
      <c r="Q509" s="49">
        <f t="shared" si="101"/>
        <v>5.5654970403847025E-13</v>
      </c>
      <c r="R509" s="49">
        <f t="shared" si="101"/>
        <v>2.9360449443297404E-12</v>
      </c>
      <c r="S509" s="49">
        <f t="shared" si="101"/>
        <v>1.4415976116405435E-11</v>
      </c>
      <c r="T509" s="49">
        <f t="shared" si="101"/>
        <v>6.610133101520081E-11</v>
      </c>
      <c r="U509" s="49">
        <f t="shared" si="101"/>
        <v>2.8389684859427226E-10</v>
      </c>
      <c r="V509" s="49">
        <f t="shared" si="101"/>
        <v>1.1451358640433796E-9</v>
      </c>
      <c r="W509" s="47">
        <v>0.49399999999999999</v>
      </c>
    </row>
    <row r="510" spans="2:23" x14ac:dyDescent="0.25">
      <c r="B510" s="49">
        <f t="shared" si="100"/>
        <v>3.1553954425118439E-30</v>
      </c>
      <c r="C510" s="49">
        <f t="shared" si="100"/>
        <v>3.1003175168556024E-28</v>
      </c>
      <c r="D510" s="49">
        <f t="shared" si="100"/>
        <v>1.5083307856503837E-26</v>
      </c>
      <c r="E510" s="49">
        <f t="shared" si="100"/>
        <v>4.8442417828439706E-25</v>
      </c>
      <c r="F510" s="49">
        <f t="shared" si="100"/>
        <v>1.1553348244000513E-23</v>
      </c>
      <c r="G510" s="49">
        <f t="shared" si="100"/>
        <v>2.1823907180432381E-22</v>
      </c>
      <c r="H510" s="49">
        <f t="shared" si="100"/>
        <v>3.4008623074288179E-21</v>
      </c>
      <c r="I510" s="49">
        <f t="shared" si="100"/>
        <v>4.4964733412659461E-20</v>
      </c>
      <c r="J510" s="49">
        <f t="shared" si="100"/>
        <v>5.1486798420920753E-19</v>
      </c>
      <c r="K510" s="49">
        <f t="shared" si="100"/>
        <v>5.1863192007894841E-18</v>
      </c>
      <c r="L510" s="49">
        <f t="shared" si="101"/>
        <v>4.6528160235260243E-17</v>
      </c>
      <c r="M510" s="49">
        <f t="shared" si="101"/>
        <v>3.7548187221698057E-16</v>
      </c>
      <c r="N510" s="49">
        <f t="shared" si="101"/>
        <v>2.7481514314593548E-15</v>
      </c>
      <c r="O510" s="49">
        <f t="shared" si="101"/>
        <v>1.8367712900985297E-14</v>
      </c>
      <c r="P510" s="49">
        <f t="shared" si="101"/>
        <v>1.1276312000315643E-13</v>
      </c>
      <c r="Q510" s="49">
        <f t="shared" si="101"/>
        <v>6.390801446051316E-13</v>
      </c>
      <c r="R510" s="49">
        <f t="shared" si="101"/>
        <v>3.3582370923231132E-12</v>
      </c>
      <c r="S510" s="49">
        <f t="shared" si="101"/>
        <v>1.6424491391019531E-11</v>
      </c>
      <c r="T510" s="49">
        <f t="shared" si="101"/>
        <v>7.5016948615804726E-11</v>
      </c>
      <c r="U510" s="49">
        <f t="shared" si="101"/>
        <v>3.2093223911791496E-10</v>
      </c>
      <c r="V510" s="49">
        <f t="shared" si="101"/>
        <v>1.2894836504732124E-9</v>
      </c>
      <c r="W510" s="47">
        <v>0.49299999999999999</v>
      </c>
    </row>
    <row r="511" spans="2:23" x14ac:dyDescent="0.25">
      <c r="B511" s="49">
        <f t="shared" si="100"/>
        <v>3.8426961510785625E-30</v>
      </c>
      <c r="C511" s="49">
        <f t="shared" si="100"/>
        <v>3.7606978152039423E-28</v>
      </c>
      <c r="D511" s="49">
        <f t="shared" si="100"/>
        <v>1.8223826965680862E-26</v>
      </c>
      <c r="E511" s="49">
        <f t="shared" si="100"/>
        <v>5.8297546576504322E-25</v>
      </c>
      <c r="F511" s="49">
        <f t="shared" si="100"/>
        <v>1.384887868762478E-23</v>
      </c>
      <c r="G511" s="49">
        <f t="shared" si="100"/>
        <v>2.6056878256471258E-22</v>
      </c>
      <c r="H511" s="49">
        <f t="shared" si="100"/>
        <v>4.0444825249242456E-21</v>
      </c>
      <c r="I511" s="49">
        <f t="shared" si="100"/>
        <v>5.3263651736533805E-20</v>
      </c>
      <c r="J511" s="49">
        <f t="shared" si="100"/>
        <v>6.0749237516111233E-19</v>
      </c>
      <c r="K511" s="49">
        <f t="shared" si="100"/>
        <v>6.0952470564186678E-18</v>
      </c>
      <c r="L511" s="49">
        <f t="shared" si="101"/>
        <v>5.4467350653740622E-17</v>
      </c>
      <c r="M511" s="49">
        <f t="shared" si="101"/>
        <v>4.37823331827634E-16</v>
      </c>
      <c r="N511" s="49">
        <f t="shared" si="101"/>
        <v>3.1918427685334355E-15</v>
      </c>
      <c r="O511" s="49">
        <f t="shared" si="101"/>
        <v>2.1249477734533538E-14</v>
      </c>
      <c r="P511" s="49">
        <f t="shared" si="101"/>
        <v>1.2994338155632071E-13</v>
      </c>
      <c r="Q511" s="49">
        <f t="shared" si="101"/>
        <v>7.3356395231052145E-13</v>
      </c>
      <c r="R511" s="49">
        <f t="shared" si="101"/>
        <v>3.8396478273135564E-12</v>
      </c>
      <c r="S511" s="49">
        <f t="shared" si="101"/>
        <v>1.870558523316308E-11</v>
      </c>
      <c r="T511" s="49">
        <f t="shared" si="101"/>
        <v>8.5102086516749989E-11</v>
      </c>
      <c r="U511" s="49">
        <f t="shared" si="101"/>
        <v>3.6265852520521675E-10</v>
      </c>
      <c r="V511" s="49">
        <f t="shared" si="101"/>
        <v>1.4514651167999227E-9</v>
      </c>
      <c r="W511" s="47">
        <v>0.49199999999999999</v>
      </c>
    </row>
    <row r="512" spans="2:23" x14ac:dyDescent="0.25">
      <c r="B512" s="49">
        <f t="shared" si="100"/>
        <v>4.6778897253250114E-30</v>
      </c>
      <c r="C512" s="49">
        <f t="shared" si="100"/>
        <v>4.5599737768448679E-28</v>
      </c>
      <c r="D512" s="49">
        <f t="shared" si="100"/>
        <v>2.2009702873670494E-26</v>
      </c>
      <c r="E512" s="49">
        <f t="shared" si="100"/>
        <v>7.0130401164064932E-25</v>
      </c>
      <c r="F512" s="49">
        <f t="shared" si="100"/>
        <v>1.6594069728637028E-23</v>
      </c>
      <c r="G512" s="49">
        <f t="shared" si="100"/>
        <v>3.1098811693032968E-22</v>
      </c>
      <c r="H512" s="49">
        <f t="shared" si="100"/>
        <v>4.8080435906758714E-21</v>
      </c>
      <c r="I512" s="49">
        <f t="shared" si="100"/>
        <v>6.3069786985279764E-20</v>
      </c>
      <c r="J512" s="49">
        <f t="shared" si="100"/>
        <v>7.1650179908402023E-19</v>
      </c>
      <c r="K512" s="49">
        <f t="shared" si="100"/>
        <v>7.1606904560690064E-18</v>
      </c>
      <c r="L512" s="49">
        <f t="shared" si="101"/>
        <v>6.3736491453069676E-17</v>
      </c>
      <c r="M512" s="49">
        <f t="shared" si="101"/>
        <v>5.1031740765314004E-16</v>
      </c>
      <c r="N512" s="49">
        <f t="shared" si="101"/>
        <v>3.7057311413655239E-15</v>
      </c>
      <c r="O512" s="49">
        <f t="shared" si="101"/>
        <v>2.457384249652844E-14</v>
      </c>
      <c r="P512" s="49">
        <f t="shared" si="101"/>
        <v>1.4968315640453912E-13</v>
      </c>
      <c r="Q512" s="49">
        <f t="shared" si="101"/>
        <v>8.4169044133904344E-13</v>
      </c>
      <c r="R512" s="49">
        <f t="shared" si="101"/>
        <v>4.3883703357991709E-12</v>
      </c>
      <c r="S512" s="49">
        <f t="shared" si="101"/>
        <v>2.1295243437681561E-11</v>
      </c>
      <c r="T512" s="49">
        <f t="shared" si="101"/>
        <v>9.6505724636973453E-11</v>
      </c>
      <c r="U512" s="49">
        <f t="shared" si="101"/>
        <v>4.096515725021362E-10</v>
      </c>
      <c r="V512" s="49">
        <f t="shared" si="101"/>
        <v>1.6331636801025526E-9</v>
      </c>
      <c r="W512" s="47">
        <v>0.49099999999999999</v>
      </c>
    </row>
    <row r="513" spans="2:23" x14ac:dyDescent="0.25">
      <c r="B513" s="49">
        <f t="shared" ref="B513:K522" si="102">_xlfn.HYPGEOM.DIST(B$2,comau,tongtheN*$W513,tongtheN,TRUE)</f>
        <v>5.6924111114038264E-30</v>
      </c>
      <c r="C513" s="49">
        <f t="shared" si="102"/>
        <v>5.5269882775486125E-28</v>
      </c>
      <c r="D513" s="49">
        <f t="shared" si="102"/>
        <v>2.6571802680997222E-26</v>
      </c>
      <c r="E513" s="49">
        <f t="shared" si="102"/>
        <v>8.4332420771626684E-25</v>
      </c>
      <c r="F513" s="49">
        <f t="shared" si="102"/>
        <v>1.9875742895386833E-23</v>
      </c>
      <c r="G513" s="49">
        <f t="shared" si="102"/>
        <v>3.7102000928734709E-22</v>
      </c>
      <c r="H513" s="49">
        <f t="shared" si="102"/>
        <v>5.7135486349064248E-21</v>
      </c>
      <c r="I513" s="49">
        <f t="shared" si="102"/>
        <v>7.465241609797643E-20</v>
      </c>
      <c r="J513" s="49">
        <f t="shared" si="102"/>
        <v>8.4474533634656494E-19</v>
      </c>
      <c r="K513" s="49">
        <f t="shared" si="102"/>
        <v>8.4091198912009746E-18</v>
      </c>
      <c r="L513" s="49">
        <f t="shared" ref="L513:V522" si="103">_xlfn.HYPGEOM.DIST(L$2,comau,tongtheN*$W513,tongtheN,TRUE)</f>
        <v>7.4554199798114033E-17</v>
      </c>
      <c r="M513" s="49">
        <f t="shared" si="103"/>
        <v>5.9458497939336437E-16</v>
      </c>
      <c r="N513" s="49">
        <f t="shared" si="103"/>
        <v>4.3006927268642775E-15</v>
      </c>
      <c r="O513" s="49">
        <f t="shared" si="103"/>
        <v>2.840730285901757E-14</v>
      </c>
      <c r="P513" s="49">
        <f t="shared" si="103"/>
        <v>1.7235499150998836E-13</v>
      </c>
      <c r="Q513" s="49">
        <f t="shared" si="103"/>
        <v>9.6538162720123707E-13</v>
      </c>
      <c r="R513" s="49">
        <f t="shared" si="103"/>
        <v>5.013574122462831E-12</v>
      </c>
      <c r="S513" s="49">
        <f t="shared" si="103"/>
        <v>2.4234066535961514E-11</v>
      </c>
      <c r="T513" s="49">
        <f t="shared" si="103"/>
        <v>1.0939524024020969E-10</v>
      </c>
      <c r="U513" s="49">
        <f t="shared" si="103"/>
        <v>4.6255562614196296E-10</v>
      </c>
      <c r="V513" s="49">
        <f t="shared" si="103"/>
        <v>1.8369002582748251E-9</v>
      </c>
      <c r="W513" s="47">
        <v>0.49</v>
      </c>
    </row>
    <row r="514" spans="2:23" x14ac:dyDescent="0.25">
      <c r="B514" s="49">
        <f t="shared" si="102"/>
        <v>6.9242945877063179E-30</v>
      </c>
      <c r="C514" s="49">
        <f t="shared" si="102"/>
        <v>6.6964969612287735E-28</v>
      </c>
      <c r="D514" s="49">
        <f t="shared" si="102"/>
        <v>3.2067177095028734E-26</v>
      </c>
      <c r="E514" s="49">
        <f t="shared" si="102"/>
        <v>1.0137144238040373E-24</v>
      </c>
      <c r="F514" s="49">
        <f t="shared" si="102"/>
        <v>2.3797240124349348E-23</v>
      </c>
      <c r="G514" s="49">
        <f t="shared" si="102"/>
        <v>4.4246975061106793E-22</v>
      </c>
      <c r="H514" s="49">
        <f t="shared" si="102"/>
        <v>6.7869732296587471E-21</v>
      </c>
      <c r="I514" s="49">
        <f t="shared" si="102"/>
        <v>8.8328125333737826E-20</v>
      </c>
      <c r="J514" s="49">
        <f t="shared" si="102"/>
        <v>9.9555884280004482E-19</v>
      </c>
      <c r="K514" s="49">
        <f t="shared" si="102"/>
        <v>9.8714007311719892E-18</v>
      </c>
      <c r="L514" s="49">
        <f t="shared" si="103"/>
        <v>8.7174337645312224E-17</v>
      </c>
      <c r="M514" s="49">
        <f t="shared" si="103"/>
        <v>6.925004578401248E-16</v>
      </c>
      <c r="N514" s="49">
        <f t="shared" si="103"/>
        <v>4.9892528019097019E-15</v>
      </c>
      <c r="O514" s="49">
        <f t="shared" si="103"/>
        <v>3.2826118972963189E-14</v>
      </c>
      <c r="P514" s="49">
        <f t="shared" si="103"/>
        <v>1.9838436210585273E-13</v>
      </c>
      <c r="Q514" s="49">
        <f t="shared" si="103"/>
        <v>1.1068234310057011E-12</v>
      </c>
      <c r="R514" s="49">
        <f t="shared" si="103"/>
        <v>5.7256440965458983E-12</v>
      </c>
      <c r="S514" s="49">
        <f t="shared" si="103"/>
        <v>2.7567843632044053E-11</v>
      </c>
      <c r="T514" s="49">
        <f t="shared" si="103"/>
        <v>1.2395860579756198E-10</v>
      </c>
      <c r="U514" s="49">
        <f t="shared" si="103"/>
        <v>5.2209114526169248E-10</v>
      </c>
      <c r="V514" s="49">
        <f t="shared" si="103"/>
        <v>2.0652593163199051E-9</v>
      </c>
      <c r="W514" s="47">
        <v>0.48899999999999999</v>
      </c>
    </row>
    <row r="515" spans="2:23" x14ac:dyDescent="0.25">
      <c r="B515" s="49">
        <f t="shared" si="102"/>
        <v>8.4195420128196845E-30</v>
      </c>
      <c r="C515" s="49">
        <f t="shared" si="102"/>
        <v>8.1103646803235697E-28</v>
      </c>
      <c r="D515" s="49">
        <f t="shared" si="102"/>
        <v>3.8684228527272665E-26</v>
      </c>
      <c r="E515" s="49">
        <f t="shared" si="102"/>
        <v>1.2180640141291077E-24</v>
      </c>
      <c r="F515" s="49">
        <f t="shared" si="102"/>
        <v>2.8481520966216339E-23</v>
      </c>
      <c r="G515" s="49">
        <f t="shared" si="102"/>
        <v>5.274765310612751E-22</v>
      </c>
      <c r="H515" s="49">
        <f t="shared" si="102"/>
        <v>8.0589709814324756E-21</v>
      </c>
      <c r="I515" s="49">
        <f t="shared" si="102"/>
        <v>1.0446898104155843E-19</v>
      </c>
      <c r="J515" s="49">
        <f t="shared" si="102"/>
        <v>1.1728466338162898E-18</v>
      </c>
      <c r="K515" s="49">
        <f t="shared" si="102"/>
        <v>1.1583509199907791E-17</v>
      </c>
      <c r="L515" s="49">
        <f t="shared" si="103"/>
        <v>1.0189158127253485E-16</v>
      </c>
      <c r="M515" s="49">
        <f t="shared" si="103"/>
        <v>8.0623061139227538E-16</v>
      </c>
      <c r="N515" s="49">
        <f t="shared" si="103"/>
        <v>5.7858302501590883E-15</v>
      </c>
      <c r="O515" s="49">
        <f t="shared" si="103"/>
        <v>3.7917715638004604E-14</v>
      </c>
      <c r="P515" s="49">
        <f t="shared" si="103"/>
        <v>2.2825700351141292E-13</v>
      </c>
      <c r="Q515" s="49">
        <f t="shared" si="103"/>
        <v>1.2685009512866092E-12</v>
      </c>
      <c r="R515" s="49">
        <f t="shared" si="103"/>
        <v>6.536337092765919E-12</v>
      </c>
      <c r="S515" s="49">
        <f t="shared" si="103"/>
        <v>3.1348195289568835E-11</v>
      </c>
      <c r="T515" s="49">
        <f t="shared" si="103"/>
        <v>1.4040684024688932E-10</v>
      </c>
      <c r="U515" s="49">
        <f t="shared" si="103"/>
        <v>5.8906350108635647E-10</v>
      </c>
      <c r="V515" s="49">
        <f t="shared" si="103"/>
        <v>2.3211176507961692E-9</v>
      </c>
      <c r="W515" s="47">
        <v>0.48799999999999999</v>
      </c>
    </row>
    <row r="516" spans="2:23" x14ac:dyDescent="0.25">
      <c r="B516" s="49">
        <f t="shared" si="102"/>
        <v>1.0233771204990639E-29</v>
      </c>
      <c r="C516" s="49">
        <f t="shared" si="102"/>
        <v>9.819000872949005E-28</v>
      </c>
      <c r="D516" s="49">
        <f t="shared" si="102"/>
        <v>4.6648885346649885E-26</v>
      </c>
      <c r="E516" s="49">
        <f t="shared" si="102"/>
        <v>1.4630482072326456E-24</v>
      </c>
      <c r="F516" s="49">
        <f t="shared" si="102"/>
        <v>3.4074831764969622E-23</v>
      </c>
      <c r="G516" s="49">
        <f t="shared" si="102"/>
        <v>6.2857424377452425E-22</v>
      </c>
      <c r="H516" s="49">
        <f t="shared" si="102"/>
        <v>9.5657023867781812E-21</v>
      </c>
      <c r="I516" s="49">
        <f t="shared" si="102"/>
        <v>1.2351208712471136E-19</v>
      </c>
      <c r="J516" s="49">
        <f t="shared" si="102"/>
        <v>1.381176624852557E-18</v>
      </c>
      <c r="K516" s="49">
        <f t="shared" si="102"/>
        <v>1.3587362741984903E-17</v>
      </c>
      <c r="L516" s="49">
        <f t="shared" si="103"/>
        <v>1.1904785295613555E-16</v>
      </c>
      <c r="M516" s="49">
        <f t="shared" si="103"/>
        <v>9.3827920985267912E-16</v>
      </c>
      <c r="N516" s="49">
        <f t="shared" si="103"/>
        <v>6.7070174872085064E-15</v>
      </c>
      <c r="O516" s="49">
        <f t="shared" si="103"/>
        <v>4.3782278329617095E-14</v>
      </c>
      <c r="P516" s="49">
        <f t="shared" si="103"/>
        <v>2.6252723200577616E-13</v>
      </c>
      <c r="Q516" s="49">
        <f t="shared" si="103"/>
        <v>1.4532383179434393E-12</v>
      </c>
      <c r="R516" s="49">
        <f t="shared" si="103"/>
        <v>7.4589579424366793E-12</v>
      </c>
      <c r="S516" s="49">
        <f t="shared" si="103"/>
        <v>3.5633293490615728E-11</v>
      </c>
      <c r="T516" s="49">
        <f t="shared" si="103"/>
        <v>1.589767417591265E-10</v>
      </c>
      <c r="U516" s="49">
        <f t="shared" si="103"/>
        <v>6.6437262982106448E-10</v>
      </c>
      <c r="V516" s="49">
        <f t="shared" si="103"/>
        <v>2.607676187088433E-9</v>
      </c>
      <c r="W516" s="47">
        <v>0.48699999999999999</v>
      </c>
    </row>
    <row r="517" spans="2:23" x14ac:dyDescent="0.25">
      <c r="B517" s="49">
        <f t="shared" si="102"/>
        <v>1.2434201082922629E-29</v>
      </c>
      <c r="C517" s="49">
        <f t="shared" si="102"/>
        <v>1.1883080964650442E-27</v>
      </c>
      <c r="D517" s="49">
        <f t="shared" si="102"/>
        <v>5.6231975468536391E-26</v>
      </c>
      <c r="E517" s="49">
        <f t="shared" si="102"/>
        <v>1.7566360916355698E-24</v>
      </c>
      <c r="F517" s="49">
        <f t="shared" si="102"/>
        <v>4.0751050833397872E-23</v>
      </c>
      <c r="G517" s="49">
        <f t="shared" si="102"/>
        <v>7.4876318732485131E-22</v>
      </c>
      <c r="H517" s="49">
        <f t="shared" si="102"/>
        <v>1.1349808121865907E-20</v>
      </c>
      <c r="I517" s="49">
        <f t="shared" si="102"/>
        <v>1.4597076036340275E-19</v>
      </c>
      <c r="J517" s="49">
        <f t="shared" si="102"/>
        <v>1.6258911037543617E-18</v>
      </c>
      <c r="K517" s="49">
        <f t="shared" si="102"/>
        <v>1.593178269048763E-17</v>
      </c>
      <c r="L517" s="49">
        <f t="shared" si="103"/>
        <v>1.3903974543677402E-16</v>
      </c>
      <c r="M517" s="49">
        <f t="shared" si="103"/>
        <v>1.0915383375223582E-15</v>
      </c>
      <c r="N517" s="49">
        <f t="shared" si="103"/>
        <v>7.7719008117354354E-15</v>
      </c>
      <c r="O517" s="49">
        <f t="shared" si="103"/>
        <v>5.0534571777845981E-14</v>
      </c>
      <c r="P517" s="49">
        <f t="shared" si="103"/>
        <v>3.0182738451091217E-13</v>
      </c>
      <c r="Q517" s="49">
        <f t="shared" si="103"/>
        <v>1.6642437058957822E-12</v>
      </c>
      <c r="R517" s="49">
        <f t="shared" si="103"/>
        <v>8.5085574583848366E-12</v>
      </c>
      <c r="S517" s="49">
        <f t="shared" si="103"/>
        <v>4.0488667584237415E-11</v>
      </c>
      <c r="T517" s="49">
        <f t="shared" si="103"/>
        <v>1.7993393311101395E-10</v>
      </c>
      <c r="U517" s="49">
        <f t="shared" si="103"/>
        <v>7.4902374078814718E-10</v>
      </c>
      <c r="V517" s="49">
        <f t="shared" si="103"/>
        <v>2.9284950903153252E-9</v>
      </c>
      <c r="W517" s="47">
        <v>0.48599999999999999</v>
      </c>
    </row>
    <row r="518" spans="2:23" x14ac:dyDescent="0.25">
      <c r="B518" s="49">
        <f t="shared" si="102"/>
        <v>1.5102041500046474E-29</v>
      </c>
      <c r="C518" s="49">
        <f t="shared" si="102"/>
        <v>1.437561003862482E-27</v>
      </c>
      <c r="D518" s="49">
        <f t="shared" si="102"/>
        <v>6.7758029031123121E-26</v>
      </c>
      <c r="E518" s="49">
        <f t="shared" si="102"/>
        <v>2.1083378695514667E-24</v>
      </c>
      <c r="F518" s="49">
        <f t="shared" si="102"/>
        <v>4.8716832274832306E-23</v>
      </c>
      <c r="G518" s="49">
        <f t="shared" si="102"/>
        <v>8.9159458913066171E-22</v>
      </c>
      <c r="H518" s="49">
        <f t="shared" si="102"/>
        <v>1.3461551510740227E-20</v>
      </c>
      <c r="I518" s="49">
        <f t="shared" si="102"/>
        <v>1.724475925936028E-19</v>
      </c>
      <c r="J518" s="49">
        <f t="shared" si="102"/>
        <v>1.9132356548411652E-18</v>
      </c>
      <c r="K518" s="49">
        <f t="shared" si="102"/>
        <v>1.8673609896386026E-17</v>
      </c>
      <c r="L518" s="49">
        <f t="shared" si="103"/>
        <v>1.6232708917883751E-16</v>
      </c>
      <c r="M518" s="49">
        <f t="shared" si="103"/>
        <v>1.2693473494786768E-15</v>
      </c>
      <c r="N518" s="49">
        <f t="shared" si="103"/>
        <v>9.0024268805144426E-15</v>
      </c>
      <c r="O518" s="49">
        <f t="shared" si="103"/>
        <v>5.8306011332040111E-14</v>
      </c>
      <c r="P518" s="49">
        <f t="shared" si="103"/>
        <v>3.4687852336036242E-13</v>
      </c>
      <c r="Q518" s="49">
        <f t="shared" si="103"/>
        <v>1.90516015656635E-12</v>
      </c>
      <c r="R518" s="49">
        <f t="shared" si="103"/>
        <v>9.7021549731775485E-12</v>
      </c>
      <c r="S518" s="49">
        <f t="shared" si="103"/>
        <v>4.5988106135421932E-11</v>
      </c>
      <c r="T518" s="49">
        <f t="shared" si="103"/>
        <v>2.0357625405636789E-10</v>
      </c>
      <c r="U518" s="49">
        <f t="shared" si="103"/>
        <v>8.4413919032206831E-10</v>
      </c>
      <c r="V518" s="49">
        <f t="shared" si="103"/>
        <v>3.2875325191574224E-9</v>
      </c>
      <c r="W518" s="47">
        <v>0.48499999999999999</v>
      </c>
    </row>
    <row r="519" spans="2:23" x14ac:dyDescent="0.25">
      <c r="B519" s="49">
        <f t="shared" si="102"/>
        <v>1.8335369233514812E-29</v>
      </c>
      <c r="C519" s="49">
        <f t="shared" si="102"/>
        <v>1.7384395930718867E-27</v>
      </c>
      <c r="D519" s="49">
        <f t="shared" si="102"/>
        <v>8.1615783307844578E-26</v>
      </c>
      <c r="E519" s="49">
        <f t="shared" si="102"/>
        <v>2.5294986851489136E-24</v>
      </c>
      <c r="F519" s="49">
        <f t="shared" si="102"/>
        <v>5.821769300986554E-23</v>
      </c>
      <c r="G519" s="49">
        <f t="shared" si="102"/>
        <v>1.0612702056071723E-21</v>
      </c>
      <c r="H519" s="49">
        <f t="shared" si="102"/>
        <v>1.596015908331298E-20</v>
      </c>
      <c r="I519" s="49">
        <f t="shared" si="102"/>
        <v>2.0364971265062759E-19</v>
      </c>
      <c r="J519" s="49">
        <f t="shared" si="102"/>
        <v>2.25050915323026E-18</v>
      </c>
      <c r="K519" s="49">
        <f t="shared" si="102"/>
        <v>2.1878997139030484E-17</v>
      </c>
      <c r="L519" s="49">
        <f t="shared" si="103"/>
        <v>1.8944283459671109E-16</v>
      </c>
      <c r="M519" s="49">
        <f t="shared" si="103"/>
        <v>1.4755605838054514E-15</v>
      </c>
      <c r="N519" s="49">
        <f t="shared" si="103"/>
        <v>1.0423821788108638E-14</v>
      </c>
      <c r="O519" s="49">
        <f t="shared" si="103"/>
        <v>6.7247021342283027E-14</v>
      </c>
      <c r="P519" s="49">
        <f t="shared" si="103"/>
        <v>3.9850257099571684E-13</v>
      </c>
      <c r="Q519" s="49">
        <f t="shared" si="103"/>
        <v>2.1801229341320944E-12</v>
      </c>
      <c r="R519" s="49">
        <f t="shared" si="103"/>
        <v>1.1058988377093594E-11</v>
      </c>
      <c r="S519" s="49">
        <f t="shared" si="103"/>
        <v>5.2214665684091263E-11</v>
      </c>
      <c r="T519" s="49">
        <f t="shared" si="103"/>
        <v>2.3023753871308383E-10</v>
      </c>
      <c r="U519" s="49">
        <f t="shared" si="103"/>
        <v>9.5097164296946543E-10</v>
      </c>
      <c r="V519" s="49">
        <f t="shared" si="103"/>
        <v>3.6891873829015507E-9</v>
      </c>
      <c r="W519" s="47">
        <v>0.48399999999999999</v>
      </c>
    </row>
    <row r="520" spans="2:23" x14ac:dyDescent="0.25">
      <c r="B520" s="49">
        <f t="shared" si="102"/>
        <v>2.2252587778111931E-29</v>
      </c>
      <c r="C520" s="49">
        <f t="shared" si="102"/>
        <v>2.1015011906650503E-27</v>
      </c>
      <c r="D520" s="49">
        <f t="shared" si="102"/>
        <v>9.8270714483127022E-26</v>
      </c>
      <c r="E520" s="49">
        <f t="shared" si="102"/>
        <v>3.0336476733869628E-24</v>
      </c>
      <c r="F520" s="49">
        <f t="shared" si="102"/>
        <v>6.9545213327980557E-23</v>
      </c>
      <c r="G520" s="49">
        <f t="shared" si="102"/>
        <v>1.2627596452881856E-21</v>
      </c>
      <c r="H520" s="49">
        <f t="shared" si="102"/>
        <v>1.8915392989621035E-20</v>
      </c>
      <c r="I520" s="49">
        <f t="shared" si="102"/>
        <v>2.4040661193076683E-19</v>
      </c>
      <c r="J520" s="49">
        <f t="shared" si="102"/>
        <v>2.6462382080002466E-18</v>
      </c>
      <c r="K520" s="49">
        <f t="shared" si="102"/>
        <v>2.56249057701842E-17</v>
      </c>
      <c r="L520" s="49">
        <f t="shared" si="103"/>
        <v>2.2100444679065201E-16</v>
      </c>
      <c r="M520" s="49">
        <f t="shared" si="103"/>
        <v>1.7146251007419181E-15</v>
      </c>
      <c r="N520" s="49">
        <f t="shared" si="103"/>
        <v>1.2065070119681886E-14</v>
      </c>
      <c r="O520" s="49">
        <f t="shared" si="103"/>
        <v>7.7529719297668817E-14</v>
      </c>
      <c r="P520" s="49">
        <f t="shared" si="103"/>
        <v>4.5763606028115496E-13</v>
      </c>
      <c r="Q520" s="49">
        <f t="shared" si="103"/>
        <v>2.4938242315695948E-12</v>
      </c>
      <c r="R520" s="49">
        <f t="shared" si="103"/>
        <v>1.2600794943551271E-11</v>
      </c>
      <c r="S520" s="49">
        <f t="shared" si="103"/>
        <v>5.92617986394018E-11</v>
      </c>
      <c r="T520" s="49">
        <f t="shared" si="103"/>
        <v>2.6029181997248857E-10</v>
      </c>
      <c r="U520" s="49">
        <f t="shared" si="103"/>
        <v>1.0709186536186387E-9</v>
      </c>
      <c r="V520" s="49">
        <f t="shared" si="103"/>
        <v>4.1383464957476779E-9</v>
      </c>
      <c r="W520" s="47">
        <v>0.48299999999999998</v>
      </c>
    </row>
    <row r="521" spans="2:23" x14ac:dyDescent="0.25">
      <c r="B521" s="49">
        <f t="shared" si="102"/>
        <v>2.6996587960231175E-29</v>
      </c>
      <c r="C521" s="49">
        <f t="shared" si="102"/>
        <v>2.539434456314082E-27</v>
      </c>
      <c r="D521" s="49">
        <f t="shared" si="102"/>
        <v>1.1827998196153588E-25</v>
      </c>
      <c r="E521" s="49">
        <f t="shared" si="102"/>
        <v>3.6369124568923568E-24</v>
      </c>
      <c r="F521" s="49">
        <f t="shared" si="102"/>
        <v>8.3045551563579376E-23</v>
      </c>
      <c r="G521" s="49">
        <f t="shared" si="102"/>
        <v>1.5019385180163414E-21</v>
      </c>
      <c r="H521" s="49">
        <f t="shared" si="102"/>
        <v>2.2409394693416064E-20</v>
      </c>
      <c r="I521" s="49">
        <f t="shared" si="102"/>
        <v>2.836909565075057E-19</v>
      </c>
      <c r="J521" s="49">
        <f t="shared" si="102"/>
        <v>3.1103799640418281E-18</v>
      </c>
      <c r="K521" s="49">
        <f t="shared" si="102"/>
        <v>3.0000838219140865E-17</v>
      </c>
      <c r="L521" s="49">
        <f t="shared" si="103"/>
        <v>2.5772703935779631E-16</v>
      </c>
      <c r="M521" s="49">
        <f t="shared" si="103"/>
        <v>1.9916698998575872E-15</v>
      </c>
      <c r="N521" s="49">
        <f t="shared" si="103"/>
        <v>1.3959462351384831E-14</v>
      </c>
      <c r="O521" s="49">
        <f t="shared" si="103"/>
        <v>8.9350969548021104E-14</v>
      </c>
      <c r="P521" s="49">
        <f t="shared" si="103"/>
        <v>5.2534570952927396E-13</v>
      </c>
      <c r="Q521" s="49">
        <f t="shared" si="103"/>
        <v>2.8515861399159621E-12</v>
      </c>
      <c r="R521" s="49">
        <f t="shared" si="103"/>
        <v>1.4352126609004907E-11</v>
      </c>
      <c r="S521" s="49">
        <f t="shared" si="103"/>
        <v>6.7234613878869272E-11</v>
      </c>
      <c r="T521" s="49">
        <f t="shared" si="103"/>
        <v>2.941580073259777E-10</v>
      </c>
      <c r="U521" s="49">
        <f t="shared" si="103"/>
        <v>1.2055388173969458E-9</v>
      </c>
      <c r="V521" s="49">
        <f t="shared" si="103"/>
        <v>4.640436559149716E-9</v>
      </c>
      <c r="W521" s="47">
        <v>0.48199999999999998</v>
      </c>
    </row>
    <row r="522" spans="2:23" x14ac:dyDescent="0.25">
      <c r="B522" s="49">
        <f t="shared" si="102"/>
        <v>3.2739749543026903E-29</v>
      </c>
      <c r="C522" s="49">
        <f t="shared" si="102"/>
        <v>3.0674841029702958E-27</v>
      </c>
      <c r="D522" s="49">
        <f t="shared" si="102"/>
        <v>1.4231024323922827E-25</v>
      </c>
      <c r="E522" s="49">
        <f t="shared" si="102"/>
        <v>4.3585111847352205E-24</v>
      </c>
      <c r="F522" s="49">
        <f t="shared" si="102"/>
        <v>9.9129509073934752E-23</v>
      </c>
      <c r="G522" s="49">
        <f t="shared" si="102"/>
        <v>1.7857510477398327E-21</v>
      </c>
      <c r="H522" s="49">
        <f t="shared" si="102"/>
        <v>2.6538845955549525E-20</v>
      </c>
      <c r="I522" s="49">
        <f t="shared" si="102"/>
        <v>3.3464287723660637E-19</v>
      </c>
      <c r="J522" s="49">
        <f t="shared" si="102"/>
        <v>3.654557785554434E-18</v>
      </c>
      <c r="K522" s="49">
        <f t="shared" si="102"/>
        <v>3.5110842782966818E-17</v>
      </c>
      <c r="L522" s="49">
        <f t="shared" si="103"/>
        <v>3.0043850703256459E-16</v>
      </c>
      <c r="M522" s="49">
        <f t="shared" si="103"/>
        <v>2.312608271401612E-15</v>
      </c>
      <c r="N522" s="49">
        <f t="shared" si="103"/>
        <v>1.6145220112462884E-14</v>
      </c>
      <c r="O522" s="49">
        <f t="shared" si="103"/>
        <v>1.0293585617063823E-13</v>
      </c>
      <c r="P522" s="49">
        <f t="shared" si="103"/>
        <v>6.0284605759104228E-13</v>
      </c>
      <c r="Q522" s="49">
        <f t="shared" si="103"/>
        <v>3.2594429040312661E-12</v>
      </c>
      <c r="R522" s="49">
        <f t="shared" si="103"/>
        <v>1.6340703795741271E-11</v>
      </c>
      <c r="S522" s="49">
        <f t="shared" si="103"/>
        <v>7.6251285107650817E-11</v>
      </c>
      <c r="T522" s="49">
        <f t="shared" si="103"/>
        <v>3.3230508932901488E-10</v>
      </c>
      <c r="U522" s="49">
        <f t="shared" si="103"/>
        <v>1.3565696486249418E-9</v>
      </c>
      <c r="V522" s="49">
        <f t="shared" si="103"/>
        <v>5.2014814428919544E-9</v>
      </c>
      <c r="W522" s="47">
        <v>0.48099999999999998</v>
      </c>
    </row>
    <row r="523" spans="2:23" x14ac:dyDescent="0.25">
      <c r="B523" s="49">
        <f t="shared" ref="B523:K532" si="104">_xlfn.HYPGEOM.DIST(B$2,comau,tongtheN*$W523,tongtheN,TRUE)</f>
        <v>3.9689951673392824E-29</v>
      </c>
      <c r="C523" s="49">
        <f t="shared" si="104"/>
        <v>3.7039591488495486E-27</v>
      </c>
      <c r="D523" s="49">
        <f t="shared" si="104"/>
        <v>1.711588831089622E-25</v>
      </c>
      <c r="E523" s="49">
        <f t="shared" si="104"/>
        <v>5.2213364088543409E-24</v>
      </c>
      <c r="F523" s="49">
        <f t="shared" si="104"/>
        <v>1.1828442348506493E-22</v>
      </c>
      <c r="G523" s="49">
        <f t="shared" si="104"/>
        <v>2.1224014114049569E-21</v>
      </c>
      <c r="H523" s="49">
        <f t="shared" si="104"/>
        <v>3.1417500786258996E-20</v>
      </c>
      <c r="I523" s="49">
        <f t="shared" si="104"/>
        <v>3.9459830866674995E-19</v>
      </c>
      <c r="J523" s="49">
        <f t="shared" si="104"/>
        <v>4.2923350514710198E-18</v>
      </c>
      <c r="K523" s="49">
        <f t="shared" si="104"/>
        <v>4.1075832634263206E-17</v>
      </c>
      <c r="L523" s="49">
        <f t="shared" ref="L523:V532" si="105">_xlfn.HYPGEOM.DIST(L$2,comau,tongtheN*$W523,tongtheN,TRUE)</f>
        <v>3.5009695484983023E-16</v>
      </c>
      <c r="M523" s="49">
        <f t="shared" si="105"/>
        <v>2.684255171274453E-15</v>
      </c>
      <c r="N523" s="49">
        <f t="shared" si="105"/>
        <v>1.8666210113891732E-14</v>
      </c>
      <c r="O523" s="49">
        <f t="shared" si="105"/>
        <v>1.1854163100738395E-13</v>
      </c>
      <c r="P523" s="49">
        <f t="shared" si="105"/>
        <v>6.9151942381600287E-13</v>
      </c>
      <c r="Q523" s="49">
        <f t="shared" si="105"/>
        <v>3.7242336107704625E-12</v>
      </c>
      <c r="R523" s="49">
        <f t="shared" si="105"/>
        <v>1.8597812333978269E-11</v>
      </c>
      <c r="S523" s="49">
        <f t="shared" si="105"/>
        <v>8.6444623674917613E-11</v>
      </c>
      <c r="T523" s="49">
        <f t="shared" si="105"/>
        <v>3.7525791722531295E-10</v>
      </c>
      <c r="U523" s="49">
        <f t="shared" si="105"/>
        <v>1.5259473659105933E-9</v>
      </c>
      <c r="V523" s="49">
        <f t="shared" si="105"/>
        <v>5.8281652790083554E-9</v>
      </c>
      <c r="W523" s="47">
        <v>0.48</v>
      </c>
    </row>
    <row r="524" spans="2:23" x14ac:dyDescent="0.25">
      <c r="B524" s="49">
        <f t="shared" si="104"/>
        <v>4.8097793096822552E-29</v>
      </c>
      <c r="C524" s="49">
        <f t="shared" si="104"/>
        <v>4.4708409133371693E-27</v>
      </c>
      <c r="D524" s="49">
        <f t="shared" si="104"/>
        <v>2.0577930253586401E-25</v>
      </c>
      <c r="E524" s="49">
        <f t="shared" si="104"/>
        <v>6.2526476906912846E-24</v>
      </c>
      <c r="F524" s="49">
        <f t="shared" si="104"/>
        <v>1.4108821723749179E-22</v>
      </c>
      <c r="G524" s="49">
        <f t="shared" si="104"/>
        <v>2.5215787969606785E-21</v>
      </c>
      <c r="H524" s="49">
        <f t="shared" si="104"/>
        <v>3.7179150969610301E-20</v>
      </c>
      <c r="I524" s="49">
        <f t="shared" si="104"/>
        <v>4.6512203953661713E-19</v>
      </c>
      <c r="J524" s="49">
        <f t="shared" si="104"/>
        <v>5.0395331088184455E-18</v>
      </c>
      <c r="K524" s="49">
        <f t="shared" si="104"/>
        <v>4.8036267302336683E-17</v>
      </c>
      <c r="L524" s="49">
        <f t="shared" si="105"/>
        <v>4.078107648768788E-16</v>
      </c>
      <c r="M524" s="49">
        <f t="shared" si="105"/>
        <v>3.1144617744181009E-15</v>
      </c>
      <c r="N524" s="49">
        <f t="shared" si="105"/>
        <v>2.1572759009415306E-14</v>
      </c>
      <c r="O524" s="49">
        <f t="shared" si="105"/>
        <v>1.3646220017970094E-13</v>
      </c>
      <c r="P524" s="49">
        <f t="shared" si="105"/>
        <v>7.9293849071106969E-13</v>
      </c>
      <c r="Q524" s="49">
        <f t="shared" si="105"/>
        <v>4.2537065922737984E-12</v>
      </c>
      <c r="R524" s="49">
        <f t="shared" si="105"/>
        <v>2.11587485591667E-11</v>
      </c>
      <c r="S524" s="49">
        <f t="shared" si="105"/>
        <v>9.7963834357174359E-11</v>
      </c>
      <c r="T524" s="49">
        <f t="shared" si="105"/>
        <v>4.2360363207977433E-10</v>
      </c>
      <c r="U524" s="49">
        <f t="shared" si="105"/>
        <v>1.7158287777254254E-9</v>
      </c>
      <c r="V524" s="49">
        <f t="shared" si="105"/>
        <v>6.5279019298073235E-9</v>
      </c>
      <c r="W524" s="47">
        <v>0.47899999999999998</v>
      </c>
    </row>
    <row r="525" spans="2:23" x14ac:dyDescent="0.25">
      <c r="B525" s="49">
        <f t="shared" si="104"/>
        <v>5.8265262575672107E-29</v>
      </c>
      <c r="C525" s="49">
        <f t="shared" si="104"/>
        <v>5.3945100735220938E-27</v>
      </c>
      <c r="D525" s="49">
        <f t="shared" si="104"/>
        <v>2.4731103280863597E-25</v>
      </c>
      <c r="E525" s="49">
        <f t="shared" si="104"/>
        <v>7.4848928920503472E-24</v>
      </c>
      <c r="F525" s="49">
        <f t="shared" si="104"/>
        <v>1.6822598605383623E-22</v>
      </c>
      <c r="G525" s="49">
        <f t="shared" si="104"/>
        <v>2.9947220271296713E-21</v>
      </c>
      <c r="H525" s="49">
        <f t="shared" si="104"/>
        <v>4.3981098144843296E-20</v>
      </c>
      <c r="I525" s="49">
        <f t="shared" si="104"/>
        <v>5.4804624413992562E-19</v>
      </c>
      <c r="J525" s="49">
        <f t="shared" si="104"/>
        <v>5.9146003703982243E-18</v>
      </c>
      <c r="K525" s="49">
        <f t="shared" si="104"/>
        <v>5.6155252140222285E-17</v>
      </c>
      <c r="L525" s="49">
        <f t="shared" si="105"/>
        <v>4.7486169108048758E-16</v>
      </c>
      <c r="M525" s="49">
        <f t="shared" si="105"/>
        <v>3.6122696631084992E-15</v>
      </c>
      <c r="N525" s="49">
        <f t="shared" si="105"/>
        <v>2.4922583108166876E-14</v>
      </c>
      <c r="O525" s="49">
        <f t="shared" si="105"/>
        <v>1.5703322059017723E-13</v>
      </c>
      <c r="P525" s="49">
        <f t="shared" si="105"/>
        <v>9.0889184413560978E-13</v>
      </c>
      <c r="Q525" s="49">
        <f t="shared" si="105"/>
        <v>4.8566369796520117E-12</v>
      </c>
      <c r="R525" s="49">
        <f t="shared" si="105"/>
        <v>2.4063318236816001E-11</v>
      </c>
      <c r="S525" s="49">
        <f t="shared" si="105"/>
        <v>1.1097647461962164E-10</v>
      </c>
      <c r="T525" s="49">
        <f t="shared" si="105"/>
        <v>4.7799880416520773E-10</v>
      </c>
      <c r="U525" s="49">
        <f t="shared" si="105"/>
        <v>1.9286154816498279E-9</v>
      </c>
      <c r="V525" s="49">
        <f t="shared" si="105"/>
        <v>7.308911442464882E-9</v>
      </c>
      <c r="W525" s="47">
        <v>0.47799999999999998</v>
      </c>
    </row>
    <row r="526" spans="2:23" x14ac:dyDescent="0.25">
      <c r="B526" s="49">
        <f t="shared" si="104"/>
        <v>7.0556147125455535E-29</v>
      </c>
      <c r="C526" s="49">
        <f t="shared" si="104"/>
        <v>6.506615789199601E-27</v>
      </c>
      <c r="D526" s="49">
        <f t="shared" si="104"/>
        <v>2.9711558293455054E-25</v>
      </c>
      <c r="E526" s="49">
        <f t="shared" si="104"/>
        <v>8.9566817122092695E-24</v>
      </c>
      <c r="F526" s="49">
        <f t="shared" si="104"/>
        <v>2.0050957952192292E-22</v>
      </c>
      <c r="G526" s="49">
        <f t="shared" si="104"/>
        <v>3.5553305927377565E-21</v>
      </c>
      <c r="H526" s="49">
        <f t="shared" si="104"/>
        <v>5.2008217501832309E-20</v>
      </c>
      <c r="I526" s="49">
        <f t="shared" si="104"/>
        <v>6.4551538713109054E-19</v>
      </c>
      <c r="J526" s="49">
        <f t="shared" si="104"/>
        <v>6.9390406268770316E-18</v>
      </c>
      <c r="K526" s="49">
        <f t="shared" si="104"/>
        <v>6.5622119614259819E-17</v>
      </c>
      <c r="L526" s="49">
        <f t="shared" si="105"/>
        <v>5.5273142943954494E-16</v>
      </c>
      <c r="M526" s="49">
        <f t="shared" si="105"/>
        <v>4.1880874495051091E-15</v>
      </c>
      <c r="N526" s="49">
        <f t="shared" si="105"/>
        <v>2.8781848728209581E-14</v>
      </c>
      <c r="O526" s="49">
        <f t="shared" si="105"/>
        <v>1.8063788715167956E-13</v>
      </c>
      <c r="P526" s="49">
        <f t="shared" si="105"/>
        <v>1.0414128473305271E-12</v>
      </c>
      <c r="Q526" s="49">
        <f t="shared" si="105"/>
        <v>5.5429590124098513E-12</v>
      </c>
      <c r="R526" s="49">
        <f t="shared" si="105"/>
        <v>2.7356395606497294E-11</v>
      </c>
      <c r="S526" s="49">
        <f t="shared" si="105"/>
        <v>1.2567064007491327E-10</v>
      </c>
      <c r="T526" s="49">
        <f t="shared" si="105"/>
        <v>5.3917736036907777E-10</v>
      </c>
      <c r="U526" s="49">
        <f t="shared" si="105"/>
        <v>2.1669806110472263E-9</v>
      </c>
      <c r="V526" s="49">
        <f t="shared" si="105"/>
        <v>8.1803041582282663E-9</v>
      </c>
      <c r="W526" s="47">
        <v>0.47699999999999998</v>
      </c>
    </row>
    <row r="527" spans="2:23" x14ac:dyDescent="0.25">
      <c r="B527" s="49">
        <f t="shared" si="104"/>
        <v>8.540852200196298E-29</v>
      </c>
      <c r="C527" s="49">
        <f t="shared" si="104"/>
        <v>7.8451142911229383E-27</v>
      </c>
      <c r="D527" s="49">
        <f t="shared" si="104"/>
        <v>3.5681909670727111E-25</v>
      </c>
      <c r="E527" s="49">
        <f t="shared" si="104"/>
        <v>1.0713939283927421E-23</v>
      </c>
      <c r="F527" s="49">
        <f t="shared" si="104"/>
        <v>2.3890070524184358E-22</v>
      </c>
      <c r="G527" s="49">
        <f t="shared" si="104"/>
        <v>4.2193301037474266E-21</v>
      </c>
      <c r="H527" s="49">
        <f t="shared" si="104"/>
        <v>6.1477712181789238E-20</v>
      </c>
      <c r="I527" s="49">
        <f t="shared" si="104"/>
        <v>7.6003853702033843E-19</v>
      </c>
      <c r="J527" s="49">
        <f t="shared" si="104"/>
        <v>8.1379098917761541E-18</v>
      </c>
      <c r="K527" s="49">
        <f t="shared" si="104"/>
        <v>7.6656565798411459E-17</v>
      </c>
      <c r="L527" s="49">
        <f t="shared" si="105"/>
        <v>6.4313217495413914E-16</v>
      </c>
      <c r="M527" s="49">
        <f t="shared" si="105"/>
        <v>4.8538930213423816E-15</v>
      </c>
      <c r="N527" s="49">
        <f t="shared" si="105"/>
        <v>3.3226381094948853E-14</v>
      </c>
      <c r="O527" s="49">
        <f t="shared" si="105"/>
        <v>2.0771350187431948E-13</v>
      </c>
      <c r="P527" s="49">
        <f t="shared" si="105"/>
        <v>1.1928122715084667E-12</v>
      </c>
      <c r="Q527" s="49">
        <f t="shared" si="105"/>
        <v>6.3239148984617739E-12</v>
      </c>
      <c r="R527" s="49">
        <f t="shared" si="105"/>
        <v>3.1088549545503069E-11</v>
      </c>
      <c r="S527" s="49">
        <f t="shared" si="105"/>
        <v>1.4225740129426669E-10</v>
      </c>
      <c r="T527" s="49">
        <f t="shared" si="105"/>
        <v>6.0795938308882451E-10</v>
      </c>
      <c r="U527" s="49">
        <f t="shared" si="105"/>
        <v>2.4338983853726872E-9</v>
      </c>
      <c r="V527" s="49">
        <f t="shared" si="105"/>
        <v>9.1521732045564686E-9</v>
      </c>
      <c r="W527" s="47">
        <v>0.47599999999999998</v>
      </c>
    </row>
    <row r="528" spans="2:23" x14ac:dyDescent="0.25">
      <c r="B528" s="49">
        <f t="shared" si="104"/>
        <v>1.0334973357689568E-28</v>
      </c>
      <c r="C528" s="49">
        <f t="shared" si="104"/>
        <v>9.4555095394561123E-27</v>
      </c>
      <c r="D528" s="49">
        <f t="shared" si="104"/>
        <v>4.2836309514954903E-25</v>
      </c>
      <c r="E528" s="49">
        <f t="shared" si="104"/>
        <v>1.2811272646986806E-23</v>
      </c>
      <c r="F528" s="49">
        <f t="shared" si="104"/>
        <v>2.845381809117436E-22</v>
      </c>
      <c r="G528" s="49">
        <f t="shared" si="104"/>
        <v>5.00550152526201E-21</v>
      </c>
      <c r="H528" s="49">
        <f t="shared" si="104"/>
        <v>7.2644673782438759E-20</v>
      </c>
      <c r="I528" s="49">
        <f t="shared" si="104"/>
        <v>8.9455028865810811E-19</v>
      </c>
      <c r="J528" s="49">
        <f t="shared" si="104"/>
        <v>9.5403925354631329E-18</v>
      </c>
      <c r="K528" s="49">
        <f t="shared" si="104"/>
        <v>8.9513426397421055E-17</v>
      </c>
      <c r="L528" s="49">
        <f t="shared" si="105"/>
        <v>7.480417508413884E-16</v>
      </c>
      <c r="M528" s="49">
        <f t="shared" si="105"/>
        <v>5.6234650420224121E-15</v>
      </c>
      <c r="N528" s="49">
        <f t="shared" si="105"/>
        <v>3.8343042078473831E-14</v>
      </c>
      <c r="O528" s="49">
        <f t="shared" si="105"/>
        <v>2.3875892762689386E-13</v>
      </c>
      <c r="P528" s="49">
        <f t="shared" si="105"/>
        <v>1.3657151577040619E-12</v>
      </c>
      <c r="Q528" s="49">
        <f t="shared" si="105"/>
        <v>7.2122222306776799E-12</v>
      </c>
      <c r="R528" s="49">
        <f t="shared" si="105"/>
        <v>3.5316744638134243E-11</v>
      </c>
      <c r="S528" s="49">
        <f t="shared" si="105"/>
        <v>1.6097351981093456E-10</v>
      </c>
      <c r="T528" s="49">
        <f t="shared" si="105"/>
        <v>6.8526087253122439E-10</v>
      </c>
      <c r="U528" s="49">
        <f t="shared" si="105"/>
        <v>2.732676744798615E-9</v>
      </c>
      <c r="V528" s="49">
        <f t="shared" si="105"/>
        <v>1.0235696163896422E-8</v>
      </c>
      <c r="W528" s="47">
        <v>0.47499999999999998</v>
      </c>
    </row>
    <row r="529" spans="2:23" x14ac:dyDescent="0.25">
      <c r="B529" s="49">
        <f t="shared" si="104"/>
        <v>1.2501436640849536E-28</v>
      </c>
      <c r="C529" s="49">
        <f t="shared" si="104"/>
        <v>1.1392334749857892E-26</v>
      </c>
      <c r="D529" s="49">
        <f t="shared" si="104"/>
        <v>5.1406481567352087E-25</v>
      </c>
      <c r="E529" s="49">
        <f t="shared" si="104"/>
        <v>1.5313588811404265E-23</v>
      </c>
      <c r="F529" s="49">
        <f t="shared" si="104"/>
        <v>3.3877006764427427E-22</v>
      </c>
      <c r="G529" s="49">
        <f t="shared" si="104"/>
        <v>5.9359851516906473E-21</v>
      </c>
      <c r="H529" s="49">
        <f t="shared" si="104"/>
        <v>8.5808583311208128E-20</v>
      </c>
      <c r="I529" s="49">
        <f t="shared" si="104"/>
        <v>1.0524816858729961E-18</v>
      </c>
      <c r="J529" s="49">
        <f t="shared" si="104"/>
        <v>1.1180469119157951E-17</v>
      </c>
      <c r="K529" s="49">
        <f t="shared" si="104"/>
        <v>1.0448818916083987E-16</v>
      </c>
      <c r="L529" s="49">
        <f t="shared" si="105"/>
        <v>8.6974397919915993E-16</v>
      </c>
      <c r="M529" s="49">
        <f t="shared" si="105"/>
        <v>6.5126478385591947E-15</v>
      </c>
      <c r="N529" s="49">
        <f t="shared" si="105"/>
        <v>4.4231299764349997E-14</v>
      </c>
      <c r="O529" s="49">
        <f t="shared" si="105"/>
        <v>2.7434304253013797E-13</v>
      </c>
      <c r="P529" s="49">
        <f t="shared" si="105"/>
        <v>1.5631024427369334E-12</v>
      </c>
      <c r="Q529" s="49">
        <f t="shared" si="105"/>
        <v>8.2222622009127944E-12</v>
      </c>
      <c r="R529" s="49">
        <f t="shared" si="105"/>
        <v>4.0105125806771186E-11</v>
      </c>
      <c r="S529" s="49">
        <f t="shared" si="105"/>
        <v>1.8208447411520332E-10</v>
      </c>
      <c r="T529" s="49">
        <f t="shared" si="105"/>
        <v>7.7210457358945922E-10</v>
      </c>
      <c r="U529" s="49">
        <f t="shared" si="105"/>
        <v>3.06699337652454E-9</v>
      </c>
      <c r="V529" s="49">
        <f t="shared" si="105"/>
        <v>1.1443246783641974E-8</v>
      </c>
      <c r="W529" s="47">
        <v>0.47399999999999998</v>
      </c>
    </row>
    <row r="530" spans="2:23" x14ac:dyDescent="0.25">
      <c r="B530" s="49">
        <f t="shared" si="104"/>
        <v>1.5116578141486743E-28</v>
      </c>
      <c r="C530" s="49">
        <f t="shared" si="104"/>
        <v>1.3720920934590466E-26</v>
      </c>
      <c r="D530" s="49">
        <f t="shared" si="104"/>
        <v>6.1668893785019538E-25</v>
      </c>
      <c r="E530" s="49">
        <f t="shared" si="104"/>
        <v>1.8298010058471098E-23</v>
      </c>
      <c r="F530" s="49">
        <f t="shared" si="104"/>
        <v>4.0319154542192256E-22</v>
      </c>
      <c r="G530" s="49">
        <f t="shared" si="104"/>
        <v>7.0368721221760977E-21</v>
      </c>
      <c r="H530" s="49">
        <f t="shared" si="104"/>
        <v>1.0132090892858118E-19</v>
      </c>
      <c r="I530" s="49">
        <f t="shared" si="104"/>
        <v>1.2378427560663384E-18</v>
      </c>
      <c r="J530" s="49">
        <f t="shared" si="104"/>
        <v>1.3097690244309319E-17</v>
      </c>
      <c r="K530" s="49">
        <f t="shared" si="104"/>
        <v>1.2192335391161919E-16</v>
      </c>
      <c r="L530" s="49">
        <f t="shared" si="105"/>
        <v>1.010875058180069E-15</v>
      </c>
      <c r="M530" s="49">
        <f t="shared" si="105"/>
        <v>7.5396543807135824E-15</v>
      </c>
      <c r="N530" s="49">
        <f t="shared" si="105"/>
        <v>5.1005015902382051E-14</v>
      </c>
      <c r="O530" s="49">
        <f t="shared" si="105"/>
        <v>3.1511432570888251E-13</v>
      </c>
      <c r="P530" s="49">
        <f t="shared" si="105"/>
        <v>1.7883579471857341E-12</v>
      </c>
      <c r="Q530" s="49">
        <f t="shared" si="105"/>
        <v>9.370291114041125E-12</v>
      </c>
      <c r="R530" s="49">
        <f t="shared" si="105"/>
        <v>4.5525896124364136E-11</v>
      </c>
      <c r="S530" s="49">
        <f t="shared" si="105"/>
        <v>2.0588782969947815E-10</v>
      </c>
      <c r="T530" s="49">
        <f t="shared" si="105"/>
        <v>8.6963197861594274E-10</v>
      </c>
      <c r="U530" s="49">
        <f t="shared" si="105"/>
        <v>3.4409354692079446E-9</v>
      </c>
      <c r="V530" s="49">
        <f t="shared" si="105"/>
        <v>1.2788517668568265E-8</v>
      </c>
      <c r="W530" s="47">
        <v>0.47299999999999998</v>
      </c>
    </row>
    <row r="531" spans="2:23" x14ac:dyDescent="0.25">
      <c r="B531" s="49">
        <f t="shared" si="104"/>
        <v>1.8272192602386551E-28</v>
      </c>
      <c r="C531" s="49">
        <f t="shared" si="104"/>
        <v>1.6519507329664424E-26</v>
      </c>
      <c r="D531" s="49">
        <f t="shared" si="104"/>
        <v>7.3953281483920907E-25</v>
      </c>
      <c r="E531" s="49">
        <f t="shared" si="104"/>
        <v>2.1856140287882731E-23</v>
      </c>
      <c r="F531" s="49">
        <f t="shared" si="104"/>
        <v>4.7968954107232151E-22</v>
      </c>
      <c r="G531" s="49">
        <f t="shared" si="104"/>
        <v>8.3388984374782087E-21</v>
      </c>
      <c r="H531" s="49">
        <f t="shared" si="104"/>
        <v>1.195939823602751E-19</v>
      </c>
      <c r="I531" s="49">
        <f t="shared" si="104"/>
        <v>1.4553185235293339E-18</v>
      </c>
      <c r="J531" s="49">
        <f t="shared" si="104"/>
        <v>1.5338072923298622E-17</v>
      </c>
      <c r="K531" s="49">
        <f t="shared" si="104"/>
        <v>1.422157678572926E-16</v>
      </c>
      <c r="L531" s="49">
        <f t="shared" si="105"/>
        <v>1.1744768198586382E-15</v>
      </c>
      <c r="M531" s="49">
        <f t="shared" si="105"/>
        <v>8.7254127011289059E-15</v>
      </c>
      <c r="N531" s="49">
        <f t="shared" si="105"/>
        <v>5.8794480721184562E-14</v>
      </c>
      <c r="O531" s="49">
        <f t="shared" si="105"/>
        <v>3.6181172172508986E-13</v>
      </c>
      <c r="P531" s="49">
        <f t="shared" si="105"/>
        <v>2.0453213959956643E-12</v>
      </c>
      <c r="Q531" s="49">
        <f t="shared" si="105"/>
        <v>1.0674677995491172E-11</v>
      </c>
      <c r="R531" s="49">
        <f t="shared" si="105"/>
        <v>5.1660298494464979E-11</v>
      </c>
      <c r="S531" s="49">
        <f t="shared" si="105"/>
        <v>2.3271699080088302E-10</v>
      </c>
      <c r="T531" s="49">
        <f t="shared" si="105"/>
        <v>9.7911662851725219E-10</v>
      </c>
      <c r="U531" s="49">
        <f t="shared" si="105"/>
        <v>3.8590435636164573E-9</v>
      </c>
      <c r="V531" s="49">
        <f t="shared" si="105"/>
        <v>1.4286654980122734E-8</v>
      </c>
      <c r="W531" s="47">
        <v>0.47199999999999998</v>
      </c>
    </row>
    <row r="532" spans="2:23" x14ac:dyDescent="0.25">
      <c r="B532" s="49">
        <f t="shared" si="104"/>
        <v>2.2078625298663258E-28</v>
      </c>
      <c r="C532" s="49">
        <f t="shared" si="104"/>
        <v>1.9881758929577302E-26</v>
      </c>
      <c r="D532" s="49">
        <f t="shared" si="104"/>
        <v>8.8652771836235565E-25</v>
      </c>
      <c r="E532" s="49">
        <f t="shared" si="104"/>
        <v>2.609674581616455E-23</v>
      </c>
      <c r="F532" s="49">
        <f t="shared" si="104"/>
        <v>5.7049529415826642E-22</v>
      </c>
      <c r="G532" s="49">
        <f t="shared" si="104"/>
        <v>9.8782589529168123E-21</v>
      </c>
      <c r="H532" s="49">
        <f t="shared" si="104"/>
        <v>1.4111136548980988E-19</v>
      </c>
      <c r="I532" s="49">
        <f t="shared" si="104"/>
        <v>1.7103806627753295E-18</v>
      </c>
      <c r="J532" s="49">
        <f t="shared" si="104"/>
        <v>1.7955138496394032E-17</v>
      </c>
      <c r="K532" s="49">
        <f t="shared" si="104"/>
        <v>1.6582508267446398E-16</v>
      </c>
      <c r="L532" s="49">
        <f t="shared" si="105"/>
        <v>1.364057867318666E-15</v>
      </c>
      <c r="M532" s="49">
        <f t="shared" si="105"/>
        <v>1.0093961839330447E-14</v>
      </c>
      <c r="N532" s="49">
        <f t="shared" si="105"/>
        <v>6.7748728482484966E-14</v>
      </c>
      <c r="O532" s="49">
        <f t="shared" si="105"/>
        <v>4.1527694965150234E-13</v>
      </c>
      <c r="P532" s="49">
        <f t="shared" si="105"/>
        <v>2.3383482236193283E-12</v>
      </c>
      <c r="Q532" s="49">
        <f t="shared" si="105"/>
        <v>1.2156171409374174E-11</v>
      </c>
      <c r="R532" s="49">
        <f t="shared" si="105"/>
        <v>5.859971306476269E-11</v>
      </c>
      <c r="S532" s="49">
        <f t="shared" si="105"/>
        <v>2.6294537543866632E-10</v>
      </c>
      <c r="T532" s="49">
        <f t="shared" si="105"/>
        <v>1.1019788467588954E-9</v>
      </c>
      <c r="U532" s="49">
        <f t="shared" si="105"/>
        <v>4.3263599020632911E-9</v>
      </c>
      <c r="V532" s="49">
        <f t="shared" si="105"/>
        <v>1.5954406256885471E-8</v>
      </c>
      <c r="W532" s="47">
        <v>0.47099999999999997</v>
      </c>
    </row>
    <row r="533" spans="2:23" x14ac:dyDescent="0.25">
      <c r="B533" s="49">
        <f t="shared" ref="B533:K542" si="106">_xlfn.HYPGEOM.DIST(B$2,comau,tongtheN*$W533,tongtheN,TRUE)</f>
        <v>2.6668474633675651E-28</v>
      </c>
      <c r="C533" s="49">
        <f t="shared" si="106"/>
        <v>2.3919768627936263E-26</v>
      </c>
      <c r="D533" s="49">
        <f t="shared" si="106"/>
        <v>1.062359064272311E-24</v>
      </c>
      <c r="E533" s="49">
        <f t="shared" si="106"/>
        <v>3.1148925314551611E-23</v>
      </c>
      <c r="F533" s="49">
        <f t="shared" si="106"/>
        <v>6.7824625102310787E-22</v>
      </c>
      <c r="G533" s="49">
        <f t="shared" si="106"/>
        <v>1.1697561751857664E-20</v>
      </c>
      <c r="H533" s="49">
        <f t="shared" si="106"/>
        <v>1.6643995301719675E-19</v>
      </c>
      <c r="I533" s="49">
        <f t="shared" si="106"/>
        <v>2.0094172932828973E-18</v>
      </c>
      <c r="J533" s="49">
        <f t="shared" si="106"/>
        <v>2.1011114015404808E-17</v>
      </c>
      <c r="K533" s="49">
        <f t="shared" si="106"/>
        <v>1.932835013937998E-16</v>
      </c>
      <c r="L533" s="49">
        <f t="shared" ref="L533:V542" si="107">_xlfn.HYPGEOM.DIST(L$2,comau,tongtheN*$W533,tongtheN,TRUE)</f>
        <v>1.5836637310998223E-15</v>
      </c>
      <c r="M533" s="49">
        <f t="shared" si="107"/>
        <v>1.1672904223397064E-14</v>
      </c>
      <c r="N533" s="49">
        <f t="shared" si="107"/>
        <v>7.803817153304039E-14</v>
      </c>
      <c r="O533" s="49">
        <f t="shared" si="107"/>
        <v>4.7646844366991625E-13</v>
      </c>
      <c r="P533" s="49">
        <f t="shared" si="107"/>
        <v>2.6723770063927376E-12</v>
      </c>
      <c r="Q533" s="49">
        <f t="shared" si="107"/>
        <v>1.3838198963981356E-11</v>
      </c>
      <c r="R533" s="49">
        <f t="shared" si="107"/>
        <v>6.6446883544944162E-11</v>
      </c>
      <c r="S533" s="49">
        <f t="shared" si="107"/>
        <v>2.9699105968886676E-10</v>
      </c>
      <c r="T533" s="49">
        <f t="shared" si="107"/>
        <v>1.239802054172177E-9</v>
      </c>
      <c r="U533" s="49">
        <f t="shared" si="107"/>
        <v>4.8484817166876313E-9</v>
      </c>
      <c r="V533" s="49">
        <f t="shared" si="107"/>
        <v>1.7810282567765959E-8</v>
      </c>
      <c r="W533" s="47">
        <v>0.47</v>
      </c>
    </row>
    <row r="534" spans="2:23" x14ac:dyDescent="0.25">
      <c r="B534" s="49">
        <f t="shared" si="106"/>
        <v>3.2201024565901221E-28</v>
      </c>
      <c r="C534" s="49">
        <f t="shared" si="106"/>
        <v>2.8767636018793347E-26</v>
      </c>
      <c r="D534" s="49">
        <f t="shared" si="106"/>
        <v>1.2726091278128063E-24</v>
      </c>
      <c r="E534" s="49">
        <f t="shared" si="106"/>
        <v>3.716585683504988E-23</v>
      </c>
      <c r="F534" s="49">
        <f t="shared" si="106"/>
        <v>8.0605891691605148E-22</v>
      </c>
      <c r="G534" s="49">
        <f t="shared" si="106"/>
        <v>1.3846946717064438E-20</v>
      </c>
      <c r="H534" s="49">
        <f t="shared" si="106"/>
        <v>1.9624409692991279E-19</v>
      </c>
      <c r="I534" s="49">
        <f t="shared" si="106"/>
        <v>2.3598838096463746E-18</v>
      </c>
      <c r="J534" s="49">
        <f t="shared" si="106"/>
        <v>2.4578322341655701E-17</v>
      </c>
      <c r="K534" s="49">
        <f t="shared" si="106"/>
        <v>2.2520700774612412E-16</v>
      </c>
      <c r="L534" s="49">
        <f t="shared" si="107"/>
        <v>1.8379573463626094E-15</v>
      </c>
      <c r="M534" s="49">
        <f t="shared" si="107"/>
        <v>1.3493922344655158E-14</v>
      </c>
      <c r="N534" s="49">
        <f t="shared" si="107"/>
        <v>8.9857595555792903E-14</v>
      </c>
      <c r="O534" s="49">
        <f t="shared" si="107"/>
        <v>5.4647713556073773E-13</v>
      </c>
      <c r="P534" s="49">
        <f t="shared" si="107"/>
        <v>3.053005466248156E-12</v>
      </c>
      <c r="Q534" s="49">
        <f t="shared" si="107"/>
        <v>1.5747203381101293E-11</v>
      </c>
      <c r="R534" s="49">
        <f t="shared" si="107"/>
        <v>7.531728704212298E-11</v>
      </c>
      <c r="S534" s="49">
        <f t="shared" si="107"/>
        <v>3.3532194191704995E-10</v>
      </c>
      <c r="T534" s="49">
        <f t="shared" si="107"/>
        <v>1.3943508270085683E-9</v>
      </c>
      <c r="U534" s="49">
        <f t="shared" si="107"/>
        <v>5.4316199374214051E-9</v>
      </c>
      <c r="V534" s="49">
        <f t="shared" si="107"/>
        <v>1.9874736314666463E-8</v>
      </c>
      <c r="W534" s="47">
        <v>0.46899999999999997</v>
      </c>
    </row>
    <row r="535" spans="2:23" x14ac:dyDescent="0.25">
      <c r="B535" s="49">
        <f t="shared" si="106"/>
        <v>3.886754892224392E-28</v>
      </c>
      <c r="C535" s="49">
        <f t="shared" si="106"/>
        <v>3.4585732167392029E-26</v>
      </c>
      <c r="D535" s="49">
        <f t="shared" si="106"/>
        <v>1.5239263973281832E-24</v>
      </c>
      <c r="E535" s="49">
        <f t="shared" si="106"/>
        <v>4.4329225453080778E-23</v>
      </c>
      <c r="F535" s="49">
        <f t="shared" si="106"/>
        <v>9.5761457646915917E-22</v>
      </c>
      <c r="G535" s="49">
        <f t="shared" si="106"/>
        <v>1.63853960912518E-20</v>
      </c>
      <c r="H535" s="49">
        <f t="shared" si="106"/>
        <v>2.3130208473809121E-19</v>
      </c>
      <c r="I535" s="49">
        <f t="shared" si="106"/>
        <v>2.7704780941616181E-18</v>
      </c>
      <c r="J535" s="49">
        <f t="shared" si="106"/>
        <v>2.8740790027702594E-17</v>
      </c>
      <c r="K535" s="49">
        <f t="shared" si="106"/>
        <v>2.6230829879488671E-16</v>
      </c>
      <c r="L535" s="49">
        <f t="shared" si="107"/>
        <v>2.1323113356050069E-15</v>
      </c>
      <c r="M535" s="49">
        <f t="shared" si="107"/>
        <v>1.5593368647194325E-14</v>
      </c>
      <c r="N535" s="49">
        <f t="shared" si="107"/>
        <v>1.0342956429494386E-13</v>
      </c>
      <c r="O535" s="49">
        <f t="shared" si="107"/>
        <v>6.2654431579264003E-13</v>
      </c>
      <c r="P535" s="49">
        <f t="shared" si="107"/>
        <v>3.4865761030580617E-12</v>
      </c>
      <c r="Q535" s="49">
        <f t="shared" si="107"/>
        <v>1.7913019449510312E-11</v>
      </c>
      <c r="R535" s="49">
        <f t="shared" si="107"/>
        <v>8.5340663620949572E-11</v>
      </c>
      <c r="S535" s="49">
        <f t="shared" si="107"/>
        <v>3.7846148294162629E-10</v>
      </c>
      <c r="T535" s="49">
        <f t="shared" si="107"/>
        <v>1.5675908765941315E-9</v>
      </c>
      <c r="U535" s="49">
        <f t="shared" si="107"/>
        <v>6.0826638448110135E-9</v>
      </c>
      <c r="V535" s="49">
        <f t="shared" si="107"/>
        <v>2.2170356114965628E-8</v>
      </c>
      <c r="W535" s="47">
        <v>0.46800000000000003</v>
      </c>
    </row>
    <row r="536" spans="2:23" x14ac:dyDescent="0.25">
      <c r="B536" s="49">
        <f t="shared" si="106"/>
        <v>4.6897656953424872E-28</v>
      </c>
      <c r="C536" s="49">
        <f t="shared" si="106"/>
        <v>4.1565780103383122E-26</v>
      </c>
      <c r="D536" s="49">
        <f t="shared" si="106"/>
        <v>1.8242264697907661E-24</v>
      </c>
      <c r="E536" s="49">
        <f t="shared" si="106"/>
        <v>5.2854453353055183E-23</v>
      </c>
      <c r="F536" s="49">
        <f t="shared" si="106"/>
        <v>1.1372601205990623E-21</v>
      </c>
      <c r="G536" s="49">
        <f t="shared" si="106"/>
        <v>1.9382269444057537E-20</v>
      </c>
      <c r="H536" s="49">
        <f t="shared" si="106"/>
        <v>2.7252535696860929E-19</v>
      </c>
      <c r="I536" s="49">
        <f t="shared" si="106"/>
        <v>3.251343981467551E-18</v>
      </c>
      <c r="J536" s="49">
        <f t="shared" si="106"/>
        <v>3.359610644061808E-17</v>
      </c>
      <c r="K536" s="49">
        <f t="shared" si="106"/>
        <v>3.0541167387138687E-16</v>
      </c>
      <c r="L536" s="49">
        <f t="shared" si="107"/>
        <v>2.4729137904882681E-15</v>
      </c>
      <c r="M536" s="49">
        <f t="shared" si="107"/>
        <v>1.801293876152581E-14</v>
      </c>
      <c r="N536" s="49">
        <f t="shared" si="107"/>
        <v>1.1900828830943931E-13</v>
      </c>
      <c r="O536" s="49">
        <f t="shared" si="107"/>
        <v>7.1808183946190758E-13</v>
      </c>
      <c r="P536" s="49">
        <f t="shared" si="107"/>
        <v>3.9802726392100148E-12</v>
      </c>
      <c r="Q536" s="49">
        <f t="shared" si="107"/>
        <v>2.0369296675827208E-11</v>
      </c>
      <c r="R536" s="49">
        <f t="shared" si="107"/>
        <v>9.6662723555938843E-11</v>
      </c>
      <c r="S536" s="49">
        <f t="shared" si="107"/>
        <v>4.2699508387105547E-10</v>
      </c>
      <c r="T536" s="49">
        <f t="shared" si="107"/>
        <v>1.7617111463194924E-9</v>
      </c>
      <c r="U536" s="49">
        <f t="shared" si="107"/>
        <v>6.8092522410265902E-9</v>
      </c>
      <c r="V536" s="49">
        <f t="shared" si="107"/>
        <v>2.4722080316898812E-8</v>
      </c>
      <c r="W536" s="47">
        <v>0.46700000000000003</v>
      </c>
    </row>
    <row r="537" spans="2:23" x14ac:dyDescent="0.25">
      <c r="B537" s="49">
        <f t="shared" si="106"/>
        <v>5.656688196695404E-28</v>
      </c>
      <c r="C537" s="49">
        <f t="shared" si="106"/>
        <v>4.9936905006160785E-26</v>
      </c>
      <c r="D537" s="49">
        <f t="shared" si="106"/>
        <v>2.1829302814282339E-24</v>
      </c>
      <c r="E537" s="49">
        <f t="shared" si="106"/>
        <v>6.2996875666746193E-23</v>
      </c>
      <c r="F537" s="49">
        <f t="shared" si="106"/>
        <v>1.3501266010588232E-21</v>
      </c>
      <c r="G537" s="49">
        <f t="shared" si="106"/>
        <v>2.2919100845478502E-20</v>
      </c>
      <c r="H537" s="49">
        <f t="shared" si="106"/>
        <v>3.2098091143613009E-19</v>
      </c>
      <c r="I537" s="49">
        <f t="shared" si="106"/>
        <v>3.8143074474735233E-18</v>
      </c>
      <c r="J537" s="49">
        <f t="shared" si="106"/>
        <v>3.9257572621892391E-17</v>
      </c>
      <c r="K537" s="49">
        <f t="shared" si="106"/>
        <v>3.5547016960881685E-16</v>
      </c>
      <c r="L537" s="49">
        <f t="shared" si="107"/>
        <v>2.8668894836941643E-15</v>
      </c>
      <c r="M537" s="49">
        <f t="shared" si="107"/>
        <v>2.0800439578383662E-14</v>
      </c>
      <c r="N537" s="49">
        <f t="shared" si="107"/>
        <v>1.3688401938322374E-13</v>
      </c>
      <c r="O537" s="49">
        <f t="shared" si="107"/>
        <v>8.2269497644367982E-13</v>
      </c>
      <c r="P537" s="49">
        <f t="shared" si="107"/>
        <v>4.5422286008936799E-12</v>
      </c>
      <c r="Q537" s="49">
        <f t="shared" si="107"/>
        <v>2.3153972992879188E-11</v>
      </c>
      <c r="R537" s="49">
        <f t="shared" si="107"/>
        <v>1.0944705218726599E-10</v>
      </c>
      <c r="S537" s="49">
        <f t="shared" si="107"/>
        <v>4.815771696947378E-10</v>
      </c>
      <c r="T537" s="49">
        <f t="shared" si="107"/>
        <v>1.9791482406866841E-9</v>
      </c>
      <c r="U537" s="49">
        <f t="shared" si="107"/>
        <v>7.6198517646958641E-9</v>
      </c>
      <c r="V537" s="49">
        <f t="shared" si="107"/>
        <v>2.7557430833398143E-8</v>
      </c>
      <c r="W537" s="47">
        <v>0.46600000000000003</v>
      </c>
    </row>
    <row r="538" spans="2:23" x14ac:dyDescent="0.25">
      <c r="B538" s="49">
        <f t="shared" si="106"/>
        <v>6.8205753502662528E-28</v>
      </c>
      <c r="C538" s="49">
        <f t="shared" si="106"/>
        <v>5.9972836727589626E-26</v>
      </c>
      <c r="D538" s="49">
        <f t="shared" si="106"/>
        <v>2.6112465158627784E-24</v>
      </c>
      <c r="E538" s="49">
        <f t="shared" si="106"/>
        <v>7.5059030589254771E-23</v>
      </c>
      <c r="F538" s="49">
        <f t="shared" si="106"/>
        <v>1.6022685815701278E-21</v>
      </c>
      <c r="G538" s="49">
        <f t="shared" si="106"/>
        <v>2.709170230726929E-20</v>
      </c>
      <c r="H538" s="49">
        <f t="shared" si="106"/>
        <v>3.7791741363111881E-19</v>
      </c>
      <c r="I538" s="49">
        <f t="shared" si="106"/>
        <v>4.4731506894478157E-18</v>
      </c>
      <c r="J538" s="49">
        <f t="shared" si="106"/>
        <v>4.5856684158878662E-17</v>
      </c>
      <c r="K538" s="49">
        <f t="shared" si="106"/>
        <v>4.1358527287820042E-16</v>
      </c>
      <c r="L538" s="49">
        <f t="shared" si="107"/>
        <v>3.3224387115652561E-15</v>
      </c>
      <c r="M538" s="49">
        <f t="shared" si="107"/>
        <v>2.4010665204981401E-14</v>
      </c>
      <c r="N538" s="49">
        <f t="shared" si="107"/>
        <v>1.5738804018554637E-13</v>
      </c>
      <c r="O538" s="49">
        <f t="shared" si="107"/>
        <v>9.4220824222078829E-13</v>
      </c>
      <c r="P538" s="49">
        <f t="shared" si="107"/>
        <v>5.1816495176603085E-12</v>
      </c>
      <c r="Q538" s="49">
        <f t="shared" si="107"/>
        <v>2.6309805492464199E-11</v>
      </c>
      <c r="R538" s="49">
        <f t="shared" si="107"/>
        <v>1.2387723443625292E-10</v>
      </c>
      <c r="S538" s="49">
        <f t="shared" si="107"/>
        <v>5.4293905366436885E-10</v>
      </c>
      <c r="T538" s="49">
        <f t="shared" si="107"/>
        <v>2.2226134218602121E-9</v>
      </c>
      <c r="U538" s="49">
        <f t="shared" si="107"/>
        <v>8.5238430319743427E-9</v>
      </c>
      <c r="V538" s="49">
        <f t="shared" si="107"/>
        <v>3.070676912288719E-8</v>
      </c>
      <c r="W538" s="47">
        <v>0.46500000000000002</v>
      </c>
    </row>
    <row r="539" spans="2:23" x14ac:dyDescent="0.25">
      <c r="B539" s="49">
        <f t="shared" si="106"/>
        <v>8.2210639444383662E-28</v>
      </c>
      <c r="C539" s="49">
        <f t="shared" si="106"/>
        <v>7.2000481241682156E-26</v>
      </c>
      <c r="D539" s="49">
        <f t="shared" si="106"/>
        <v>3.1225062685974892E-24</v>
      </c>
      <c r="E539" s="49">
        <f t="shared" si="106"/>
        <v>8.9399261882155343E-23</v>
      </c>
      <c r="F539" s="49">
        <f t="shared" si="106"/>
        <v>1.9008278774132755E-21</v>
      </c>
      <c r="G539" s="49">
        <f t="shared" si="106"/>
        <v>3.201262483488472E-20</v>
      </c>
      <c r="H539" s="49">
        <f t="shared" si="106"/>
        <v>4.4479561570494012E-19</v>
      </c>
      <c r="I539" s="49">
        <f t="shared" si="106"/>
        <v>5.243930064591157E-18</v>
      </c>
      <c r="J539" s="49">
        <f t="shared" si="106"/>
        <v>5.3545998972433632E-17</v>
      </c>
      <c r="K539" s="49">
        <f t="shared" si="106"/>
        <v>4.810295913896991E-16</v>
      </c>
      <c r="L539" s="49">
        <f t="shared" si="107"/>
        <v>3.8489962749134658E-15</v>
      </c>
      <c r="M539" s="49">
        <f t="shared" si="107"/>
        <v>2.7706395594884907E-14</v>
      </c>
      <c r="N539" s="49">
        <f t="shared" si="107"/>
        <v>1.8089832773981907E-13</v>
      </c>
      <c r="O539" s="49">
        <f t="shared" si="107"/>
        <v>1.0786945874149605E-12</v>
      </c>
      <c r="P539" s="49">
        <f t="shared" si="107"/>
        <v>5.9089503968837752E-12</v>
      </c>
      <c r="Q539" s="49">
        <f t="shared" si="107"/>
        <v>2.9884964822220444E-11</v>
      </c>
      <c r="R539" s="49">
        <f t="shared" si="107"/>
        <v>1.4015922340309344E-10</v>
      </c>
      <c r="S539" s="49">
        <f t="shared" si="107"/>
        <v>6.1189766513519219E-10</v>
      </c>
      <c r="T539" s="49">
        <f t="shared" si="107"/>
        <v>2.4951224317878713E-9</v>
      </c>
      <c r="U539" s="49">
        <f t="shared" si="107"/>
        <v>9.5316153478624888E-9</v>
      </c>
      <c r="V539" s="49">
        <f t="shared" si="107"/>
        <v>3.4203576299683251E-8</v>
      </c>
      <c r="W539" s="47">
        <v>0.46400000000000002</v>
      </c>
    </row>
    <row r="540" spans="2:23" x14ac:dyDescent="0.25">
      <c r="B540" s="49">
        <f t="shared" si="106"/>
        <v>9.905669905047035E-28</v>
      </c>
      <c r="C540" s="49">
        <f t="shared" si="106"/>
        <v>8.6410117778788725E-26</v>
      </c>
      <c r="D540" s="49">
        <f t="shared" si="106"/>
        <v>3.7325595033492292E-24</v>
      </c>
      <c r="E540" s="49">
        <f t="shared" si="106"/>
        <v>1.0644186657355718E-22</v>
      </c>
      <c r="F540" s="49">
        <f t="shared" si="106"/>
        <v>2.254225885991358E-21</v>
      </c>
      <c r="G540" s="49">
        <f t="shared" si="106"/>
        <v>3.7814036896314813E-20</v>
      </c>
      <c r="H540" s="49">
        <f t="shared" si="106"/>
        <v>5.2332378274085894E-19</v>
      </c>
      <c r="I540" s="49">
        <f t="shared" si="106"/>
        <v>6.1453447764772651E-18</v>
      </c>
      <c r="J540" s="49">
        <f t="shared" si="106"/>
        <v>6.25024485272231E-17</v>
      </c>
      <c r="K540" s="49">
        <f t="shared" si="106"/>
        <v>5.5927291646035812E-16</v>
      </c>
      <c r="L540" s="49">
        <f t="shared" si="107"/>
        <v>4.4574134537015706E-15</v>
      </c>
      <c r="M540" s="49">
        <f t="shared" si="107"/>
        <v>3.1959534619881294E-14</v>
      </c>
      <c r="N540" s="49">
        <f t="shared" si="107"/>
        <v>2.0784597934659298E-13</v>
      </c>
      <c r="O540" s="49">
        <f t="shared" si="107"/>
        <v>1.2345083705767232E-12</v>
      </c>
      <c r="P540" s="49">
        <f t="shared" si="107"/>
        <v>6.7359103247930412E-12</v>
      </c>
      <c r="Q540" s="49">
        <f t="shared" si="107"/>
        <v>3.3933700632083276E-11</v>
      </c>
      <c r="R540" s="49">
        <f t="shared" si="107"/>
        <v>1.5852398007856798E-10</v>
      </c>
      <c r="S540" s="49">
        <f t="shared" si="107"/>
        <v>6.8936523190880779E-10</v>
      </c>
      <c r="T540" s="49">
        <f t="shared" si="107"/>
        <v>2.8000284226257702E-9</v>
      </c>
      <c r="U540" s="49">
        <f t="shared" si="107"/>
        <v>1.0654670798582146E-8</v>
      </c>
      <c r="V540" s="49">
        <f t="shared" si="107"/>
        <v>3.8084759522816633E-8</v>
      </c>
      <c r="W540" s="47">
        <v>0.46300000000000002</v>
      </c>
    </row>
    <row r="541" spans="2:23" x14ac:dyDescent="0.25">
      <c r="B541" s="49">
        <f t="shared" si="106"/>
        <v>1.1931335274749729E-27</v>
      </c>
      <c r="C541" s="49">
        <f t="shared" si="106"/>
        <v>1.0366752591914197E-25</v>
      </c>
      <c r="D541" s="49">
        <f t="shared" si="106"/>
        <v>4.4602445513095968E-24</v>
      </c>
      <c r="E541" s="49">
        <f t="shared" si="106"/>
        <v>1.2668906135143796E-22</v>
      </c>
      <c r="F541" s="49">
        <f t="shared" si="106"/>
        <v>2.6723894236696156E-21</v>
      </c>
      <c r="G541" s="49">
        <f t="shared" si="106"/>
        <v>4.4651089949460984E-20</v>
      </c>
      <c r="H541" s="49">
        <f t="shared" si="106"/>
        <v>6.1549893629265046E-19</v>
      </c>
      <c r="I541" s="49">
        <f t="shared" si="106"/>
        <v>7.1991642604941106E-18</v>
      </c>
      <c r="J541" s="49">
        <f t="shared" si="106"/>
        <v>7.2931159684532438E-17</v>
      </c>
      <c r="K541" s="49">
        <f t="shared" si="106"/>
        <v>6.5001217489979621E-16</v>
      </c>
      <c r="L541" s="49">
        <f t="shared" si="107"/>
        <v>5.1601662268377086E-15</v>
      </c>
      <c r="M541" s="49">
        <f t="shared" si="107"/>
        <v>3.6852406586780071E-14</v>
      </c>
      <c r="N541" s="49">
        <f t="shared" si="107"/>
        <v>2.3872250095125169E-13</v>
      </c>
      <c r="O541" s="49">
        <f t="shared" si="107"/>
        <v>1.4123225908688329E-12</v>
      </c>
      <c r="P541" s="49">
        <f t="shared" si="107"/>
        <v>7.6758462629543569E-12</v>
      </c>
      <c r="Q541" s="49">
        <f t="shared" si="107"/>
        <v>3.8517086282128913E-11</v>
      </c>
      <c r="R541" s="49">
        <f t="shared" si="107"/>
        <v>1.7923041407750228E-10</v>
      </c>
      <c r="S541" s="49">
        <f t="shared" si="107"/>
        <v>7.7636001729721297E-10</v>
      </c>
      <c r="T541" s="49">
        <f t="shared" si="107"/>
        <v>3.1410583050983085E-9</v>
      </c>
      <c r="U541" s="49">
        <f t="shared" si="107"/>
        <v>1.1905738608233746E-8</v>
      </c>
      <c r="V541" s="49">
        <f t="shared" si="107"/>
        <v>4.2390986991068003E-8</v>
      </c>
      <c r="W541" s="47">
        <v>0.46200000000000002</v>
      </c>
    </row>
    <row r="542" spans="2:23" x14ac:dyDescent="0.25">
      <c r="B542" s="49">
        <f t="shared" si="106"/>
        <v>1.4366275157402664E-27</v>
      </c>
      <c r="C542" s="49">
        <f t="shared" si="106"/>
        <v>1.2432840311335409E-25</v>
      </c>
      <c r="D542" s="49">
        <f t="shared" si="106"/>
        <v>5.3279439242604038E-24</v>
      </c>
      <c r="E542" s="49">
        <f t="shared" si="106"/>
        <v>1.507350888365392E-22</v>
      </c>
      <c r="F542" s="49">
        <f t="shared" si="106"/>
        <v>3.1670158159434402E-21</v>
      </c>
      <c r="G542" s="49">
        <f t="shared" si="106"/>
        <v>5.2705852094867156E-20</v>
      </c>
      <c r="H542" s="49">
        <f t="shared" si="106"/>
        <v>7.2365485387088058E-19</v>
      </c>
      <c r="I542" s="49">
        <f t="shared" si="106"/>
        <v>8.4307234416366354E-18</v>
      </c>
      <c r="J542" s="49">
        <f t="shared" si="106"/>
        <v>8.5069864401368003E-17</v>
      </c>
      <c r="K542" s="49">
        <f t="shared" si="106"/>
        <v>7.5520583818953085E-16</v>
      </c>
      <c r="L542" s="49">
        <f t="shared" si="107"/>
        <v>5.9715934373147441E-15</v>
      </c>
      <c r="M542" s="49">
        <f t="shared" si="107"/>
        <v>4.2479232726580897E-14</v>
      </c>
      <c r="N542" s="49">
        <f t="shared" si="107"/>
        <v>2.7408807070240968E-13</v>
      </c>
      <c r="O542" s="49">
        <f t="shared" si="107"/>
        <v>1.6151709155443397E-12</v>
      </c>
      <c r="P542" s="49">
        <f t="shared" si="107"/>
        <v>8.7438083508812882E-12</v>
      </c>
      <c r="Q542" s="49">
        <f t="shared" si="107"/>
        <v>4.3703851938776539E-11</v>
      </c>
      <c r="R542" s="49">
        <f t="shared" si="107"/>
        <v>2.0256865847038943E-10</v>
      </c>
      <c r="S542" s="49">
        <f t="shared" si="107"/>
        <v>8.7401822218593652E-10</v>
      </c>
      <c r="T542" s="49">
        <f t="shared" si="107"/>
        <v>3.5223528537326339E-9</v>
      </c>
      <c r="U542" s="49">
        <f t="shared" si="107"/>
        <v>1.3298900721398896E-8</v>
      </c>
      <c r="V542" s="49">
        <f t="shared" si="107"/>
        <v>4.7167054064784632E-8</v>
      </c>
      <c r="W542" s="47">
        <v>0.46100000000000002</v>
      </c>
    </row>
    <row r="543" spans="2:23" x14ac:dyDescent="0.25">
      <c r="B543" s="49">
        <f t="shared" ref="B543:K552" si="108">_xlfn.HYPGEOM.DIST(B$2,comau,tongtheN*$W543,tongtheN,TRUE)</f>
        <v>1.7292182064280084E-27</v>
      </c>
      <c r="C543" s="49">
        <f t="shared" si="108"/>
        <v>1.4905549952845745E-25</v>
      </c>
      <c r="D543" s="49">
        <f t="shared" si="108"/>
        <v>6.362242089772609E-24</v>
      </c>
      <c r="E543" s="49">
        <f t="shared" si="108"/>
        <v>1.7928284080144493E-22</v>
      </c>
      <c r="F543" s="49">
        <f t="shared" si="108"/>
        <v>3.7518839582214868E-21</v>
      </c>
      <c r="G543" s="49">
        <f t="shared" si="108"/>
        <v>6.2191904188191206E-20</v>
      </c>
      <c r="H543" s="49">
        <f t="shared" si="108"/>
        <v>8.5051791183178659E-19</v>
      </c>
      <c r="I543" s="49">
        <f t="shared" si="108"/>
        <v>9.8694964444084904E-18</v>
      </c>
      <c r="J543" s="49">
        <f t="shared" si="108"/>
        <v>9.9193985915391816E-17</v>
      </c>
      <c r="K543" s="49">
        <f t="shared" si="108"/>
        <v>8.77113438333388E-16</v>
      </c>
      <c r="L543" s="49">
        <f t="shared" ref="L543:V552" si="109">_xlfn.HYPGEOM.DIST(L$2,comau,tongtheN*$W543,tongtheN,TRUE)</f>
        <v>6.9081691123974632E-15</v>
      </c>
      <c r="M543" s="49">
        <f t="shared" si="109"/>
        <v>4.8947812034369804E-14</v>
      </c>
      <c r="N543" s="49">
        <f t="shared" si="109"/>
        <v>3.1458090478207554E-13</v>
      </c>
      <c r="O543" s="49">
        <f t="shared" si="109"/>
        <v>1.8464951022801652E-12</v>
      </c>
      <c r="P543" s="49">
        <f t="shared" si="109"/>
        <v>9.9567992945133879E-12</v>
      </c>
      <c r="Q543" s="49">
        <f t="shared" si="109"/>
        <v>4.957131619950344E-11</v>
      </c>
      <c r="R543" s="49">
        <f t="shared" si="109"/>
        <v>2.2886371527911732E-10</v>
      </c>
      <c r="S543" s="49">
        <f t="shared" si="109"/>
        <v>9.8360717339082352E-10</v>
      </c>
      <c r="T543" s="49">
        <f t="shared" si="109"/>
        <v>3.9485109398333513E-9</v>
      </c>
      <c r="U543" s="49">
        <f t="shared" si="109"/>
        <v>1.4849729658311573E-8</v>
      </c>
      <c r="V543" s="49">
        <f t="shared" si="109"/>
        <v>5.2462283242472285E-8</v>
      </c>
      <c r="W543" s="47">
        <v>0.46</v>
      </c>
    </row>
    <row r="544" spans="2:23" x14ac:dyDescent="0.25">
      <c r="B544" s="49">
        <f t="shared" si="108"/>
        <v>2.0806855958132391E-27</v>
      </c>
      <c r="C544" s="49">
        <f t="shared" si="108"/>
        <v>1.786389756267835E-25</v>
      </c>
      <c r="D544" s="49">
        <f t="shared" si="108"/>
        <v>7.5947036538175822E-24</v>
      </c>
      <c r="E544" s="49">
        <f t="shared" si="108"/>
        <v>2.1316344085812401E-22</v>
      </c>
      <c r="F544" s="49">
        <f t="shared" si="108"/>
        <v>4.4432191959274915E-21</v>
      </c>
      <c r="G544" s="49">
        <f t="shared" si="108"/>
        <v>7.3359708148637998E-20</v>
      </c>
      <c r="H544" s="49">
        <f t="shared" si="108"/>
        <v>9.9927203104793565E-19</v>
      </c>
      <c r="I544" s="49">
        <f t="shared" si="108"/>
        <v>1.1549760952426773E-17</v>
      </c>
      <c r="J544" s="49">
        <f t="shared" si="108"/>
        <v>1.1562250314940747E-16</v>
      </c>
      <c r="K544" s="49">
        <f t="shared" si="108"/>
        <v>1.0183409323012127E-15</v>
      </c>
      <c r="L544" s="49">
        <f t="shared" si="109"/>
        <v>7.9888137264804086E-15</v>
      </c>
      <c r="M544" s="49">
        <f t="shared" si="109"/>
        <v>5.6381434056793898E-14</v>
      </c>
      <c r="N544" s="49">
        <f t="shared" si="109"/>
        <v>3.6092786869379604E-13</v>
      </c>
      <c r="O544" s="49">
        <f t="shared" si="109"/>
        <v>2.1101984892760577E-12</v>
      </c>
      <c r="P544" s="49">
        <f t="shared" si="109"/>
        <v>1.1334020719597695E-11</v>
      </c>
      <c r="Q544" s="49">
        <f t="shared" si="109"/>
        <v>5.620642750747564E-11</v>
      </c>
      <c r="R544" s="49">
        <f t="shared" si="109"/>
        <v>2.5847951204438806E-10</v>
      </c>
      <c r="S544" s="49">
        <f t="shared" si="109"/>
        <v>1.1065399316660572E-9</v>
      </c>
      <c r="T544" s="49">
        <f t="shared" si="109"/>
        <v>4.4246382978199792E-9</v>
      </c>
      <c r="U544" s="49">
        <f t="shared" si="109"/>
        <v>1.6575439781156395E-8</v>
      </c>
      <c r="V544" s="49">
        <f t="shared" si="109"/>
        <v>5.8330960943289806E-8</v>
      </c>
      <c r="W544" s="47">
        <v>0.45900000000000002</v>
      </c>
    </row>
    <row r="545" spans="2:23" x14ac:dyDescent="0.25">
      <c r="B545" s="49">
        <f t="shared" si="108"/>
        <v>2.5027341177216645E-27</v>
      </c>
      <c r="C545" s="49">
        <f t="shared" si="108"/>
        <v>2.1402058063800263E-25</v>
      </c>
      <c r="D545" s="49">
        <f t="shared" si="108"/>
        <v>9.0627936860876115E-24</v>
      </c>
      <c r="E545" s="49">
        <f t="shared" si="108"/>
        <v>2.5335930578299564E-22</v>
      </c>
      <c r="F545" s="49">
        <f t="shared" si="108"/>
        <v>5.2601211915379087E-21</v>
      </c>
      <c r="G545" s="49">
        <f t="shared" si="108"/>
        <v>8.6502875073141065E-20</v>
      </c>
      <c r="H545" s="49">
        <f t="shared" si="108"/>
        <v>1.1736341833490875E-18</v>
      </c>
      <c r="I545" s="49">
        <f t="shared" si="108"/>
        <v>1.3511367275701077E-17</v>
      </c>
      <c r="J545" s="49">
        <f t="shared" si="108"/>
        <v>1.3472471005683875E-16</v>
      </c>
      <c r="K545" s="49">
        <f t="shared" si="108"/>
        <v>1.1818927624221937E-15</v>
      </c>
      <c r="L545" s="49">
        <f t="shared" si="109"/>
        <v>9.2352498495260748E-15</v>
      </c>
      <c r="M545" s="49">
        <f t="shared" si="109"/>
        <v>6.4921054855987909E-14</v>
      </c>
      <c r="N545" s="49">
        <f t="shared" si="109"/>
        <v>4.1395649528111437E-13</v>
      </c>
      <c r="O545" s="49">
        <f t="shared" si="109"/>
        <v>2.4107063074305091E-12</v>
      </c>
      <c r="P545" s="49">
        <f t="shared" si="109"/>
        <v>1.2897149701791794E-11</v>
      </c>
      <c r="Q545" s="49">
        <f t="shared" si="109"/>
        <v>6.370692785778032E-11</v>
      </c>
      <c r="R545" s="49">
        <f t="shared" si="109"/>
        <v>2.9182341409947048E-10</v>
      </c>
      <c r="S545" s="49">
        <f t="shared" si="109"/>
        <v>1.2443914659220563E-9</v>
      </c>
      <c r="T545" s="49">
        <f t="shared" si="109"/>
        <v>4.9564012683793365E-9</v>
      </c>
      <c r="U545" s="49">
        <f t="shared" si="109"/>
        <v>1.8495053209546936E-8</v>
      </c>
      <c r="V545" s="49">
        <f t="shared" si="109"/>
        <v>6.4832814286460993E-8</v>
      </c>
      <c r="W545" s="47">
        <v>0.45800000000000002</v>
      </c>
    </row>
    <row r="546" spans="2:23" x14ac:dyDescent="0.25">
      <c r="B546" s="49">
        <f t="shared" si="108"/>
        <v>3.0093666707944352E-27</v>
      </c>
      <c r="C546" s="49">
        <f t="shared" si="108"/>
        <v>2.5632235963069033E-25</v>
      </c>
      <c r="D546" s="49">
        <f t="shared" si="108"/>
        <v>1.0810965791727223E-23</v>
      </c>
      <c r="E546" s="49">
        <f t="shared" si="108"/>
        <v>3.0103129437027831E-22</v>
      </c>
      <c r="F546" s="49">
        <f t="shared" si="108"/>
        <v>6.2250654831682907E-21</v>
      </c>
      <c r="G546" s="49">
        <f t="shared" si="108"/>
        <v>1.0196548150085196E-19</v>
      </c>
      <c r="H546" s="49">
        <f t="shared" si="108"/>
        <v>1.3779421460779341E-18</v>
      </c>
      <c r="I546" s="49">
        <f t="shared" si="108"/>
        <v>1.5800628322115892E-17</v>
      </c>
      <c r="J546" s="49">
        <f t="shared" si="108"/>
        <v>1.5692800377887106E-16</v>
      </c>
      <c r="K546" s="49">
        <f t="shared" si="108"/>
        <v>1.3712315801592839E-15</v>
      </c>
      <c r="L546" s="49">
        <f t="shared" si="109"/>
        <v>1.0672408366776555E-14</v>
      </c>
      <c r="M546" s="49">
        <f t="shared" si="109"/>
        <v>7.4727771475999848E-14</v>
      </c>
      <c r="N546" s="49">
        <f t="shared" si="109"/>
        <v>4.7460859105276428E-13</v>
      </c>
      <c r="O546" s="49">
        <f t="shared" si="109"/>
        <v>2.7530336598451377E-12</v>
      </c>
      <c r="P546" s="49">
        <f t="shared" si="109"/>
        <v>1.4670649055171082E-11</v>
      </c>
      <c r="Q546" s="49">
        <f t="shared" si="109"/>
        <v>7.2182652668450801E-11</v>
      </c>
      <c r="R546" s="49">
        <f t="shared" si="109"/>
        <v>3.2935124183441125E-10</v>
      </c>
      <c r="S546" s="49">
        <f t="shared" si="109"/>
        <v>1.3989165546531938E-9</v>
      </c>
      <c r="T546" s="49">
        <f t="shared" si="109"/>
        <v>5.550086003026702E-9</v>
      </c>
      <c r="U546" s="49">
        <f t="shared" si="109"/>
        <v>2.0629581730777337E-8</v>
      </c>
      <c r="V546" s="49">
        <f t="shared" si="109"/>
        <v>7.2033531316441438E-8</v>
      </c>
      <c r="W546" s="47">
        <v>0.45700000000000002</v>
      </c>
    </row>
    <row r="547" spans="2:23" x14ac:dyDescent="0.25">
      <c r="B547" s="49">
        <f t="shared" si="108"/>
        <v>3.6173304403183918E-27</v>
      </c>
      <c r="C547" s="49">
        <f t="shared" si="108"/>
        <v>3.0688072622832285E-25</v>
      </c>
      <c r="D547" s="49">
        <f t="shared" si="108"/>
        <v>1.2891948080295043E-23</v>
      </c>
      <c r="E547" s="49">
        <f t="shared" si="108"/>
        <v>3.5755065769709324E-22</v>
      </c>
      <c r="F547" s="49">
        <f t="shared" si="108"/>
        <v>7.3644912298552123E-21</v>
      </c>
      <c r="G547" s="49">
        <f t="shared" si="108"/>
        <v>1.2015060621870178E-19</v>
      </c>
      <c r="H547" s="49">
        <f t="shared" si="108"/>
        <v>1.6172564568813341E-18</v>
      </c>
      <c r="I547" s="49">
        <f t="shared" si="108"/>
        <v>1.8471349127134811E-17</v>
      </c>
      <c r="J547" s="49">
        <f t="shared" si="108"/>
        <v>1.8272685509952588E-16</v>
      </c>
      <c r="K547" s="49">
        <f t="shared" si="108"/>
        <v>1.5903467374006719E-15</v>
      </c>
      <c r="L547" s="49">
        <f t="shared" si="109"/>
        <v>1.232889229706401E-14</v>
      </c>
      <c r="M547" s="49">
        <f t="shared" si="109"/>
        <v>8.5985634858096638E-14</v>
      </c>
      <c r="N547" s="49">
        <f t="shared" si="109"/>
        <v>5.4395563517540623E-13</v>
      </c>
      <c r="O547" s="49">
        <f t="shared" si="109"/>
        <v>3.1428621154483542E-12</v>
      </c>
      <c r="P547" s="49">
        <f t="shared" si="109"/>
        <v>1.6682115371768052E-11</v>
      </c>
      <c r="Q547" s="49">
        <f t="shared" si="109"/>
        <v>8.1756982205315754E-11</v>
      </c>
      <c r="R547" s="49">
        <f t="shared" si="109"/>
        <v>3.7157284734677245E-10</v>
      </c>
      <c r="S547" s="49">
        <f t="shared" si="109"/>
        <v>1.5720695913668477E-9</v>
      </c>
      <c r="T547" s="49">
        <f t="shared" si="109"/>
        <v>6.2126636594108755E-9</v>
      </c>
      <c r="U547" s="49">
        <f t="shared" si="109"/>
        <v>2.3002226166716951E-8</v>
      </c>
      <c r="V547" s="49">
        <f t="shared" si="109"/>
        <v>8.000532839946089E-8</v>
      </c>
      <c r="W547" s="47">
        <v>0.45600000000000002</v>
      </c>
    </row>
    <row r="548" spans="2:23" x14ac:dyDescent="0.25">
      <c r="B548" s="49">
        <f t="shared" si="108"/>
        <v>4.3466481234996154E-27</v>
      </c>
      <c r="C548" s="49">
        <f t="shared" si="108"/>
        <v>3.6728689067257304E-25</v>
      </c>
      <c r="D548" s="49">
        <f t="shared" si="108"/>
        <v>1.536826252590853E-23</v>
      </c>
      <c r="E548" s="49">
        <f t="shared" si="108"/>
        <v>4.245366275071404E-22</v>
      </c>
      <c r="F548" s="49">
        <f t="shared" si="108"/>
        <v>8.7094897238875527E-21</v>
      </c>
      <c r="G548" s="49">
        <f t="shared" si="108"/>
        <v>1.4153028787587684E-19</v>
      </c>
      <c r="H548" s="49">
        <f t="shared" si="108"/>
        <v>1.8974788264182259E-18</v>
      </c>
      <c r="I548" s="49">
        <f t="shared" si="108"/>
        <v>2.1586017418772773E-17</v>
      </c>
      <c r="J548" s="49">
        <f t="shared" si="108"/>
        <v>2.1269313711373134E-16</v>
      </c>
      <c r="K548" s="49">
        <f t="shared" si="108"/>
        <v>1.8438328049807357E-15</v>
      </c>
      <c r="L548" s="49">
        <f t="shared" si="109"/>
        <v>1.423750619034732E-14</v>
      </c>
      <c r="M548" s="49">
        <f t="shared" si="109"/>
        <v>9.8904846359501432E-14</v>
      </c>
      <c r="N548" s="49">
        <f t="shared" si="109"/>
        <v>6.232162010542556E-13</v>
      </c>
      <c r="O548" s="49">
        <f t="shared" si="109"/>
        <v>3.5866259768763337E-12</v>
      </c>
      <c r="P548" s="49">
        <f t="shared" si="109"/>
        <v>1.8962669261144378E-11</v>
      </c>
      <c r="Q548" s="49">
        <f t="shared" si="109"/>
        <v>9.2568461624574322E-11</v>
      </c>
      <c r="R548" s="49">
        <f t="shared" si="109"/>
        <v>4.1905831049291705E-10</v>
      </c>
      <c r="S548" s="49">
        <f t="shared" si="109"/>
        <v>1.7660264880643602E-9</v>
      </c>
      <c r="T548" s="49">
        <f t="shared" si="109"/>
        <v>6.9518621653106357E-9</v>
      </c>
      <c r="U548" s="49">
        <f t="shared" si="109"/>
        <v>2.5638594784795638E-8</v>
      </c>
      <c r="V548" s="49">
        <f t="shared" si="109"/>
        <v>8.8827568814326955E-8</v>
      </c>
      <c r="W548" s="47">
        <v>0.45500000000000002</v>
      </c>
    </row>
    <row r="549" spans="2:23" x14ac:dyDescent="0.25">
      <c r="B549" s="49">
        <f t="shared" si="108"/>
        <v>5.2212507141705511E-27</v>
      </c>
      <c r="C549" s="49">
        <f t="shared" si="108"/>
        <v>4.3943481306258338E-25</v>
      </c>
      <c r="D549" s="49">
        <f t="shared" si="108"/>
        <v>1.8314019489060835E-23</v>
      </c>
      <c r="E549" s="49">
        <f t="shared" si="108"/>
        <v>5.0390062305461649E-22</v>
      </c>
      <c r="F549" s="49">
        <f t="shared" si="108"/>
        <v>1.0296610678130798E-20</v>
      </c>
      <c r="G549" s="49">
        <f t="shared" si="108"/>
        <v>1.66657135982584E-19</v>
      </c>
      <c r="H549" s="49">
        <f t="shared" si="108"/>
        <v>2.2254896191755696E-18</v>
      </c>
      <c r="I549" s="49">
        <f t="shared" si="108"/>
        <v>2.5217179936672378E-17</v>
      </c>
      <c r="J549" s="49">
        <f t="shared" si="108"/>
        <v>2.4748801366028134E-16</v>
      </c>
      <c r="K549" s="49">
        <f t="shared" si="108"/>
        <v>2.1369795551403951E-15</v>
      </c>
      <c r="L549" s="49">
        <f t="shared" si="109"/>
        <v>1.6435860164515902E-14</v>
      </c>
      <c r="M549" s="49">
        <f t="shared" si="109"/>
        <v>1.1372538889897128E-13</v>
      </c>
      <c r="N549" s="49">
        <f t="shared" si="109"/>
        <v>7.1377565908238641E-13</v>
      </c>
      <c r="O549" s="49">
        <f t="shared" si="109"/>
        <v>4.0916094092147248E-12</v>
      </c>
      <c r="P549" s="49">
        <f t="shared" si="109"/>
        <v>2.1547392745648085E-11</v>
      </c>
      <c r="Q549" s="49">
        <f t="shared" si="109"/>
        <v>1.0477260854665151E-10</v>
      </c>
      <c r="R549" s="49">
        <f t="shared" si="109"/>
        <v>4.7244482052540356E-10</v>
      </c>
      <c r="S549" s="49">
        <f t="shared" si="109"/>
        <v>1.9832088896802525E-9</v>
      </c>
      <c r="T549" s="49">
        <f t="shared" si="109"/>
        <v>7.7762451820878472E-9</v>
      </c>
      <c r="U549" s="49">
        <f t="shared" si="109"/>
        <v>2.8566942476129844E-8</v>
      </c>
      <c r="V549" s="49">
        <f t="shared" si="109"/>
        <v>9.8587436879154701E-8</v>
      </c>
      <c r="W549" s="47">
        <v>0.45400000000000001</v>
      </c>
    </row>
    <row r="550" spans="2:23" x14ac:dyDescent="0.25">
      <c r="B550" s="49">
        <f t="shared" si="108"/>
        <v>6.2697310207034957E-27</v>
      </c>
      <c r="C550" s="49">
        <f t="shared" si="108"/>
        <v>5.2557806406521309E-25</v>
      </c>
      <c r="D550" s="49">
        <f t="shared" si="108"/>
        <v>2.1817036541207965E-23</v>
      </c>
      <c r="E550" s="49">
        <f t="shared" si="108"/>
        <v>5.9789822466888323E-22</v>
      </c>
      <c r="F550" s="49">
        <f t="shared" si="108"/>
        <v>1.2168806121541225E-20</v>
      </c>
      <c r="G550" s="49">
        <f t="shared" si="108"/>
        <v>1.9617786529811404E-19</v>
      </c>
      <c r="H550" s="49">
        <f t="shared" si="108"/>
        <v>2.6093074191174164E-18</v>
      </c>
      <c r="I550" s="49">
        <f t="shared" si="108"/>
        <v>2.9449032945609694E-17</v>
      </c>
      <c r="J550" s="49">
        <f t="shared" si="108"/>
        <v>2.8787561836461493E-16</v>
      </c>
      <c r="K550" s="49">
        <f t="shared" si="108"/>
        <v>2.4758750459275939E-15</v>
      </c>
      <c r="L550" s="49">
        <f t="shared" si="109"/>
        <v>1.8967058863236929E-14</v>
      </c>
      <c r="M550" s="49">
        <f t="shared" si="109"/>
        <v>1.3072115036345789E-13</v>
      </c>
      <c r="N550" s="49">
        <f t="shared" si="109"/>
        <v>8.1720845126629197E-13</v>
      </c>
      <c r="O550" s="49">
        <f t="shared" si="109"/>
        <v>4.6660557572642642E-12</v>
      </c>
      <c r="P550" s="49">
        <f t="shared" si="109"/>
        <v>2.4475819329243613E-11</v>
      </c>
      <c r="Q550" s="49">
        <f t="shared" si="109"/>
        <v>1.1854392911689776E-10</v>
      </c>
      <c r="R550" s="49">
        <f t="shared" si="109"/>
        <v>5.3244431627875357E-10</v>
      </c>
      <c r="S550" s="49">
        <f t="shared" si="109"/>
        <v>2.2263109329772602E-9</v>
      </c>
      <c r="T550" s="49">
        <f t="shared" si="109"/>
        <v>8.6952989556957883E-9</v>
      </c>
      <c r="U550" s="49">
        <f t="shared" si="109"/>
        <v>3.1818432570195197E-8</v>
      </c>
      <c r="V550" s="49">
        <f t="shared" si="109"/>
        <v>1.0938067229758232E-7</v>
      </c>
      <c r="W550" s="47">
        <v>0.45300000000000001</v>
      </c>
    </row>
    <row r="551" spans="2:23" x14ac:dyDescent="0.25">
      <c r="B551" s="49">
        <f t="shared" si="108"/>
        <v>7.5262406652296059E-27</v>
      </c>
      <c r="C551" s="49">
        <f t="shared" si="108"/>
        <v>6.2839722592920351E-25</v>
      </c>
      <c r="D551" s="49">
        <f t="shared" si="108"/>
        <v>2.5981339385864733E-23</v>
      </c>
      <c r="E551" s="49">
        <f t="shared" si="108"/>
        <v>7.0919025854573292E-22</v>
      </c>
      <c r="F551" s="49">
        <f t="shared" si="108"/>
        <v>1.4376535023056593E-20</v>
      </c>
      <c r="G551" s="49">
        <f t="shared" si="108"/>
        <v>2.3084906696291247E-19</v>
      </c>
      <c r="H551" s="49">
        <f t="shared" si="108"/>
        <v>3.0582741655790638E-18</v>
      </c>
      <c r="I551" s="49">
        <f t="shared" si="108"/>
        <v>3.4379259654326477E-17</v>
      </c>
      <c r="J551" s="49">
        <f t="shared" si="108"/>
        <v>3.3473878859626552E-16</v>
      </c>
      <c r="K551" s="49">
        <f t="shared" si="108"/>
        <v>2.8675236743818954E-15</v>
      </c>
      <c r="L551" s="49">
        <f t="shared" si="109"/>
        <v>2.1880486999006977E-14</v>
      </c>
      <c r="M551" s="49">
        <f t="shared" si="109"/>
        <v>1.5020460435396003E-13</v>
      </c>
      <c r="N551" s="49">
        <f t="shared" si="109"/>
        <v>9.3530326443356652E-13</v>
      </c>
      <c r="O551" s="49">
        <f t="shared" si="109"/>
        <v>5.3192905362625341E-12</v>
      </c>
      <c r="P551" s="49">
        <f t="shared" si="109"/>
        <v>2.7792482881463914E-11</v>
      </c>
      <c r="Q551" s="49">
        <f t="shared" si="109"/>
        <v>1.3407816576196651E-10</v>
      </c>
      <c r="R551" s="49">
        <f t="shared" si="109"/>
        <v>5.9985196530420686E-10</v>
      </c>
      <c r="S551" s="49">
        <f t="shared" si="109"/>
        <v>2.4983288058705608E-9</v>
      </c>
      <c r="T551" s="49">
        <f t="shared" si="109"/>
        <v>9.7195278055769315E-9</v>
      </c>
      <c r="U551" s="49">
        <f t="shared" si="109"/>
        <v>3.5427423313293191E-8</v>
      </c>
      <c r="V551" s="49">
        <f t="shared" si="109"/>
        <v>1.2131236977446704E-7</v>
      </c>
      <c r="W551" s="47">
        <v>0.45200000000000001</v>
      </c>
    </row>
    <row r="552" spans="2:23" x14ac:dyDescent="0.25">
      <c r="B552" s="49">
        <f t="shared" si="108"/>
        <v>9.0315575444243351E-27</v>
      </c>
      <c r="C552" s="49">
        <f t="shared" si="108"/>
        <v>7.5107976197139827E-25</v>
      </c>
      <c r="D552" s="49">
        <f t="shared" si="108"/>
        <v>3.0930112824403129E-23</v>
      </c>
      <c r="E552" s="49">
        <f t="shared" si="108"/>
        <v>8.4091456654712332E-22</v>
      </c>
      <c r="F552" s="49">
        <f t="shared" si="108"/>
        <v>1.6979055586995281E-20</v>
      </c>
      <c r="G552" s="49">
        <f t="shared" si="108"/>
        <v>2.7155557991865265E-19</v>
      </c>
      <c r="H552" s="49">
        <f t="shared" si="108"/>
        <v>3.58326988497005E-18</v>
      </c>
      <c r="I552" s="49">
        <f t="shared" si="108"/>
        <v>4.0121152149802748E-17</v>
      </c>
      <c r="J552" s="49">
        <f t="shared" si="108"/>
        <v>3.8909715685129968E-16</v>
      </c>
      <c r="K552" s="49">
        <f t="shared" si="108"/>
        <v>3.3199813254210515E-15</v>
      </c>
      <c r="L552" s="49">
        <f t="shared" si="109"/>
        <v>2.5232704709094136E-14</v>
      </c>
      <c r="M552" s="49">
        <f t="shared" si="109"/>
        <v>1.7253212172766154E-13</v>
      </c>
      <c r="N552" s="49">
        <f t="shared" si="109"/>
        <v>1.0700914690499967E-12</v>
      </c>
      <c r="O552" s="49">
        <f t="shared" si="109"/>
        <v>6.0618597562734368E-12</v>
      </c>
      <c r="P552" s="49">
        <f t="shared" si="109"/>
        <v>3.1547532169600964E-11</v>
      </c>
      <c r="Q552" s="49">
        <f t="shared" si="109"/>
        <v>1.5159480233635566E-10</v>
      </c>
      <c r="R552" s="49">
        <f t="shared" si="109"/>
        <v>6.755555705146572E-10</v>
      </c>
      <c r="S552" s="49">
        <f t="shared" si="109"/>
        <v>2.8025933876767238E-9</v>
      </c>
      <c r="T552" s="49">
        <f t="shared" si="109"/>
        <v>1.0860559069284496E-8</v>
      </c>
      <c r="U552" s="49">
        <f t="shared" si="109"/>
        <v>3.9431781208276572E-8</v>
      </c>
      <c r="V552" s="49">
        <f t="shared" si="109"/>
        <v>1.3449784934348978E-7</v>
      </c>
      <c r="W552" s="47">
        <v>0.45100000000000001</v>
      </c>
    </row>
    <row r="553" spans="2:23" x14ac:dyDescent="0.25">
      <c r="B553" s="49">
        <f t="shared" ref="B553:K562" si="110">_xlfn.HYPGEOM.DIST(B$2,comau,tongtheN*$W553,tongtheN,TRUE)</f>
        <v>1.0834355741685045E-26</v>
      </c>
      <c r="C553" s="49">
        <f t="shared" si="110"/>
        <v>8.974146307389867E-25</v>
      </c>
      <c r="D553" s="49">
        <f t="shared" si="110"/>
        <v>3.6809181627890623E-23</v>
      </c>
      <c r="E553" s="49">
        <f t="shared" si="110"/>
        <v>9.9677030257189205E-22</v>
      </c>
      <c r="F553" s="49">
        <f t="shared" si="110"/>
        <v>2.0045936607958768E-20</v>
      </c>
      <c r="G553" s="49">
        <f t="shared" si="110"/>
        <v>3.193318842493345E-19</v>
      </c>
      <c r="H553" s="49">
        <f t="shared" si="110"/>
        <v>4.19696166616209E-18</v>
      </c>
      <c r="I553" s="49">
        <f t="shared" si="110"/>
        <v>4.6806061075341225E-17</v>
      </c>
      <c r="J553" s="49">
        <f t="shared" si="110"/>
        <v>4.5212794567994829E-16</v>
      </c>
      <c r="K553" s="49">
        <f t="shared" si="110"/>
        <v>3.8425100388085765E-15</v>
      </c>
      <c r="L553" s="49">
        <f t="shared" ref="L553:V562" si="111">_xlfn.HYPGEOM.DIST(L$2,comau,tongtheN*$W553,tongtheN,TRUE)</f>
        <v>2.9088467719918107E-14</v>
      </c>
      <c r="M553" s="49">
        <f t="shared" si="111"/>
        <v>1.9810999582129706E-13</v>
      </c>
      <c r="N553" s="49">
        <f t="shared" si="111"/>
        <v>1.2238792358204867E-12</v>
      </c>
      <c r="O553" s="49">
        <f t="shared" si="111"/>
        <v>6.9056854357338608E-12</v>
      </c>
      <c r="P553" s="49">
        <f t="shared" si="111"/>
        <v>3.5797418638752117E-11</v>
      </c>
      <c r="Q553" s="49">
        <f t="shared" si="111"/>
        <v>1.7133985509409797E-10</v>
      </c>
      <c r="R553" s="49">
        <f t="shared" si="111"/>
        <v>7.6054600185119691E-10</v>
      </c>
      <c r="S553" s="49">
        <f t="shared" si="111"/>
        <v>3.1428062775276566E-9</v>
      </c>
      <c r="T553" s="49">
        <f t="shared" si="111"/>
        <v>1.2131258393848676E-8</v>
      </c>
      <c r="U553" s="49">
        <f t="shared" si="111"/>
        <v>4.3873223596385992E-8</v>
      </c>
      <c r="V553" s="49">
        <f t="shared" si="111"/>
        <v>1.4906360326926596E-7</v>
      </c>
      <c r="W553" s="47">
        <v>0.45</v>
      </c>
    </row>
    <row r="554" spans="2:23" x14ac:dyDescent="0.25">
      <c r="B554" s="49">
        <f t="shared" si="110"/>
        <v>1.2992715808406101E-26</v>
      </c>
      <c r="C554" s="49">
        <f t="shared" si="110"/>
        <v>1.0719043310637538E-24</v>
      </c>
      <c r="D554" s="49">
        <f t="shared" si="110"/>
        <v>4.3791115148311945E-23</v>
      </c>
      <c r="E554" s="49">
        <f t="shared" si="110"/>
        <v>1.1811169097124986E-21</v>
      </c>
      <c r="F554" s="49">
        <f t="shared" si="110"/>
        <v>2.3658824439457968E-20</v>
      </c>
      <c r="G554" s="49">
        <f t="shared" si="110"/>
        <v>3.7538700528663955E-19</v>
      </c>
      <c r="H554" s="49">
        <f t="shared" si="110"/>
        <v>4.9140922441737532E-18</v>
      </c>
      <c r="I554" s="49">
        <f t="shared" si="110"/>
        <v>5.4586222721692667E-17</v>
      </c>
      <c r="J554" s="49">
        <f t="shared" si="110"/>
        <v>5.2518986204059885E-16</v>
      </c>
      <c r="K554" s="49">
        <f t="shared" si="110"/>
        <v>4.4457549521315109E-15</v>
      </c>
      <c r="L554" s="49">
        <f t="shared" si="111"/>
        <v>3.352188931349622E-14</v>
      </c>
      <c r="M554" s="49">
        <f t="shared" si="111"/>
        <v>2.2740127484514835E-13</v>
      </c>
      <c r="N554" s="49">
        <f t="shared" si="111"/>
        <v>1.3992837927793363E-12</v>
      </c>
      <c r="O554" s="49">
        <f t="shared" si="111"/>
        <v>7.8642403771127375E-12</v>
      </c>
      <c r="P554" s="49">
        <f t="shared" si="111"/>
        <v>4.0605665888628365E-11</v>
      </c>
      <c r="Q554" s="49">
        <f t="shared" si="111"/>
        <v>1.9358898094129541E-10</v>
      </c>
      <c r="R554" s="49">
        <f t="shared" si="111"/>
        <v>8.5592876029312884E-10</v>
      </c>
      <c r="S554" s="49">
        <f t="shared" si="111"/>
        <v>3.5230795473413783E-9</v>
      </c>
      <c r="T554" s="49">
        <f t="shared" si="111"/>
        <v>1.3545856344234752E-8</v>
      </c>
      <c r="U554" s="49">
        <f t="shared" si="111"/>
        <v>4.8797693059598697E-8</v>
      </c>
      <c r="V554" s="49">
        <f t="shared" si="111"/>
        <v>1.6514832583614381E-7</v>
      </c>
      <c r="W554" s="47">
        <v>0.44900000000000001</v>
      </c>
    </row>
    <row r="555" spans="2:23" x14ac:dyDescent="0.25">
      <c r="B555" s="49">
        <f t="shared" si="110"/>
        <v>1.5575920344500283E-26</v>
      </c>
      <c r="C555" s="49">
        <f t="shared" si="110"/>
        <v>1.279897547097847E-24</v>
      </c>
      <c r="D555" s="49">
        <f t="shared" si="110"/>
        <v>5.2080065884105173E-23</v>
      </c>
      <c r="E555" s="49">
        <f t="shared" si="110"/>
        <v>1.3990902973384002E-21</v>
      </c>
      <c r="F555" s="49">
        <f t="shared" si="110"/>
        <v>2.7913508133300184E-20</v>
      </c>
      <c r="G555" s="49">
        <f t="shared" si="110"/>
        <v>4.4113349506089654E-19</v>
      </c>
      <c r="H555" s="49">
        <f t="shared" si="110"/>
        <v>5.7518143819601254E-18</v>
      </c>
      <c r="I555" s="49">
        <f t="shared" si="110"/>
        <v>6.3638020581739912E-17</v>
      </c>
      <c r="J555" s="49">
        <f t="shared" si="110"/>
        <v>6.0985054372220443E-16</v>
      </c>
      <c r="K555" s="49">
        <f t="shared" si="110"/>
        <v>5.1419466586594678E-15</v>
      </c>
      <c r="L555" s="49">
        <f t="shared" si="111"/>
        <v>3.8617763347188321E-14</v>
      </c>
      <c r="M555" s="49">
        <f t="shared" si="111"/>
        <v>2.609335068605396E-13</v>
      </c>
      <c r="N555" s="49">
        <f t="shared" si="111"/>
        <v>1.5992743421119267E-12</v>
      </c>
      <c r="O555" s="49">
        <f t="shared" si="111"/>
        <v>8.9527445197398412E-12</v>
      </c>
      <c r="P555" s="49">
        <f t="shared" si="111"/>
        <v>4.6043730236603328E-11</v>
      </c>
      <c r="Q555" s="49">
        <f t="shared" si="111"/>
        <v>2.1865093775290293E-10</v>
      </c>
      <c r="R555" s="49">
        <f t="shared" si="111"/>
        <v>9.6293679228412232E-10</v>
      </c>
      <c r="S555" s="49">
        <f t="shared" si="111"/>
        <v>3.9479795875080691E-9</v>
      </c>
      <c r="T555" s="49">
        <f t="shared" si="111"/>
        <v>1.5120087385150811E-8</v>
      </c>
      <c r="U555" s="49">
        <f t="shared" si="111"/>
        <v>5.4255766434540923E-8</v>
      </c>
      <c r="V555" s="49">
        <f t="shared" si="111"/>
        <v>1.829040328165839E-7</v>
      </c>
      <c r="W555" s="47">
        <v>0.44800000000000001</v>
      </c>
    </row>
    <row r="556" spans="2:23" x14ac:dyDescent="0.25">
      <c r="B556" s="49">
        <f t="shared" si="110"/>
        <v>1.8666588101152848E-26</v>
      </c>
      <c r="C556" s="49">
        <f t="shared" si="110"/>
        <v>1.527746130929015E-24</v>
      </c>
      <c r="D556" s="49">
        <f t="shared" si="110"/>
        <v>6.191747141558517E-23</v>
      </c>
      <c r="E556" s="49">
        <f t="shared" si="110"/>
        <v>1.6567391630519632E-21</v>
      </c>
      <c r="F556" s="49">
        <f t="shared" si="110"/>
        <v>3.2922332279325618E-20</v>
      </c>
      <c r="G556" s="49">
        <f t="shared" si="110"/>
        <v>5.1822114756449582E-19</v>
      </c>
      <c r="H556" s="49">
        <f t="shared" si="110"/>
        <v>6.7300781898932113E-18</v>
      </c>
      <c r="I556" s="49">
        <f t="shared" si="110"/>
        <v>7.4165746875509857E-17</v>
      </c>
      <c r="J556" s="49">
        <f t="shared" si="110"/>
        <v>7.07918075199995E-16</v>
      </c>
      <c r="K556" s="49">
        <f t="shared" si="110"/>
        <v>5.9451325512836013E-15</v>
      </c>
      <c r="L556" s="49">
        <f t="shared" si="111"/>
        <v>4.4473070127767587E-14</v>
      </c>
      <c r="M556" s="49">
        <f t="shared" si="111"/>
        <v>2.9930751615510417E-13</v>
      </c>
      <c r="N556" s="49">
        <f t="shared" si="111"/>
        <v>1.827218219182346E-12</v>
      </c>
      <c r="O556" s="49">
        <f t="shared" si="111"/>
        <v>1.01883854542608E-11</v>
      </c>
      <c r="P556" s="49">
        <f t="shared" si="111"/>
        <v>5.2191962797856263E-11</v>
      </c>
      <c r="Q556" s="49">
        <f t="shared" si="111"/>
        <v>2.4687143520203781E-10</v>
      </c>
      <c r="R556" s="49">
        <f t="shared" si="111"/>
        <v>1.0829446844218139E-9</v>
      </c>
      <c r="S556" s="49">
        <f t="shared" si="111"/>
        <v>4.422575448046678E-9</v>
      </c>
      <c r="T556" s="49">
        <f t="shared" si="111"/>
        <v>1.6871342385499801E-8</v>
      </c>
      <c r="U556" s="49">
        <f t="shared" si="111"/>
        <v>6.0303101457839589E-8</v>
      </c>
      <c r="V556" s="49">
        <f t="shared" si="111"/>
        <v>2.0249727792587955E-7</v>
      </c>
      <c r="W556" s="47">
        <v>0.44700000000000001</v>
      </c>
    </row>
    <row r="557" spans="2:23" x14ac:dyDescent="0.25">
      <c r="B557" s="49">
        <f t="shared" si="110"/>
        <v>2.2363209632865528E-26</v>
      </c>
      <c r="C557" s="49">
        <f t="shared" si="110"/>
        <v>1.8229908294965313E-24</v>
      </c>
      <c r="D557" s="49">
        <f t="shared" si="110"/>
        <v>7.3588771623610968E-23</v>
      </c>
      <c r="E557" s="49">
        <f t="shared" si="110"/>
        <v>1.9611849011460414E-21</v>
      </c>
      <c r="F557" s="49">
        <f t="shared" si="110"/>
        <v>3.8817015171464387E-20</v>
      </c>
      <c r="G557" s="49">
        <f t="shared" si="110"/>
        <v>6.0857620819270521E-19</v>
      </c>
      <c r="H557" s="49">
        <f t="shared" si="110"/>
        <v>7.8720796153017032E-18</v>
      </c>
      <c r="I557" s="49">
        <f t="shared" si="110"/>
        <v>8.6405939236724737E-17</v>
      </c>
      <c r="J557" s="49">
        <f t="shared" si="110"/>
        <v>8.2147716406595034E-16</v>
      </c>
      <c r="K557" s="49">
        <f t="shared" si="110"/>
        <v>6.8714412142007854E-15</v>
      </c>
      <c r="L557" s="49">
        <f t="shared" si="111"/>
        <v>5.1198689819754012E-14</v>
      </c>
      <c r="M557" s="49">
        <f t="shared" si="111"/>
        <v>3.4320734488783887E-13</v>
      </c>
      <c r="N557" s="49">
        <f t="shared" si="111"/>
        <v>2.0869329469347505E-12</v>
      </c>
      <c r="O557" s="49">
        <f t="shared" si="111"/>
        <v>1.1590565982861308E-11</v>
      </c>
      <c r="P557" s="49">
        <f t="shared" si="111"/>
        <v>5.9140684665810945E-11</v>
      </c>
      <c r="Q557" s="49">
        <f t="shared" si="111"/>
        <v>2.7863741858445979E-10</v>
      </c>
      <c r="R557" s="49">
        <f t="shared" si="111"/>
        <v>1.2174843811492406E-9</v>
      </c>
      <c r="S557" s="49">
        <f t="shared" si="111"/>
        <v>4.9524921156494788E-9</v>
      </c>
      <c r="T557" s="49">
        <f t="shared" si="111"/>
        <v>1.881883589543124E-8</v>
      </c>
      <c r="U557" s="49">
        <f t="shared" si="111"/>
        <v>6.7000924308857575E-8</v>
      </c>
      <c r="V557" s="49">
        <f t="shared" si="111"/>
        <v>2.2411047411885798E-7</v>
      </c>
      <c r="W557" s="47">
        <v>0.44600000000000001</v>
      </c>
    </row>
    <row r="558" spans="2:23" x14ac:dyDescent="0.25">
      <c r="B558" s="49">
        <f t="shared" si="110"/>
        <v>2.6783159113003121E-26</v>
      </c>
      <c r="C558" s="49">
        <f t="shared" si="110"/>
        <v>2.1745809498272018E-24</v>
      </c>
      <c r="D558" s="49">
        <f t="shared" si="110"/>
        <v>8.7431319457833965E-23</v>
      </c>
      <c r="E558" s="49">
        <f t="shared" si="110"/>
        <v>2.3208091183665629E-21</v>
      </c>
      <c r="F558" s="49">
        <f t="shared" si="110"/>
        <v>4.5751939324423122E-20</v>
      </c>
      <c r="G558" s="49">
        <f t="shared" si="110"/>
        <v>7.1444695778179716E-19</v>
      </c>
      <c r="H558" s="49">
        <f t="shared" si="110"/>
        <v>9.2047795913688488E-18</v>
      </c>
      <c r="I558" s="49">
        <f t="shared" si="110"/>
        <v>1.0063237883955525E-16</v>
      </c>
      <c r="J558" s="49">
        <f t="shared" si="110"/>
        <v>9.5293065324389639E-16</v>
      </c>
      <c r="K558" s="49">
        <f t="shared" si="110"/>
        <v>7.9393844802526556E-15</v>
      </c>
      <c r="L558" s="49">
        <f t="shared" si="111"/>
        <v>5.8921351317209723E-14</v>
      </c>
      <c r="M558" s="49">
        <f t="shared" si="111"/>
        <v>3.9341151078760078E-13</v>
      </c>
      <c r="N558" s="49">
        <f t="shared" si="111"/>
        <v>2.3827449178448861E-12</v>
      </c>
      <c r="O558" s="49">
        <f t="shared" si="111"/>
        <v>1.3181181942634998E-11</v>
      </c>
      <c r="P558" s="49">
        <f t="shared" si="111"/>
        <v>6.6991388050911796E-11</v>
      </c>
      <c r="Q558" s="49">
        <f t="shared" si="111"/>
        <v>3.1438183255993446E-10</v>
      </c>
      <c r="R558" s="49">
        <f t="shared" si="111"/>
        <v>1.3682625822948675E-9</v>
      </c>
      <c r="S558" s="49">
        <f t="shared" si="111"/>
        <v>5.5439692080174299E-9</v>
      </c>
      <c r="T558" s="49">
        <f t="shared" si="111"/>
        <v>2.0983789554869148E-8</v>
      </c>
      <c r="U558" s="49">
        <f t="shared" si="111"/>
        <v>7.4416561580256195E-8</v>
      </c>
      <c r="V558" s="49">
        <f t="shared" si="111"/>
        <v>2.4794332817008865E-7</v>
      </c>
      <c r="W558" s="47">
        <v>0.44500000000000001</v>
      </c>
    </row>
    <row r="559" spans="2:23" x14ac:dyDescent="0.25">
      <c r="B559" s="49">
        <f t="shared" si="110"/>
        <v>3.2066270617439294E-26</v>
      </c>
      <c r="C559" s="49">
        <f t="shared" si="110"/>
        <v>2.5931340826836361E-24</v>
      </c>
      <c r="D559" s="49">
        <f t="shared" si="110"/>
        <v>1.0384369437998815E-22</v>
      </c>
      <c r="E559" s="49">
        <f t="shared" si="110"/>
        <v>2.7454734529419077E-21</v>
      </c>
      <c r="F559" s="49">
        <f t="shared" si="110"/>
        <v>5.3907992271533602E-20</v>
      </c>
      <c r="G559" s="49">
        <f t="shared" si="110"/>
        <v>8.3845669034490818E-19</v>
      </c>
      <c r="H559" s="49">
        <f t="shared" si="110"/>
        <v>1.0759504779916452E-17</v>
      </c>
      <c r="I559" s="49">
        <f t="shared" si="110"/>
        <v>1.1716184893342562E-16</v>
      </c>
      <c r="J559" s="49">
        <f t="shared" si="110"/>
        <v>1.1050471399616523E-15</v>
      </c>
      <c r="K559" s="49">
        <f t="shared" si="110"/>
        <v>9.1702024024334278E-15</v>
      </c>
      <c r="L559" s="49">
        <f t="shared" si="111"/>
        <v>6.7785848174155532E-14</v>
      </c>
      <c r="M559" s="49">
        <f t="shared" si="111"/>
        <v>4.5080575067700941E-13</v>
      </c>
      <c r="N559" s="49">
        <f t="shared" si="111"/>
        <v>2.7195555238633735E-12</v>
      </c>
      <c r="O559" s="49">
        <f t="shared" si="111"/>
        <v>1.4984933879872968E-11</v>
      </c>
      <c r="P559" s="49">
        <f t="shared" si="111"/>
        <v>7.5858077645428642E-11</v>
      </c>
      <c r="Q559" s="49">
        <f t="shared" si="111"/>
        <v>3.545889166149901E-10</v>
      </c>
      <c r="R559" s="49">
        <f t="shared" si="111"/>
        <v>1.5371799927391054E-9</v>
      </c>
      <c r="S559" s="49">
        <f t="shared" si="111"/>
        <v>6.2039256114627934E-9</v>
      </c>
      <c r="T559" s="49">
        <f t="shared" si="111"/>
        <v>2.3389633110100719E-8</v>
      </c>
      <c r="U559" s="49">
        <f t="shared" si="111"/>
        <v>8.2624020491018295E-8</v>
      </c>
      <c r="V559" s="49">
        <f t="shared" si="111"/>
        <v>2.7421439760447721E-7</v>
      </c>
      <c r="W559" s="47">
        <v>0.44400000000000001</v>
      </c>
    </row>
    <row r="560" spans="2:23" x14ac:dyDescent="0.25">
      <c r="B560" s="49">
        <f t="shared" si="110"/>
        <v>3.8379083351430132E-26</v>
      </c>
      <c r="C560" s="49">
        <f t="shared" si="110"/>
        <v>3.0912430936731962E-24</v>
      </c>
      <c r="D560" s="49">
        <f t="shared" si="110"/>
        <v>1.2329666373230709E-22</v>
      </c>
      <c r="E560" s="49">
        <f t="shared" si="110"/>
        <v>3.2467771796381572E-21</v>
      </c>
      <c r="F560" s="49">
        <f t="shared" si="110"/>
        <v>6.3497048226181844E-20</v>
      </c>
      <c r="G560" s="49">
        <f t="shared" si="110"/>
        <v>9.836652637495858E-19</v>
      </c>
      <c r="H560" s="49">
        <f t="shared" si="110"/>
        <v>1.2572642503831617E-17</v>
      </c>
      <c r="I560" s="49">
        <f t="shared" si="110"/>
        <v>1.3636076727168563E-16</v>
      </c>
      <c r="J560" s="49">
        <f t="shared" si="110"/>
        <v>1.2810155815010235E-15</v>
      </c>
      <c r="K560" s="49">
        <f t="shared" si="110"/>
        <v>1.0588257102768959E-14</v>
      </c>
      <c r="L560" s="49">
        <f t="shared" si="111"/>
        <v>7.7957557323540794E-14</v>
      </c>
      <c r="M560" s="49">
        <f t="shared" si="111"/>
        <v>5.1639744090420399E-13</v>
      </c>
      <c r="N560" s="49">
        <f t="shared" si="111"/>
        <v>3.1029156533653227E-12</v>
      </c>
      <c r="O560" s="49">
        <f t="shared" si="111"/>
        <v>1.7029676574609341E-11</v>
      </c>
      <c r="P560" s="49">
        <f t="shared" si="111"/>
        <v>8.5868768040188295E-11</v>
      </c>
      <c r="Q560" s="49">
        <f t="shared" si="111"/>
        <v>3.9980008942014437E-10</v>
      </c>
      <c r="R560" s="49">
        <f t="shared" si="111"/>
        <v>1.7263526133608977E-9</v>
      </c>
      <c r="S560" s="49">
        <f t="shared" si="111"/>
        <v>6.9400306362212822E-9</v>
      </c>
      <c r="T560" s="49">
        <f t="shared" si="111"/>
        <v>2.6062224642282754E-8</v>
      </c>
      <c r="U560" s="49">
        <f t="shared" si="111"/>
        <v>9.1704621461661465E-8</v>
      </c>
      <c r="V560" s="49">
        <f t="shared" si="111"/>
        <v>3.0316277971182504E-7</v>
      </c>
      <c r="W560" s="47">
        <v>0.443</v>
      </c>
    </row>
    <row r="561" spans="2:23" x14ac:dyDescent="0.25">
      <c r="B561" s="49">
        <f t="shared" si="110"/>
        <v>4.5919879389007594E-26</v>
      </c>
      <c r="C561" s="49">
        <f t="shared" si="110"/>
        <v>3.683838870985701E-24</v>
      </c>
      <c r="D561" s="49">
        <f t="shared" si="110"/>
        <v>1.4634607955672402E-22</v>
      </c>
      <c r="E561" s="49">
        <f t="shared" si="110"/>
        <v>3.8383590002122466E-21</v>
      </c>
      <c r="F561" s="49">
        <f t="shared" si="110"/>
        <v>7.4767195861703224E-20</v>
      </c>
      <c r="G561" s="49">
        <f t="shared" si="110"/>
        <v>1.1536405874494551E-18</v>
      </c>
      <c r="H561" s="49">
        <f t="shared" si="110"/>
        <v>1.4686444373739407E-17</v>
      </c>
      <c r="I561" s="49">
        <f t="shared" si="110"/>
        <v>1.5865282252405504E-16</v>
      </c>
      <c r="J561" s="49">
        <f t="shared" si="110"/>
        <v>1.4845078918780081E-15</v>
      </c>
      <c r="K561" s="49">
        <f t="shared" si="110"/>
        <v>1.2221482271430625E-14</v>
      </c>
      <c r="L561" s="49">
        <f t="shared" si="111"/>
        <v>8.9625300976338842E-14</v>
      </c>
      <c r="M561" s="49">
        <f t="shared" si="111"/>
        <v>5.9133190967496026E-13</v>
      </c>
      <c r="N561" s="49">
        <f t="shared" si="111"/>
        <v>3.5391095841619139E-12</v>
      </c>
      <c r="O561" s="49">
        <f t="shared" si="111"/>
        <v>1.9346810871859077E-11</v>
      </c>
      <c r="P561" s="49">
        <f t="shared" si="111"/>
        <v>9.7167154740735053E-11</v>
      </c>
      <c r="Q561" s="49">
        <f t="shared" si="111"/>
        <v>4.5062048515438662E-10</v>
      </c>
      <c r="R561" s="49">
        <f t="shared" si="111"/>
        <v>1.9381352808587336E-9</v>
      </c>
      <c r="S561" s="49">
        <f t="shared" si="111"/>
        <v>7.760782316575903E-9</v>
      </c>
      <c r="T561" s="49">
        <f t="shared" si="111"/>
        <v>2.9030091749117436E-8</v>
      </c>
      <c r="U561" s="49">
        <f t="shared" si="111"/>
        <v>1.0174768749888019E-7</v>
      </c>
      <c r="V561" s="49">
        <f t="shared" si="111"/>
        <v>3.3504994308943702E-7</v>
      </c>
      <c r="W561" s="47">
        <v>0.442</v>
      </c>
    </row>
    <row r="562" spans="2:23" x14ac:dyDescent="0.25">
      <c r="B562" s="49">
        <f t="shared" si="110"/>
        <v>5.4924660033922807E-26</v>
      </c>
      <c r="C562" s="49">
        <f t="shared" si="110"/>
        <v>4.3886188232977275E-24</v>
      </c>
      <c r="D562" s="49">
        <f t="shared" si="110"/>
        <v>1.7364804784915164E-22</v>
      </c>
      <c r="E562" s="49">
        <f t="shared" si="110"/>
        <v>4.53625048614614E-21</v>
      </c>
      <c r="F562" s="49">
        <f t="shared" si="110"/>
        <v>8.800883447488035E-20</v>
      </c>
      <c r="G562" s="49">
        <f t="shared" si="110"/>
        <v>1.3525416247252288E-18</v>
      </c>
      <c r="H562" s="49">
        <f t="shared" si="110"/>
        <v>1.7149955306221734E-17</v>
      </c>
      <c r="I562" s="49">
        <f t="shared" si="110"/>
        <v>1.8452776374716212E-16</v>
      </c>
      <c r="J562" s="49">
        <f t="shared" si="110"/>
        <v>1.7197506748636196E-15</v>
      </c>
      <c r="K562" s="49">
        <f t="shared" si="110"/>
        <v>1.4101896005934863E-14</v>
      </c>
      <c r="L562" s="49">
        <f t="shared" si="111"/>
        <v>1.0300459734637059E-13</v>
      </c>
      <c r="M562" s="49">
        <f t="shared" si="111"/>
        <v>6.7691088309266588E-13</v>
      </c>
      <c r="N562" s="49">
        <f t="shared" si="111"/>
        <v>4.0352494244305531E-12</v>
      </c>
      <c r="O562" s="49">
        <f t="shared" si="111"/>
        <v>2.1971722783515E-11</v>
      </c>
      <c r="P562" s="49">
        <f t="shared" si="111"/>
        <v>1.0991447823199785E-10</v>
      </c>
      <c r="Q562" s="49">
        <f t="shared" si="111"/>
        <v>5.0772621135156621E-10</v>
      </c>
      <c r="R562" s="49">
        <f t="shared" si="111"/>
        <v>2.1751476841903819E-9</v>
      </c>
      <c r="S562" s="49">
        <f t="shared" si="111"/>
        <v>8.6755935401000738E-9</v>
      </c>
      <c r="T562" s="49">
        <f t="shared" si="111"/>
        <v>3.2324695569362496E-8</v>
      </c>
      <c r="U562" s="49">
        <f t="shared" si="111"/>
        <v>1.1285129518810816E-7</v>
      </c>
      <c r="V562" s="49">
        <f t="shared" si="111"/>
        <v>3.7016171291388761E-7</v>
      </c>
      <c r="W562" s="47">
        <v>0.441</v>
      </c>
    </row>
    <row r="563" spans="2:23" x14ac:dyDescent="0.25">
      <c r="B563" s="49">
        <f t="shared" ref="B563:K572" si="112">_xlfn.HYPGEOM.DIST(B$2,comau,tongtheN*$W563,tongtheN,TRUE)</f>
        <v>6.5674233510197752E-26</v>
      </c>
      <c r="C563" s="49">
        <f t="shared" si="112"/>
        <v>5.2265528887562981E-24</v>
      </c>
      <c r="D563" s="49">
        <f t="shared" si="112"/>
        <v>2.0597676507746147E-22</v>
      </c>
      <c r="E563" s="49">
        <f t="shared" si="112"/>
        <v>5.3592898834148526E-21</v>
      </c>
      <c r="F563" s="49">
        <f t="shared" si="112"/>
        <v>1.0356178051252824E-19</v>
      </c>
      <c r="G563" s="49">
        <f t="shared" si="112"/>
        <v>1.5852147330138876E-18</v>
      </c>
      <c r="H563" s="49">
        <f t="shared" si="112"/>
        <v>2.0020087148777323E-17</v>
      </c>
      <c r="I563" s="49">
        <f t="shared" si="112"/>
        <v>2.1455151368572283E-16</v>
      </c>
      <c r="J563" s="49">
        <f t="shared" si="112"/>
        <v>1.9916073994452755E-15</v>
      </c>
      <c r="K563" s="49">
        <f t="shared" si="112"/>
        <v>1.6266185718421671E-14</v>
      </c>
      <c r="L563" s="49">
        <f t="shared" ref="L563:V572" si="113">_xlfn.HYPGEOM.DIST(L$2,comau,tongtheN*$W563,tongtheN,TRUE)</f>
        <v>1.1834135176603684E-13</v>
      </c>
      <c r="M563" s="49">
        <f t="shared" si="113"/>
        <v>7.7461333677775195E-13</v>
      </c>
      <c r="N563" s="49">
        <f t="shared" si="113"/>
        <v>4.5993813904064002E-12</v>
      </c>
      <c r="O563" s="49">
        <f t="shared" si="113"/>
        <v>2.4944275388099426E-11</v>
      </c>
      <c r="P563" s="49">
        <f t="shared" si="113"/>
        <v>1.2429160263990157E-10</v>
      </c>
      <c r="Q563" s="49">
        <f t="shared" si="113"/>
        <v>5.718724049405625E-10</v>
      </c>
      <c r="R563" s="49">
        <f t="shared" si="113"/>
        <v>2.4403031073768588E-9</v>
      </c>
      <c r="S563" s="49">
        <f t="shared" si="113"/>
        <v>9.6948867524322018E-9</v>
      </c>
      <c r="T563" s="49">
        <f t="shared" si="113"/>
        <v>3.5980719699920307E-8</v>
      </c>
      <c r="U563" s="49">
        <f t="shared" si="113"/>
        <v>1.2512309246908416E-7</v>
      </c>
      <c r="V563" s="49">
        <f t="shared" si="113"/>
        <v>4.0881042194878486E-7</v>
      </c>
      <c r="W563" s="47">
        <v>0.44</v>
      </c>
    </row>
    <row r="564" spans="2:23" x14ac:dyDescent="0.25">
      <c r="B564" s="49">
        <f t="shared" si="112"/>
        <v>7.8502618070466286E-26</v>
      </c>
      <c r="C564" s="49">
        <f t="shared" si="112"/>
        <v>6.2224808916909164E-24</v>
      </c>
      <c r="D564" s="49">
        <f t="shared" si="112"/>
        <v>2.442454844230554E-22</v>
      </c>
      <c r="E564" s="49">
        <f t="shared" si="112"/>
        <v>6.3296064356211061E-21</v>
      </c>
      <c r="F564" s="49">
        <f t="shared" si="112"/>
        <v>1.2182354928167657E-19</v>
      </c>
      <c r="G564" s="49">
        <f t="shared" si="112"/>
        <v>1.857305449755133E-18</v>
      </c>
      <c r="H564" s="49">
        <f t="shared" si="112"/>
        <v>2.3362859017145658E-17</v>
      </c>
      <c r="I564" s="49">
        <f t="shared" si="112"/>
        <v>2.4937780146890143E-16</v>
      </c>
      <c r="J564" s="49">
        <f t="shared" si="112"/>
        <v>2.3056725065619006E-15</v>
      </c>
      <c r="K564" s="49">
        <f t="shared" si="112"/>
        <v>1.8756375013923985E-14</v>
      </c>
      <c r="L564" s="49">
        <f t="shared" si="113"/>
        <v>1.3591604642492338E-13</v>
      </c>
      <c r="M564" s="49">
        <f t="shared" si="113"/>
        <v>8.8611905863026161E-13</v>
      </c>
      <c r="N564" s="49">
        <f t="shared" si="113"/>
        <v>5.2406053624326813E-12</v>
      </c>
      <c r="O564" s="49">
        <f t="shared" si="113"/>
        <v>2.8309359680476546E-11</v>
      </c>
      <c r="P564" s="49">
        <f t="shared" si="113"/>
        <v>1.4050133285523023E-10</v>
      </c>
      <c r="Q564" s="49">
        <f t="shared" si="113"/>
        <v>6.4390217096380941E-10</v>
      </c>
      <c r="R564" s="49">
        <f t="shared" si="113"/>
        <v>2.7368401724336092E-9</v>
      </c>
      <c r="S564" s="49">
        <f t="shared" si="113"/>
        <v>1.083019805139045E-8</v>
      </c>
      <c r="T564" s="49">
        <f t="shared" si="113"/>
        <v>4.0036386227963359E-8</v>
      </c>
      <c r="U564" s="49">
        <f t="shared" si="113"/>
        <v>1.3868118877305027E-7</v>
      </c>
      <c r="V564" s="49">
        <f t="shared" si="113"/>
        <v>4.5133724015243624E-7</v>
      </c>
      <c r="W564" s="47">
        <v>0.439</v>
      </c>
    </row>
    <row r="565" spans="2:23" x14ac:dyDescent="0.25">
      <c r="B565" s="49">
        <f t="shared" si="112"/>
        <v>9.3807001619843562E-26</v>
      </c>
      <c r="C565" s="49">
        <f t="shared" si="112"/>
        <v>7.4058175208671886E-24</v>
      </c>
      <c r="D565" s="49">
        <f t="shared" si="112"/>
        <v>2.89531153255958E-22</v>
      </c>
      <c r="E565" s="49">
        <f t="shared" si="112"/>
        <v>7.4731870649878924E-21</v>
      </c>
      <c r="F565" s="49">
        <f t="shared" si="112"/>
        <v>1.4325900311944688E-19</v>
      </c>
      <c r="G565" s="49">
        <f t="shared" si="112"/>
        <v>2.1753881584411629E-18</v>
      </c>
      <c r="H565" s="49">
        <f t="shared" si="112"/>
        <v>2.7254829767585839E-17</v>
      </c>
      <c r="I565" s="49">
        <f t="shared" si="112"/>
        <v>2.8976153858397349E-16</v>
      </c>
      <c r="J565" s="49">
        <f t="shared" si="112"/>
        <v>2.6683791436777693E-15</v>
      </c>
      <c r="K565" s="49">
        <f t="shared" si="112"/>
        <v>2.1620583771802321E-14</v>
      </c>
      <c r="L565" s="49">
        <f t="shared" si="113"/>
        <v>1.5604849446951911E-13</v>
      </c>
      <c r="M565" s="49">
        <f t="shared" si="113"/>
        <v>1.0133352660475396E-12</v>
      </c>
      <c r="N565" s="49">
        <f t="shared" si="113"/>
        <v>5.9692093312473831E-12</v>
      </c>
      <c r="O565" s="49">
        <f t="shared" si="113"/>
        <v>3.2117511216603059E-11</v>
      </c>
      <c r="P565" s="49">
        <f t="shared" si="113"/>
        <v>1.5877099654101253E-10</v>
      </c>
      <c r="Q565" s="49">
        <f t="shared" si="113"/>
        <v>7.2475649703099702E-10</v>
      </c>
      <c r="R565" s="49">
        <f t="shared" si="113"/>
        <v>3.0683578823957008E-9</v>
      </c>
      <c r="S565" s="49">
        <f t="shared" si="113"/>
        <v>1.2094291557344924E-8</v>
      </c>
      <c r="T565" s="49">
        <f t="shared" si="113"/>
        <v>4.4533801286723961E-8</v>
      </c>
      <c r="U565" s="49">
        <f t="shared" si="113"/>
        <v>1.5365512353238536E-7</v>
      </c>
      <c r="V565" s="49">
        <f t="shared" si="113"/>
        <v>4.9811469666108761E-7</v>
      </c>
      <c r="W565" s="47">
        <v>0.438</v>
      </c>
    </row>
    <row r="566" spans="2:23" x14ac:dyDescent="0.25">
      <c r="B566" s="49">
        <f t="shared" si="112"/>
        <v>1.1205954258912349E-25</v>
      </c>
      <c r="C566" s="49">
        <f t="shared" si="112"/>
        <v>8.8113840637574237E-24</v>
      </c>
      <c r="D566" s="49">
        <f t="shared" si="112"/>
        <v>3.4310335572189253E-22</v>
      </c>
      <c r="E566" s="49">
        <f t="shared" si="112"/>
        <v>8.8205392085364579E-21</v>
      </c>
      <c r="F566" s="49">
        <f t="shared" si="112"/>
        <v>1.6841158793071661E-19</v>
      </c>
      <c r="G566" s="49">
        <f t="shared" si="112"/>
        <v>2.5471164467337614E-18</v>
      </c>
      <c r="H566" s="49">
        <f t="shared" si="112"/>
        <v>3.1784751831922577E-17</v>
      </c>
      <c r="I566" s="49">
        <f t="shared" si="112"/>
        <v>3.3657419434314234E-16</v>
      </c>
      <c r="J566" s="49">
        <f t="shared" si="112"/>
        <v>3.0871224598320092E-15</v>
      </c>
      <c r="K566" s="49">
        <f t="shared" si="112"/>
        <v>2.4913894165865109E-14</v>
      </c>
      <c r="L566" s="49">
        <f t="shared" si="113"/>
        <v>1.7910323265005321E-13</v>
      </c>
      <c r="M566" s="49">
        <f t="shared" si="113"/>
        <v>1.1584266631809926E-12</v>
      </c>
      <c r="N566" s="49">
        <f t="shared" si="113"/>
        <v>6.7968205361160513E-12</v>
      </c>
      <c r="O566" s="49">
        <f t="shared" si="113"/>
        <v>3.6425600166636966E-11</v>
      </c>
      <c r="P566" s="49">
        <f t="shared" si="113"/>
        <v>1.7935532026311861E-10</v>
      </c>
      <c r="Q566" s="49">
        <f t="shared" si="113"/>
        <v>8.1548524596585181E-10</v>
      </c>
      <c r="R566" s="49">
        <f t="shared" si="113"/>
        <v>3.4388542929812105E-9</v>
      </c>
      <c r="S566" s="49">
        <f t="shared" si="113"/>
        <v>1.3501285026026635E-8</v>
      </c>
      <c r="T566" s="49">
        <f t="shared" si="113"/>
        <v>4.9519332744154775E-8</v>
      </c>
      <c r="U566" s="49">
        <f t="shared" si="113"/>
        <v>1.7018691953603819E-7</v>
      </c>
      <c r="V566" s="49">
        <f t="shared" si="113"/>
        <v>5.4954940889170246E-7</v>
      </c>
      <c r="W566" s="47">
        <v>0.437</v>
      </c>
    </row>
    <row r="567" spans="2:23" x14ac:dyDescent="0.25">
      <c r="B567" s="49">
        <f t="shared" si="112"/>
        <v>1.3382134822498296E-25</v>
      </c>
      <c r="C567" s="49">
        <f t="shared" si="112"/>
        <v>1.0480389388069924E-23</v>
      </c>
      <c r="D567" s="49">
        <f t="shared" si="112"/>
        <v>4.0645830221823852E-22</v>
      </c>
      <c r="E567" s="49">
        <f t="shared" si="112"/>
        <v>1.0407465883396477E-20</v>
      </c>
      <c r="F567" s="49">
        <f t="shared" si="112"/>
        <v>1.9791641545906753E-19</v>
      </c>
      <c r="G567" s="49">
        <f t="shared" si="112"/>
        <v>2.9813974030949038E-18</v>
      </c>
      <c r="H567" s="49">
        <f t="shared" si="112"/>
        <v>3.7055480007155337E-17</v>
      </c>
      <c r="I567" s="49">
        <f t="shared" si="112"/>
        <v>3.9082146396670457E-16</v>
      </c>
      <c r="J567" s="49">
        <f t="shared" si="112"/>
        <v>3.5704006619838981E-15</v>
      </c>
      <c r="K567" s="49">
        <f t="shared" si="112"/>
        <v>2.8699337058368563E-14</v>
      </c>
      <c r="L567" s="49">
        <f t="shared" si="113"/>
        <v>2.0549563620521754E-13</v>
      </c>
      <c r="M567" s="49">
        <f t="shared" si="113"/>
        <v>1.3238493711429163E-12</v>
      </c>
      <c r="N567" s="49">
        <f t="shared" si="113"/>
        <v>7.7365753077698297E-12</v>
      </c>
      <c r="O567" s="49">
        <f t="shared" si="113"/>
        <v>4.1297603241008282E-11</v>
      </c>
      <c r="P567" s="49">
        <f t="shared" si="113"/>
        <v>2.0253963209068629E-10</v>
      </c>
      <c r="Q567" s="49">
        <f t="shared" si="113"/>
        <v>9.1725933941153146E-10</v>
      </c>
      <c r="R567" s="49">
        <f t="shared" si="113"/>
        <v>3.8527691725935143E-9</v>
      </c>
      <c r="S567" s="49">
        <f t="shared" si="113"/>
        <v>1.5066787755853444E-8</v>
      </c>
      <c r="T567" s="49">
        <f t="shared" si="113"/>
        <v>5.5044022849758117E-8</v>
      </c>
      <c r="U567" s="49">
        <f t="shared" si="113"/>
        <v>1.8843222809904249E-7</v>
      </c>
      <c r="V567" s="49">
        <f t="shared" si="113"/>
        <v>6.0608503453690796E-7</v>
      </c>
      <c r="W567" s="47">
        <v>0.436</v>
      </c>
    </row>
    <row r="568" spans="2:23" x14ac:dyDescent="0.25">
      <c r="B568" s="49">
        <f t="shared" si="112"/>
        <v>1.5975902707218457E-25</v>
      </c>
      <c r="C568" s="49">
        <f t="shared" si="112"/>
        <v>1.2461586599487931E-23</v>
      </c>
      <c r="D568" s="49">
        <f t="shared" si="112"/>
        <v>4.8135873353692373E-22</v>
      </c>
      <c r="E568" s="49">
        <f t="shared" si="112"/>
        <v>1.2275971701710197E-20</v>
      </c>
      <c r="F568" s="49">
        <f t="shared" si="112"/>
        <v>2.3251548968586202E-19</v>
      </c>
      <c r="G568" s="49">
        <f t="shared" si="112"/>
        <v>3.4885935989333297E-18</v>
      </c>
      <c r="H568" s="49">
        <f t="shared" si="112"/>
        <v>4.3186173794535306E-17</v>
      </c>
      <c r="I568" s="49">
        <f t="shared" si="112"/>
        <v>4.536635645201871E-16</v>
      </c>
      <c r="J568" s="49">
        <f t="shared" si="112"/>
        <v>4.1279763380429453E-15</v>
      </c>
      <c r="K568" s="49">
        <f t="shared" si="112"/>
        <v>3.3049015124051232E-14</v>
      </c>
      <c r="L568" s="49">
        <f t="shared" si="113"/>
        <v>2.356988503650367E-13</v>
      </c>
      <c r="M568" s="49">
        <f t="shared" si="113"/>
        <v>1.5123892170369309E-12</v>
      </c>
      <c r="N568" s="49">
        <f t="shared" si="113"/>
        <v>8.8033098644283263E-12</v>
      </c>
      <c r="O568" s="49">
        <f t="shared" si="113"/>
        <v>4.6805466897100695E-11</v>
      </c>
      <c r="P568" s="49">
        <f t="shared" si="113"/>
        <v>2.2864342643623419E-10</v>
      </c>
      <c r="Q568" s="49">
        <f t="shared" si="113"/>
        <v>1.031384256454496E-9</v>
      </c>
      <c r="R568" s="49">
        <f t="shared" si="113"/>
        <v>4.3150310443080321E-9</v>
      </c>
      <c r="S568" s="49">
        <f t="shared" si="113"/>
        <v>1.6808051934903067E-8</v>
      </c>
      <c r="T568" s="49">
        <f t="shared" si="113"/>
        <v>6.1164038897389264E-8</v>
      </c>
      <c r="U568" s="49">
        <f t="shared" si="113"/>
        <v>2.0856157354351245E-7</v>
      </c>
      <c r="V568" s="49">
        <f t="shared" si="113"/>
        <v>6.6820546331676187E-7</v>
      </c>
      <c r="W568" s="47">
        <v>0.435</v>
      </c>
    </row>
    <row r="569" spans="2:23" x14ac:dyDescent="0.25">
      <c r="B569" s="49">
        <f t="shared" si="112"/>
        <v>1.9066428381895029E-25</v>
      </c>
      <c r="C569" s="49">
        <f t="shared" si="112"/>
        <v>1.4812636422412172E-23</v>
      </c>
      <c r="D569" s="49">
        <f t="shared" si="112"/>
        <v>5.6988075454968002E-22</v>
      </c>
      <c r="E569" s="49">
        <f t="shared" si="112"/>
        <v>1.4475321631154967E-20</v>
      </c>
      <c r="F569" s="49">
        <f t="shared" si="112"/>
        <v>2.7307542321526462E-19</v>
      </c>
      <c r="G569" s="49">
        <f t="shared" si="112"/>
        <v>4.0807570796428501E-18</v>
      </c>
      <c r="H569" s="49">
        <f t="shared" si="112"/>
        <v>5.0314837617052367E-17</v>
      </c>
      <c r="I569" s="49">
        <f t="shared" si="112"/>
        <v>5.2643854198249423E-16</v>
      </c>
      <c r="J569" s="49">
        <f t="shared" si="112"/>
        <v>4.7710608977392624E-15</v>
      </c>
      <c r="K569" s="49">
        <f t="shared" si="112"/>
        <v>3.8045381230661614E-14</v>
      </c>
      <c r="L569" s="49">
        <f t="shared" si="113"/>
        <v>2.7025164487068551E-13</v>
      </c>
      <c r="M569" s="49">
        <f t="shared" si="113"/>
        <v>1.727204926935292E-12</v>
      </c>
      <c r="N569" s="49">
        <f t="shared" si="113"/>
        <v>1.0013774571114086E-11</v>
      </c>
      <c r="O569" s="49">
        <f t="shared" si="113"/>
        <v>5.3030072278340311E-11</v>
      </c>
      <c r="P569" s="49">
        <f t="shared" si="113"/>
        <v>2.5802433067580057E-10</v>
      </c>
      <c r="Q569" s="49">
        <f t="shared" si="113"/>
        <v>1.1593149836997175E-9</v>
      </c>
      <c r="R569" s="49">
        <f t="shared" si="113"/>
        <v>4.8311090404661921E-9</v>
      </c>
      <c r="S569" s="49">
        <f t="shared" si="113"/>
        <v>1.8744138673405675E-8</v>
      </c>
      <c r="T569" s="49">
        <f t="shared" si="113"/>
        <v>6.7941165212115647E-8</v>
      </c>
      <c r="U569" s="49">
        <f t="shared" si="113"/>
        <v>2.3076170505397238E-7</v>
      </c>
      <c r="V569" s="49">
        <f t="shared" si="113"/>
        <v>7.3643826650923489E-7</v>
      </c>
      <c r="W569" s="47">
        <v>0.434</v>
      </c>
    </row>
    <row r="570" spans="2:23" x14ac:dyDescent="0.25">
      <c r="B570" s="49">
        <f t="shared" si="112"/>
        <v>2.2747710875753978E-25</v>
      </c>
      <c r="C570" s="49">
        <f t="shared" si="112"/>
        <v>1.7601713764358209E-23</v>
      </c>
      <c r="D570" s="49">
        <f t="shared" si="112"/>
        <v>6.7446878398415719E-22</v>
      </c>
      <c r="E570" s="49">
        <f t="shared" si="112"/>
        <v>1.7063277870181723E-20</v>
      </c>
      <c r="F570" s="49">
        <f t="shared" si="112"/>
        <v>3.2060804439066983E-19</v>
      </c>
      <c r="G570" s="49">
        <f t="shared" si="112"/>
        <v>4.7719003513641715E-18</v>
      </c>
      <c r="H570" s="49">
        <f t="shared" si="112"/>
        <v>5.8601249813953876E-17</v>
      </c>
      <c r="I570" s="49">
        <f t="shared" si="112"/>
        <v>6.1068902750392601E-16</v>
      </c>
      <c r="J570" s="49">
        <f t="shared" si="112"/>
        <v>5.5125253749034952E-15</v>
      </c>
      <c r="K570" s="49">
        <f t="shared" si="112"/>
        <v>4.3782693053684968E-14</v>
      </c>
      <c r="L570" s="49">
        <f t="shared" si="113"/>
        <v>3.0976731141724094E-13</v>
      </c>
      <c r="M570" s="49">
        <f t="shared" si="113"/>
        <v>1.971876834187208E-12</v>
      </c>
      <c r="N570" s="49">
        <f t="shared" si="113"/>
        <v>1.1386874463897512E-11</v>
      </c>
      <c r="O570" s="49">
        <f t="shared" si="113"/>
        <v>6.00623134933172E-11</v>
      </c>
      <c r="P570" s="49">
        <f t="shared" si="113"/>
        <v>2.9108251724074395E-10</v>
      </c>
      <c r="Q570" s="49">
        <f t="shared" si="113"/>
        <v>1.3026725667766993E-9</v>
      </c>
      <c r="R570" s="49">
        <f t="shared" si="113"/>
        <v>5.4070700407529695E-9</v>
      </c>
      <c r="S570" s="49">
        <f t="shared" si="113"/>
        <v>2.0896100076660978E-8</v>
      </c>
      <c r="T570" s="49">
        <f t="shared" si="113"/>
        <v>7.544334003823455E-8</v>
      </c>
      <c r="U570" s="49">
        <f t="shared" si="113"/>
        <v>2.5523706457385004E-7</v>
      </c>
      <c r="V570" s="49">
        <f t="shared" si="113"/>
        <v>8.1135842350958342E-7</v>
      </c>
      <c r="W570" s="47">
        <v>0.433</v>
      </c>
    </row>
    <row r="571" spans="2:23" x14ac:dyDescent="0.25">
      <c r="B571" s="49">
        <f t="shared" si="112"/>
        <v>2.713132131029088E-25</v>
      </c>
      <c r="C571" s="49">
        <f t="shared" si="112"/>
        <v>2.0909400269841861E-23</v>
      </c>
      <c r="D571" s="49">
        <f t="shared" si="112"/>
        <v>7.9800000713565255E-22</v>
      </c>
      <c r="E571" s="49">
        <f t="shared" si="112"/>
        <v>2.0107544356887043E-20</v>
      </c>
      <c r="F571" s="49">
        <f t="shared" si="112"/>
        <v>3.7629435934292071E-19</v>
      </c>
      <c r="G571" s="49">
        <f t="shared" si="112"/>
        <v>5.5783101137641059E-18</v>
      </c>
      <c r="H571" s="49">
        <f t="shared" si="112"/>
        <v>6.8230338835510416E-17</v>
      </c>
      <c r="I571" s="49">
        <f t="shared" si="112"/>
        <v>7.0819294336069018E-16</v>
      </c>
      <c r="J571" s="49">
        <f t="shared" si="112"/>
        <v>6.3671412799224717E-15</v>
      </c>
      <c r="K571" s="49">
        <f t="shared" si="112"/>
        <v>5.0368667670460284E-14</v>
      </c>
      <c r="L571" s="49">
        <f t="shared" si="113"/>
        <v>3.5494373910120385E-13</v>
      </c>
      <c r="M571" s="49">
        <f t="shared" si="113"/>
        <v>2.250461788514188E-12</v>
      </c>
      <c r="N571" s="49">
        <f t="shared" si="113"/>
        <v>1.2943939164851383E-11</v>
      </c>
      <c r="O571" s="49">
        <f t="shared" si="113"/>
        <v>6.8004302121354478E-11</v>
      </c>
      <c r="P571" s="49">
        <f t="shared" si="113"/>
        <v>3.2826560944154621E-10</v>
      </c>
      <c r="Q571" s="49">
        <f t="shared" si="113"/>
        <v>1.4632624280841085E-9</v>
      </c>
      <c r="R571" s="49">
        <f t="shared" si="113"/>
        <v>6.0496416084446913E-9</v>
      </c>
      <c r="S571" s="49">
        <f t="shared" si="113"/>
        <v>2.3287178831217471E-8</v>
      </c>
      <c r="T571" s="49">
        <f t="shared" si="113"/>
        <v>8.3745241194832362E-8</v>
      </c>
      <c r="U571" s="49">
        <f t="shared" si="113"/>
        <v>2.822113800546411E-7</v>
      </c>
      <c r="V571" s="49">
        <f t="shared" si="113"/>
        <v>8.9359234596842005E-7</v>
      </c>
      <c r="W571" s="47">
        <v>0.432</v>
      </c>
    </row>
    <row r="572" spans="2:23" x14ac:dyDescent="0.25">
      <c r="B572" s="49">
        <f t="shared" si="112"/>
        <v>3.2349647792285616E-25</v>
      </c>
      <c r="C572" s="49">
        <f t="shared" si="112"/>
        <v>2.4830913104191303E-23</v>
      </c>
      <c r="D572" s="49">
        <f t="shared" si="112"/>
        <v>9.4385995198005993E-22</v>
      </c>
      <c r="E572" s="49">
        <f t="shared" si="112"/>
        <v>2.3687453248603818E-20</v>
      </c>
      <c r="F572" s="49">
        <f t="shared" si="112"/>
        <v>4.415124065067745E-19</v>
      </c>
      <c r="G572" s="49">
        <f t="shared" si="112"/>
        <v>6.5189103673919298E-18</v>
      </c>
      <c r="H572" s="49">
        <f t="shared" si="112"/>
        <v>7.9416073676853485E-17</v>
      </c>
      <c r="I572" s="49">
        <f t="shared" si="112"/>
        <v>8.2099873027841728E-16</v>
      </c>
      <c r="J572" s="49">
        <f t="shared" si="112"/>
        <v>7.3518556960608376E-15</v>
      </c>
      <c r="K572" s="49">
        <f t="shared" si="112"/>
        <v>5.7926363002477974E-14</v>
      </c>
      <c r="L572" s="49">
        <f t="shared" si="113"/>
        <v>4.0657481999835288E-13</v>
      </c>
      <c r="M572" s="49">
        <f t="shared" si="113"/>
        <v>2.5675550341250041E-12</v>
      </c>
      <c r="N572" s="49">
        <f t="shared" si="113"/>
        <v>1.470902567386654E-11</v>
      </c>
      <c r="O572" s="49">
        <f t="shared" si="113"/>
        <v>7.6970712245388626E-11</v>
      </c>
      <c r="P572" s="49">
        <f t="shared" si="113"/>
        <v>3.7007413430994563E-10</v>
      </c>
      <c r="Q572" s="49">
        <f t="shared" si="113"/>
        <v>1.6430946318014148E-9</v>
      </c>
      <c r="R572" s="49">
        <f t="shared" si="113"/>
        <v>6.7662812871591455E-9</v>
      </c>
      <c r="S572" s="49">
        <f t="shared" si="113"/>
        <v>2.594302690467536E-8</v>
      </c>
      <c r="T572" s="49">
        <f t="shared" si="113"/>
        <v>9.2928924675906762E-8</v>
      </c>
      <c r="U572" s="49">
        <f t="shared" si="113"/>
        <v>3.1192939405696142E-7</v>
      </c>
      <c r="V572" s="49">
        <f t="shared" si="113"/>
        <v>9.8382222143510138E-7</v>
      </c>
      <c r="W572" s="47">
        <v>0.43099999999999999</v>
      </c>
    </row>
    <row r="573" spans="2:23" x14ac:dyDescent="0.25">
      <c r="B573" s="49">
        <f t="shared" ref="B573:K582" si="114">_xlfn.HYPGEOM.DIST(B$2,comau,tongtheN*$W573,tongtheN,TRUE)</f>
        <v>3.8559732152520573E-25</v>
      </c>
      <c r="C573" s="49">
        <f t="shared" si="114"/>
        <v>2.9478728916157391E-23</v>
      </c>
      <c r="D573" s="49">
        <f t="shared" si="114"/>
        <v>1.1160310815632979E-21</v>
      </c>
      <c r="E573" s="49">
        <f t="shared" si="114"/>
        <v>2.789593330180993E-20</v>
      </c>
      <c r="F573" s="49">
        <f t="shared" si="114"/>
        <v>5.1786962587277815E-19</v>
      </c>
      <c r="G573" s="49">
        <f t="shared" si="114"/>
        <v>7.6156825341854525E-18</v>
      </c>
      <c r="H573" s="49">
        <f t="shared" si="114"/>
        <v>9.2405945451494121E-17</v>
      </c>
      <c r="I573" s="49">
        <f t="shared" si="114"/>
        <v>9.5146574886940478E-16</v>
      </c>
      <c r="J573" s="49">
        <f t="shared" si="114"/>
        <v>8.4861053857954165E-15</v>
      </c>
      <c r="K573" s="49">
        <f t="shared" si="114"/>
        <v>6.659631649890128E-14</v>
      </c>
      <c r="L573" s="49">
        <f t="shared" ref="L573:V582" si="115">_xlfn.HYPGEOM.DIST(L$2,comau,tongtheN*$W573,tongtheN,TRUE)</f>
        <v>4.6556335613337764E-13</v>
      </c>
      <c r="M573" s="49">
        <f t="shared" si="115"/>
        <v>2.928359917553192E-12</v>
      </c>
      <c r="N573" s="49">
        <f t="shared" si="115"/>
        <v>1.6709257924023077E-11</v>
      </c>
      <c r="O573" s="49">
        <f t="shared" si="115"/>
        <v>8.7090281876742348E-11</v>
      </c>
      <c r="P573" s="49">
        <f t="shared" si="115"/>
        <v>4.170675812727169E-10</v>
      </c>
      <c r="Q573" s="49">
        <f t="shared" si="115"/>
        <v>1.8444062949362091E-9</v>
      </c>
      <c r="R573" s="49">
        <f t="shared" si="115"/>
        <v>7.5652528722590008E-9</v>
      </c>
      <c r="S573" s="49">
        <f t="shared" si="115"/>
        <v>2.8891945097268252E-8</v>
      </c>
      <c r="T573" s="49">
        <f t="shared" si="115"/>
        <v>1.0308452070574504E-7</v>
      </c>
      <c r="U573" s="49">
        <f t="shared" si="115"/>
        <v>3.4465873843622747E-7</v>
      </c>
      <c r="V573" s="49">
        <f t="shared" si="115"/>
        <v>1.0827906998894899E-6</v>
      </c>
      <c r="W573" s="47">
        <v>0.43</v>
      </c>
    </row>
    <row r="574" spans="2:23" x14ac:dyDescent="0.25">
      <c r="B574" s="49">
        <f t="shared" si="114"/>
        <v>4.594780514099997E-25</v>
      </c>
      <c r="C574" s="49">
        <f t="shared" si="114"/>
        <v>3.4985672125841246E-23</v>
      </c>
      <c r="D574" s="49">
        <f t="shared" si="114"/>
        <v>1.3191966130871773E-21</v>
      </c>
      <c r="E574" s="49">
        <f t="shared" si="114"/>
        <v>3.2841806571264308E-20</v>
      </c>
      <c r="F574" s="49">
        <f t="shared" si="114"/>
        <v>6.0724046310664621E-19</v>
      </c>
      <c r="G574" s="49">
        <f t="shared" si="114"/>
        <v>8.8941513908679545E-18</v>
      </c>
      <c r="H574" s="49">
        <f t="shared" si="114"/>
        <v>1.0748612828943219E-16</v>
      </c>
      <c r="I574" s="49">
        <f t="shared" si="114"/>
        <v>1.1023106002579988E-15</v>
      </c>
      <c r="J574" s="49">
        <f t="shared" si="114"/>
        <v>9.7921753221384928E-15</v>
      </c>
      <c r="K574" s="49">
        <f t="shared" si="114"/>
        <v>7.6538975429270523E-14</v>
      </c>
      <c r="L574" s="49">
        <f t="shared" si="115"/>
        <v>5.3293566057903072E-13</v>
      </c>
      <c r="M574" s="49">
        <f t="shared" si="115"/>
        <v>3.3387663891819085E-12</v>
      </c>
      <c r="N574" s="49">
        <f t="shared" si="115"/>
        <v>1.8975207432186516E-11</v>
      </c>
      <c r="O574" s="49">
        <f t="shared" si="115"/>
        <v>9.8507488364717285E-11</v>
      </c>
      <c r="P574" s="49">
        <f t="shared" si="115"/>
        <v>4.6987113154610719E-10</v>
      </c>
      <c r="Q574" s="49">
        <f t="shared" si="115"/>
        <v>2.0696863625671749E-9</v>
      </c>
      <c r="R574" s="49">
        <f t="shared" si="115"/>
        <v>8.455710327359247E-9</v>
      </c>
      <c r="S574" s="49">
        <f t="shared" si="115"/>
        <v>3.2165145332241838E-8</v>
      </c>
      <c r="T574" s="49">
        <f t="shared" si="115"/>
        <v>1.143109921182337E-7</v>
      </c>
      <c r="U574" s="49">
        <f t="shared" si="115"/>
        <v>3.8069196662702364E-7</v>
      </c>
      <c r="V574" s="49">
        <f t="shared" si="115"/>
        <v>1.1913059480848313E-6</v>
      </c>
      <c r="W574" s="47">
        <v>0.42899999999999999</v>
      </c>
    </row>
    <row r="575" spans="2:23" x14ac:dyDescent="0.25">
      <c r="B575" s="49">
        <f t="shared" si="114"/>
        <v>5.4734645653514558E-25</v>
      </c>
      <c r="C575" s="49">
        <f t="shared" si="114"/>
        <v>4.150854862241443E-23</v>
      </c>
      <c r="D575" s="49">
        <f t="shared" si="114"/>
        <v>1.5588621441591832E-21</v>
      </c>
      <c r="E575" s="49">
        <f t="shared" si="114"/>
        <v>3.8652467374952801E-20</v>
      </c>
      <c r="F575" s="49">
        <f t="shared" si="114"/>
        <v>7.1181004166960186E-19</v>
      </c>
      <c r="G575" s="49">
        <f t="shared" si="114"/>
        <v>1.0383946949497323E-17</v>
      </c>
      <c r="H575" s="49">
        <f t="shared" si="114"/>
        <v>1.2498742065308735E-16</v>
      </c>
      <c r="I575" s="49">
        <f t="shared" si="114"/>
        <v>1.2766602160830968E-15</v>
      </c>
      <c r="J575" s="49">
        <f t="shared" si="114"/>
        <v>1.1295607795042869E-14</v>
      </c>
      <c r="K575" s="49">
        <f t="shared" si="114"/>
        <v>8.793745763519778E-14</v>
      </c>
      <c r="L575" s="49">
        <f t="shared" si="115"/>
        <v>6.0985806951819511E-13</v>
      </c>
      <c r="M575" s="49">
        <f t="shared" si="115"/>
        <v>3.8054393776912305E-12</v>
      </c>
      <c r="N575" s="49">
        <f t="shared" si="115"/>
        <v>2.154131987069986E-11</v>
      </c>
      <c r="O575" s="49">
        <f t="shared" si="115"/>
        <v>1.1138441729312623E-10</v>
      </c>
      <c r="P575" s="49">
        <f t="shared" si="115"/>
        <v>5.2918312981523051E-10</v>
      </c>
      <c r="Q575" s="49">
        <f t="shared" si="115"/>
        <v>2.3217029866318577E-9</v>
      </c>
      <c r="R575" s="49">
        <f t="shared" si="115"/>
        <v>9.4477900775611019E-9</v>
      </c>
      <c r="S575" s="49">
        <f t="shared" si="115"/>
        <v>3.5797037732768886E-8</v>
      </c>
      <c r="T575" s="49">
        <f t="shared" si="115"/>
        <v>1.2671696031286435E-7</v>
      </c>
      <c r="U575" s="49">
        <f t="shared" si="115"/>
        <v>4.2034875587268636E-7</v>
      </c>
      <c r="V575" s="49">
        <f t="shared" si="115"/>
        <v>1.3102470982514649E-6</v>
      </c>
      <c r="W575" s="47">
        <v>0.42799999999999999</v>
      </c>
    </row>
    <row r="576" spans="2:23" x14ac:dyDescent="0.25">
      <c r="B576" s="49">
        <f t="shared" si="114"/>
        <v>6.5181911859251513E-25</v>
      </c>
      <c r="C576" s="49">
        <f t="shared" si="114"/>
        <v>4.9232419927436072E-23</v>
      </c>
      <c r="D576" s="49">
        <f t="shared" si="114"/>
        <v>1.8414980977808851E-21</v>
      </c>
      <c r="E576" s="49">
        <f t="shared" si="114"/>
        <v>4.5477006201005076E-20</v>
      </c>
      <c r="F576" s="49">
        <f t="shared" si="114"/>
        <v>8.3412486651167046E-19</v>
      </c>
      <c r="G576" s="49">
        <f t="shared" si="114"/>
        <v>1.2119453952713719E-17</v>
      </c>
      <c r="H576" s="49">
        <f t="shared" si="114"/>
        <v>1.45292082925367E-16</v>
      </c>
      <c r="I576" s="49">
        <f t="shared" si="114"/>
        <v>1.4781126876989649E-15</v>
      </c>
      <c r="J576" s="49">
        <f t="shared" si="114"/>
        <v>1.30256690756215E-14</v>
      </c>
      <c r="K576" s="49">
        <f t="shared" si="114"/>
        <v>1.0100068664230551E-13</v>
      </c>
      <c r="L576" s="49">
        <f t="shared" si="115"/>
        <v>6.9765560912589784E-13</v>
      </c>
      <c r="M576" s="49">
        <f t="shared" si="115"/>
        <v>4.3359182452970127E-12</v>
      </c>
      <c r="N576" s="49">
        <f t="shared" si="115"/>
        <v>2.4446392934681055E-11</v>
      </c>
      <c r="O576" s="49">
        <f t="shared" si="115"/>
        <v>1.2590284647448794E-10</v>
      </c>
      <c r="P576" s="49">
        <f t="shared" si="115"/>
        <v>5.9578337709552159E-10</v>
      </c>
      <c r="Q576" s="49">
        <f t="shared" si="115"/>
        <v>2.6035337707499274E-9</v>
      </c>
      <c r="R576" s="49">
        <f t="shared" si="115"/>
        <v>1.0552712477452153E-8</v>
      </c>
      <c r="S576" s="49">
        <f t="shared" si="115"/>
        <v>3.9825544706559775E-8</v>
      </c>
      <c r="T576" s="49">
        <f t="shared" si="115"/>
        <v>1.4042160445189468E-7</v>
      </c>
      <c r="U576" s="49">
        <f t="shared" si="115"/>
        <v>4.6397829263250783E-7</v>
      </c>
      <c r="V576" s="49">
        <f t="shared" si="115"/>
        <v>1.4405701194288296E-6</v>
      </c>
      <c r="W576" s="47">
        <v>0.42699999999999999</v>
      </c>
    </row>
    <row r="577" spans="2:23" x14ac:dyDescent="0.25">
      <c r="B577" s="49">
        <f t="shared" si="114"/>
        <v>7.7599618302345141E-25</v>
      </c>
      <c r="C577" s="49">
        <f t="shared" si="114"/>
        <v>5.8375629225750751E-23</v>
      </c>
      <c r="D577" s="49">
        <f t="shared" si="114"/>
        <v>2.1747064997395261E-21</v>
      </c>
      <c r="E577" s="49">
        <f t="shared" si="114"/>
        <v>5.3489851353083756E-20</v>
      </c>
      <c r="F577" s="49">
        <f t="shared" si="114"/>
        <v>9.7715167343074826E-19</v>
      </c>
      <c r="G577" s="49">
        <f t="shared" si="114"/>
        <v>1.414056241233537E-17</v>
      </c>
      <c r="H577" s="49">
        <f t="shared" si="114"/>
        <v>1.6884170399864682E-16</v>
      </c>
      <c r="I577" s="49">
        <f t="shared" si="114"/>
        <v>1.7108069405059965E-15</v>
      </c>
      <c r="J577" s="49">
        <f t="shared" si="114"/>
        <v>1.5015881563671771E-14</v>
      </c>
      <c r="K577" s="49">
        <f t="shared" si="114"/>
        <v>1.1596695072550741E-13</v>
      </c>
      <c r="L577" s="49">
        <f t="shared" si="115"/>
        <v>7.9783309142734501E-13</v>
      </c>
      <c r="M577" s="49">
        <f t="shared" si="115"/>
        <v>4.9387286751381512E-12</v>
      </c>
      <c r="N577" s="49">
        <f t="shared" si="115"/>
        <v>2.7734111488297475E-11</v>
      </c>
      <c r="O577" s="49">
        <f t="shared" si="115"/>
        <v>1.422665689801254E-10</v>
      </c>
      <c r="P577" s="49">
        <f t="shared" si="115"/>
        <v>6.7054233172314655E-10</v>
      </c>
      <c r="Q577" s="49">
        <f t="shared" si="115"/>
        <v>2.918599168838234E-9</v>
      </c>
      <c r="R577" s="49">
        <f t="shared" si="115"/>
        <v>1.1782893323999596E-8</v>
      </c>
      <c r="S577" s="49">
        <f t="shared" si="115"/>
        <v>4.4292444446431778E-8</v>
      </c>
      <c r="T577" s="49">
        <f t="shared" si="115"/>
        <v>1.5555564000427313E-7</v>
      </c>
      <c r="U577" s="49">
        <f t="shared" si="115"/>
        <v>5.1196185534145427E-7</v>
      </c>
      <c r="V577" s="49">
        <f t="shared" si="115"/>
        <v>1.5833141415059665E-6</v>
      </c>
      <c r="W577" s="47">
        <v>0.42599999999999999</v>
      </c>
    </row>
    <row r="578" spans="2:23" x14ac:dyDescent="0.25">
      <c r="B578" s="49">
        <f t="shared" si="114"/>
        <v>9.2354963838317786E-25</v>
      </c>
      <c r="C578" s="49">
        <f t="shared" si="114"/>
        <v>6.919570978533347E-23</v>
      </c>
      <c r="D578" s="49">
        <f t="shared" si="114"/>
        <v>2.5674161866615503E-21</v>
      </c>
      <c r="E578" s="49">
        <f t="shared" si="114"/>
        <v>6.2895012859942675E-20</v>
      </c>
      <c r="F578" s="49">
        <f t="shared" si="114"/>
        <v>1.1443457118327521E-18</v>
      </c>
      <c r="G578" s="49">
        <f t="shared" si="114"/>
        <v>1.6493534642088525E-17</v>
      </c>
      <c r="H578" s="49">
        <f t="shared" si="114"/>
        <v>1.9614624887807322E-16</v>
      </c>
      <c r="I578" s="49">
        <f t="shared" si="114"/>
        <v>1.9795025141515946E-15</v>
      </c>
      <c r="J578" s="49">
        <f t="shared" si="114"/>
        <v>1.7304630411094665E-14</v>
      </c>
      <c r="K578" s="49">
        <f t="shared" si="114"/>
        <v>1.3310794193163671E-13</v>
      </c>
      <c r="L578" s="49">
        <f t="shared" si="115"/>
        <v>9.1209894724483013E-13</v>
      </c>
      <c r="M578" s="49">
        <f t="shared" si="115"/>
        <v>5.6235085021756426E-12</v>
      </c>
      <c r="N578" s="49">
        <f t="shared" si="115"/>
        <v>3.1453646648823111E-11</v>
      </c>
      <c r="O578" s="49">
        <f t="shared" si="115"/>
        <v>1.6070398171288159E-10</v>
      </c>
      <c r="P578" s="49">
        <f t="shared" si="115"/>
        <v>7.544313142565369E-10</v>
      </c>
      <c r="Q578" s="49">
        <f t="shared" si="115"/>
        <v>3.270699352846475E-9</v>
      </c>
      <c r="R578" s="49">
        <f t="shared" si="115"/>
        <v>1.3152066362663946E-8</v>
      </c>
      <c r="S578" s="49">
        <f t="shared" si="115"/>
        <v>4.924374645677548E-8</v>
      </c>
      <c r="T578" s="49">
        <f t="shared" si="115"/>
        <v>1.7226238321450426E-7</v>
      </c>
      <c r="U578" s="49">
        <f t="shared" si="115"/>
        <v>5.647156096993149E-7</v>
      </c>
      <c r="V578" s="49">
        <f t="shared" si="115"/>
        <v>1.7396082639615792E-6</v>
      </c>
      <c r="W578" s="47">
        <v>0.42499999999999999</v>
      </c>
    </row>
    <row r="579" spans="2:23" x14ac:dyDescent="0.25">
      <c r="B579" s="49">
        <f t="shared" si="114"/>
        <v>1.0988275143117194E-24</v>
      </c>
      <c r="C579" s="49">
        <f t="shared" si="114"/>
        <v>8.1996328643931279E-23</v>
      </c>
      <c r="D579" s="49">
        <f t="shared" si="114"/>
        <v>3.0301112234407071E-21</v>
      </c>
      <c r="E579" s="49">
        <f t="shared" si="114"/>
        <v>7.3931026764633722E-20</v>
      </c>
      <c r="F579" s="49">
        <f t="shared" si="114"/>
        <v>1.339729948883228E-18</v>
      </c>
      <c r="G579" s="49">
        <f t="shared" si="114"/>
        <v>1.9232006556435425E-17</v>
      </c>
      <c r="H579" s="49">
        <f t="shared" si="114"/>
        <v>2.2779446134418618E-16</v>
      </c>
      <c r="I579" s="49">
        <f t="shared" si="114"/>
        <v>2.2896708853587943E-15</v>
      </c>
      <c r="J579" s="49">
        <f t="shared" si="114"/>
        <v>1.9935854821252616E-14</v>
      </c>
      <c r="K579" s="49">
        <f t="shared" si="114"/>
        <v>1.5273333828209289E-13</v>
      </c>
      <c r="L579" s="49">
        <f t="shared" si="115"/>
        <v>1.0423921423920984E-12</v>
      </c>
      <c r="M579" s="49">
        <f t="shared" si="115"/>
        <v>6.4011491773272544E-12</v>
      </c>
      <c r="N579" s="49">
        <f t="shared" si="115"/>
        <v>3.5660326216316038E-11</v>
      </c>
      <c r="O579" s="49">
        <f t="shared" si="115"/>
        <v>1.8147096886237039E-10</v>
      </c>
      <c r="P579" s="49">
        <f t="shared" si="115"/>
        <v>8.4853382176324541E-10</v>
      </c>
      <c r="Q579" s="49">
        <f t="shared" si="115"/>
        <v>3.6640548950181119E-9</v>
      </c>
      <c r="R579" s="49">
        <f t="shared" si="115"/>
        <v>1.4675417819870761E-8</v>
      </c>
      <c r="S579" s="49">
        <f t="shared" si="115"/>
        <v>5.4730101933209931E-8</v>
      </c>
      <c r="T579" s="49">
        <f t="shared" si="115"/>
        <v>1.9069890858020549E-7</v>
      </c>
      <c r="U579" s="49">
        <f t="shared" si="115"/>
        <v>6.2269363273081258E-7</v>
      </c>
      <c r="V579" s="49">
        <f t="shared" si="115"/>
        <v>1.9106788833091674E-6</v>
      </c>
      <c r="W579" s="47">
        <v>0.42399999999999999</v>
      </c>
    </row>
    <row r="580" spans="2:23" x14ac:dyDescent="0.25">
      <c r="B580" s="49">
        <f t="shared" si="114"/>
        <v>1.3069768330570613E-24</v>
      </c>
      <c r="C580" s="49">
        <f t="shared" si="114"/>
        <v>9.7135444574656745E-23</v>
      </c>
      <c r="D580" s="49">
        <f t="shared" si="114"/>
        <v>3.5750981005540489E-21</v>
      </c>
      <c r="E580" s="49">
        <f t="shared" si="114"/>
        <v>8.687671364966197E-20</v>
      </c>
      <c r="F580" s="49">
        <f t="shared" si="114"/>
        <v>1.5679869139173119E-18</v>
      </c>
      <c r="G580" s="49">
        <f t="shared" si="114"/>
        <v>2.241814367102476E-17</v>
      </c>
      <c r="H580" s="49">
        <f t="shared" si="114"/>
        <v>2.6446582088234649E-16</v>
      </c>
      <c r="I580" s="49">
        <f t="shared" si="114"/>
        <v>2.6475999702124768E-15</v>
      </c>
      <c r="J580" s="49">
        <f t="shared" si="114"/>
        <v>2.2959835590100154E-14</v>
      </c>
      <c r="K580" s="49">
        <f t="shared" si="114"/>
        <v>1.7519600050342997E-13</v>
      </c>
      <c r="L580" s="49">
        <f t="shared" si="115"/>
        <v>1.1909125658847555E-12</v>
      </c>
      <c r="M580" s="49">
        <f t="shared" si="115"/>
        <v>7.2839547533057318E-12</v>
      </c>
      <c r="N580" s="49">
        <f t="shared" si="115"/>
        <v>4.0416384687053239E-11</v>
      </c>
      <c r="O580" s="49">
        <f t="shared" si="115"/>
        <v>2.048541127065321E-10</v>
      </c>
      <c r="P580" s="49">
        <f t="shared" si="115"/>
        <v>9.5405806759481706E-10</v>
      </c>
      <c r="Q580" s="49">
        <f t="shared" si="115"/>
        <v>4.1033516428748101E-9</v>
      </c>
      <c r="R580" s="49">
        <f t="shared" si="115"/>
        <v>1.6369734086885438E-8</v>
      </c>
      <c r="S580" s="49">
        <f t="shared" si="115"/>
        <v>6.0807252056823864E-8</v>
      </c>
      <c r="T580" s="49">
        <f t="shared" si="115"/>
        <v>2.1103730696335581E-7</v>
      </c>
      <c r="U580" s="49">
        <f t="shared" si="115"/>
        <v>6.86391182988746E-7</v>
      </c>
      <c r="V580" s="49">
        <f t="shared" si="115"/>
        <v>2.0978575753719396E-6</v>
      </c>
      <c r="W580" s="47">
        <v>0.42299999999999999</v>
      </c>
    </row>
    <row r="581" spans="2:23" x14ac:dyDescent="0.25">
      <c r="B581" s="49">
        <f t="shared" si="114"/>
        <v>1.5540886480697553E-24</v>
      </c>
      <c r="C581" s="49">
        <f t="shared" si="114"/>
        <v>1.1503488988448228E-22</v>
      </c>
      <c r="D581" s="49">
        <f t="shared" si="114"/>
        <v>4.2168182028860816E-21</v>
      </c>
      <c r="E581" s="49">
        <f t="shared" si="114"/>
        <v>1.0205788348136348E-19</v>
      </c>
      <c r="F581" s="49">
        <f t="shared" si="114"/>
        <v>1.8345651680756532E-18</v>
      </c>
      <c r="G581" s="49">
        <f t="shared" si="114"/>
        <v>2.6123975295870928E-17</v>
      </c>
      <c r="H581" s="49">
        <f t="shared" si="114"/>
        <v>3.0694428181524658E-16</v>
      </c>
      <c r="I581" s="49">
        <f t="shared" si="114"/>
        <v>3.060513670065299E-15</v>
      </c>
      <c r="J581" s="49">
        <f t="shared" si="114"/>
        <v>2.643409199934231E-14</v>
      </c>
      <c r="K581" s="49">
        <f t="shared" si="114"/>
        <v>2.0089786377661689E-13</v>
      </c>
      <c r="L581" s="49">
        <f t="shared" si="115"/>
        <v>1.3601553266423209E-12</v>
      </c>
      <c r="M581" s="49">
        <f t="shared" si="115"/>
        <v>8.2858205020194926E-12</v>
      </c>
      <c r="N581" s="49">
        <f t="shared" si="115"/>
        <v>4.5791802008945426E-11</v>
      </c>
      <c r="O581" s="49">
        <f t="shared" si="115"/>
        <v>2.3117426766656571E-10</v>
      </c>
      <c r="P581" s="49">
        <f t="shared" si="115"/>
        <v>1.0723508744026834E-9</v>
      </c>
      <c r="Q581" s="49">
        <f t="shared" si="115"/>
        <v>4.5937902008644019E-9</v>
      </c>
      <c r="R581" s="49">
        <f t="shared" si="115"/>
        <v>1.8253563779725286E-8</v>
      </c>
      <c r="S581" s="49">
        <f t="shared" si="115"/>
        <v>6.7536517516426591E-8</v>
      </c>
      <c r="T581" s="49">
        <f t="shared" si="115"/>
        <v>2.3346605253853048E-7</v>
      </c>
      <c r="U581" s="49">
        <f t="shared" si="115"/>
        <v>7.5634823547209532E-7</v>
      </c>
      <c r="V581" s="49">
        <f t="shared" si="115"/>
        <v>2.302589570744546E-6</v>
      </c>
      <c r="W581" s="47">
        <v>0.42199999999999999</v>
      </c>
    </row>
    <row r="582" spans="2:23" x14ac:dyDescent="0.25">
      <c r="B582" s="49">
        <f t="shared" si="114"/>
        <v>1.8473690883439909E-24</v>
      </c>
      <c r="C582" s="49">
        <f t="shared" si="114"/>
        <v>1.361916212819322E-22</v>
      </c>
      <c r="D582" s="49">
        <f t="shared" si="114"/>
        <v>4.972213112893416E-21</v>
      </c>
      <c r="E582" s="49">
        <f t="shared" si="114"/>
        <v>1.1985513995639067E-19</v>
      </c>
      <c r="F582" s="49">
        <f t="shared" si="114"/>
        <v>2.1458026907397977E-18</v>
      </c>
      <c r="G582" s="49">
        <f t="shared" si="114"/>
        <v>3.0432933916538722E-17</v>
      </c>
      <c r="H582" s="49">
        <f t="shared" si="114"/>
        <v>3.5613405536543936E-16</v>
      </c>
      <c r="I582" s="49">
        <f t="shared" si="114"/>
        <v>3.5367085834615359E-15</v>
      </c>
      <c r="J582" s="49">
        <f t="shared" si="114"/>
        <v>3.0424402917670198E-14</v>
      </c>
      <c r="K582" s="49">
        <f t="shared" si="114"/>
        <v>2.3029661527965992E-13</v>
      </c>
      <c r="L582" s="49">
        <f t="shared" si="115"/>
        <v>1.5529494485508295E-12</v>
      </c>
      <c r="M582" s="49">
        <f t="shared" si="115"/>
        <v>9.422433519903047E-12</v>
      </c>
      <c r="N582" s="49">
        <f t="shared" si="115"/>
        <v>5.1865241256356846E-11</v>
      </c>
      <c r="O582" s="49">
        <f t="shared" si="115"/>
        <v>2.6079053731599042E-10</v>
      </c>
      <c r="P582" s="49">
        <f t="shared" si="115"/>
        <v>1.2049130609137365E-9</v>
      </c>
      <c r="Q582" s="49">
        <f t="shared" si="115"/>
        <v>5.1411404715533998E-9</v>
      </c>
      <c r="R582" s="49">
        <f t="shared" si="115"/>
        <v>2.0347395507580315E-8</v>
      </c>
      <c r="S582" s="49">
        <f t="shared" si="115"/>
        <v>7.4985332843393425E-8</v>
      </c>
      <c r="T582" s="49">
        <f t="shared" si="115"/>
        <v>2.5819148739985334E-7</v>
      </c>
      <c r="U582" s="49">
        <f t="shared" si="115"/>
        <v>8.3315330110352387E-7</v>
      </c>
      <c r="V582" s="49">
        <f t="shared" si="115"/>
        <v>2.5264428641432838E-6</v>
      </c>
      <c r="W582" s="47">
        <v>0.42099999999999999</v>
      </c>
    </row>
    <row r="583" spans="2:23" x14ac:dyDescent="0.25">
      <c r="B583" s="49">
        <f t="shared" ref="B583:K592" si="116">_xlfn.HYPGEOM.DIST(B$2,comau,tongtheN*$W583,tongtheN,TRUE)</f>
        <v>2.1953410137555303E-24</v>
      </c>
      <c r="C583" s="49">
        <f t="shared" si="116"/>
        <v>1.6119092672678082E-22</v>
      </c>
      <c r="D583" s="49">
        <f t="shared" si="116"/>
        <v>5.8611515563656618E-21</v>
      </c>
      <c r="E583" s="49">
        <f t="shared" si="116"/>
        <v>1.4071296195084378E-19</v>
      </c>
      <c r="F583" s="49">
        <f t="shared" si="116"/>
        <v>2.5090698275128903E-18</v>
      </c>
      <c r="G583" s="49">
        <f t="shared" si="116"/>
        <v>3.5441630776009639E-17</v>
      </c>
      <c r="H583" s="49">
        <f t="shared" si="116"/>
        <v>4.1307773278968374E-16</v>
      </c>
      <c r="I583" s="49">
        <f t="shared" si="116"/>
        <v>4.0857102997107095E-15</v>
      </c>
      <c r="J583" s="49">
        <f t="shared" si="116"/>
        <v>3.5005968938949531E-14</v>
      </c>
      <c r="K583" s="49">
        <f t="shared" si="116"/>
        <v>2.6391325986250397E-13</v>
      </c>
      <c r="L583" s="49">
        <f t="shared" ref="L583:V592" si="117">_xlfn.HYPGEOM.DIST(L$2,comau,tongtheN*$W583,tongtheN,TRUE)</f>
        <v>1.7725015134939308E-12</v>
      </c>
      <c r="M583" s="49">
        <f t="shared" si="117"/>
        <v>1.0711497951948328E-11</v>
      </c>
      <c r="N583" s="49">
        <f t="shared" si="117"/>
        <v>5.872509653024013E-11</v>
      </c>
      <c r="O583" s="49">
        <f t="shared" si="117"/>
        <v>2.9410469822275634E-10</v>
      </c>
      <c r="P583" s="49">
        <f t="shared" si="117"/>
        <v>1.3534164769650823E-9</v>
      </c>
      <c r="Q583" s="49">
        <f t="shared" si="117"/>
        <v>5.7518017516443553E-9</v>
      </c>
      <c r="R583" s="49">
        <f t="shared" si="117"/>
        <v>2.2673852798935952E-8</v>
      </c>
      <c r="S583" s="49">
        <f t="shared" si="117"/>
        <v>8.3227829435394216E-8</v>
      </c>
      <c r="T583" s="49">
        <f t="shared" si="117"/>
        <v>2.8543943330852836E-7</v>
      </c>
      <c r="U583" s="49">
        <f t="shared" si="117"/>
        <v>9.1744755195916064E-7</v>
      </c>
      <c r="V583" s="49">
        <f t="shared" si="117"/>
        <v>2.7711180008110087E-6</v>
      </c>
      <c r="W583" s="47">
        <v>0.42</v>
      </c>
    </row>
    <row r="584" spans="2:23" x14ac:dyDescent="0.25">
      <c r="B584" s="49">
        <f t="shared" si="116"/>
        <v>2.6080816920039507E-24</v>
      </c>
      <c r="C584" s="49">
        <f t="shared" si="116"/>
        <v>1.9072192383820749E-22</v>
      </c>
      <c r="D584" s="49">
        <f t="shared" si="116"/>
        <v>6.9069282465927423E-21</v>
      </c>
      <c r="E584" s="49">
        <f t="shared" si="116"/>
        <v>1.6515026792212676E-19</v>
      </c>
      <c r="F584" s="49">
        <f t="shared" si="116"/>
        <v>2.9329348511792431E-18</v>
      </c>
      <c r="G584" s="49">
        <f t="shared" si="116"/>
        <v>4.1261903274311136E-17</v>
      </c>
      <c r="H584" s="49">
        <f t="shared" si="116"/>
        <v>4.7897709040494604E-16</v>
      </c>
      <c r="I584" s="49">
        <f t="shared" si="116"/>
        <v>4.7184520226252506E-15</v>
      </c>
      <c r="J584" s="49">
        <f t="shared" si="116"/>
        <v>4.0264734614851591E-14</v>
      </c>
      <c r="K584" s="49">
        <f t="shared" si="116"/>
        <v>3.0234068919204706E-13</v>
      </c>
      <c r="L584" s="49">
        <f t="shared" si="117"/>
        <v>2.0224448687737267E-12</v>
      </c>
      <c r="M584" s="49">
        <f t="shared" si="117"/>
        <v>1.2172987770532706E-11</v>
      </c>
      <c r="N584" s="49">
        <f t="shared" si="117"/>
        <v>6.6470663638720053E-11</v>
      </c>
      <c r="O584" s="49">
        <f t="shared" si="117"/>
        <v>3.3156611910327879E-10</v>
      </c>
      <c r="P584" s="49">
        <f t="shared" si="117"/>
        <v>1.5197228566054695E-9</v>
      </c>
      <c r="Q584" s="49">
        <f t="shared" si="117"/>
        <v>6.4328689242579185E-9</v>
      </c>
      <c r="R584" s="49">
        <f t="shared" si="117"/>
        <v>2.5257907760880363E-8</v>
      </c>
      <c r="S584" s="49">
        <f t="shared" si="117"/>
        <v>9.2345471458755319E-8</v>
      </c>
      <c r="T584" s="49">
        <f t="shared" si="117"/>
        <v>3.1545694076785417E-7</v>
      </c>
      <c r="U584" s="49">
        <f t="shared" si="117"/>
        <v>1.0099292748727003E-6</v>
      </c>
      <c r="V584" s="49">
        <f t="shared" si="117"/>
        <v>3.0384585857302066E-6</v>
      </c>
      <c r="W584" s="47">
        <v>0.41899999999999998</v>
      </c>
    </row>
    <row r="585" spans="2:23" x14ac:dyDescent="0.25">
      <c r="B585" s="49">
        <f t="shared" si="116"/>
        <v>3.097502852189341E-24</v>
      </c>
      <c r="C585" s="49">
        <f t="shared" si="116"/>
        <v>2.2559574224440227E-22</v>
      </c>
      <c r="D585" s="49">
        <f t="shared" si="116"/>
        <v>8.1368465647455281E-21</v>
      </c>
      <c r="E585" s="49">
        <f t="shared" si="116"/>
        <v>1.937727017863183E-19</v>
      </c>
      <c r="F585" s="49">
        <f t="shared" si="116"/>
        <v>3.4273556552501948E-18</v>
      </c>
      <c r="G585" s="49">
        <f t="shared" si="116"/>
        <v>4.8023175078586549E-17</v>
      </c>
      <c r="H585" s="49">
        <f t="shared" si="116"/>
        <v>5.5521696599226971E-16</v>
      </c>
      <c r="I585" s="49">
        <f t="shared" si="116"/>
        <v>5.4474786506909808E-15</v>
      </c>
      <c r="J585" s="49">
        <f t="shared" si="116"/>
        <v>4.6298892356179205E-14</v>
      </c>
      <c r="K585" s="49">
        <f t="shared" si="116"/>
        <v>3.4625338431212897E-13</v>
      </c>
      <c r="L585" s="49">
        <f t="shared" si="117"/>
        <v>2.3068950900439352E-12</v>
      </c>
      <c r="M585" s="49">
        <f t="shared" si="117"/>
        <v>1.3829430384753332E-11</v>
      </c>
      <c r="N585" s="49">
        <f t="shared" si="117"/>
        <v>7.5213447495357262E-11</v>
      </c>
      <c r="O585" s="49">
        <f t="shared" si="117"/>
        <v>3.7367722882965551E-10</v>
      </c>
      <c r="P585" s="49">
        <f t="shared" si="117"/>
        <v>1.7059046758220708E-9</v>
      </c>
      <c r="Q585" s="49">
        <f t="shared" si="117"/>
        <v>7.1922053391363129E-9</v>
      </c>
      <c r="R585" s="49">
        <f t="shared" si="117"/>
        <v>2.8127115183651815E-8</v>
      </c>
      <c r="S585" s="49">
        <f t="shared" si="117"/>
        <v>1.0242774915613074E-7</v>
      </c>
      <c r="T585" s="49">
        <f t="shared" si="117"/>
        <v>3.4851418636468589E-7</v>
      </c>
      <c r="U585" s="49">
        <f t="shared" si="117"/>
        <v>1.1113586775477796E-6</v>
      </c>
      <c r="V585" s="49">
        <f t="shared" si="117"/>
        <v>3.3304625641112856E-6</v>
      </c>
      <c r="W585" s="47">
        <v>0.41799999999999998</v>
      </c>
    </row>
    <row r="586" spans="2:23" x14ac:dyDescent="0.25">
      <c r="B586" s="49">
        <f t="shared" si="116"/>
        <v>3.6776805772518895E-24</v>
      </c>
      <c r="C586" s="49">
        <f t="shared" si="116"/>
        <v>2.6676684854939951E-22</v>
      </c>
      <c r="D586" s="49">
        <f t="shared" si="116"/>
        <v>9.5828989681470608E-21</v>
      </c>
      <c r="E586" s="49">
        <f t="shared" si="116"/>
        <v>2.2728691657182507E-19</v>
      </c>
      <c r="F586" s="49">
        <f t="shared" si="116"/>
        <v>4.0039016385005826E-18</v>
      </c>
      <c r="G586" s="49">
        <f t="shared" si="116"/>
        <v>5.5875175878956107E-17</v>
      </c>
      <c r="H586" s="49">
        <f t="shared" si="116"/>
        <v>6.4339265154214162E-16</v>
      </c>
      <c r="I586" s="49">
        <f t="shared" si="116"/>
        <v>6.2871798684981056E-15</v>
      </c>
      <c r="J586" s="49">
        <f t="shared" si="116"/>
        <v>5.3220592418361659E-14</v>
      </c>
      <c r="K586" s="49">
        <f t="shared" si="116"/>
        <v>3.9641839797180264E-13</v>
      </c>
      <c r="L586" s="49">
        <f t="shared" si="117"/>
        <v>2.6305124743682797E-12</v>
      </c>
      <c r="M586" s="49">
        <f t="shared" si="117"/>
        <v>1.5706224733610586E-11</v>
      </c>
      <c r="N586" s="49">
        <f t="shared" si="117"/>
        <v>8.5078621701117076E-11</v>
      </c>
      <c r="O586" s="49">
        <f t="shared" si="117"/>
        <v>4.2099959239977977E-10</v>
      </c>
      <c r="P586" s="49">
        <f t="shared" si="117"/>
        <v>1.9142682197768132E-9</v>
      </c>
      <c r="Q586" s="49">
        <f t="shared" si="117"/>
        <v>8.0385230270425792E-9</v>
      </c>
      <c r="R586" s="49">
        <f t="shared" si="117"/>
        <v>3.1311868950095159E-8</v>
      </c>
      <c r="S586" s="49">
        <f t="shared" si="117"/>
        <v>1.1357293444783362E-7</v>
      </c>
      <c r="T586" s="49">
        <f t="shared" si="117"/>
        <v>3.8490653011793466E-7</v>
      </c>
      <c r="U586" s="49">
        <f t="shared" si="117"/>
        <v>1.2225630729126359E-6</v>
      </c>
      <c r="V586" s="49">
        <f t="shared" si="117"/>
        <v>3.6492943244675441E-6</v>
      </c>
      <c r="W586" s="47">
        <v>0.41699999999999998</v>
      </c>
    </row>
    <row r="587" spans="2:23" x14ac:dyDescent="0.25">
      <c r="B587" s="49">
        <f t="shared" si="116"/>
        <v>4.3652437951792023E-24</v>
      </c>
      <c r="C587" s="49">
        <f t="shared" si="116"/>
        <v>3.1535804993552528E-22</v>
      </c>
      <c r="D587" s="49">
        <f t="shared" si="116"/>
        <v>1.1282561287126981E-20</v>
      </c>
      <c r="E587" s="49">
        <f t="shared" si="116"/>
        <v>2.6651717581793616E-19</v>
      </c>
      <c r="F587" s="49">
        <f t="shared" si="116"/>
        <v>4.6760104587819452E-18</v>
      </c>
      <c r="G587" s="49">
        <f t="shared" si="116"/>
        <v>6.4991074644913887E-17</v>
      </c>
      <c r="H587" s="49">
        <f t="shared" si="116"/>
        <v>7.4534131052788339E-16</v>
      </c>
      <c r="I587" s="49">
        <f t="shared" si="116"/>
        <v>7.2540562902814412E-15</v>
      </c>
      <c r="J587" s="49">
        <f t="shared" si="116"/>
        <v>6.1157886593097111E-14</v>
      </c>
      <c r="K587" s="49">
        <f t="shared" si="116"/>
        <v>4.5370778150114421E-13</v>
      </c>
      <c r="L587" s="49">
        <f t="shared" si="117"/>
        <v>2.9985724312996193E-12</v>
      </c>
      <c r="M587" s="49">
        <f t="shared" si="117"/>
        <v>1.7831997936116371E-11</v>
      </c>
      <c r="N587" s="49">
        <f t="shared" si="117"/>
        <v>9.6206657466330152E-11</v>
      </c>
      <c r="O587" s="49">
        <f t="shared" si="117"/>
        <v>4.7416066010452987E-10</v>
      </c>
      <c r="P587" s="49">
        <f t="shared" si="117"/>
        <v>2.1473790844750117E-9</v>
      </c>
      <c r="Q587" s="49">
        <f t="shared" si="117"/>
        <v>8.9814709540038237E-9</v>
      </c>
      <c r="R587" s="49">
        <f t="shared" si="117"/>
        <v>3.4845682769196123E-8</v>
      </c>
      <c r="S587" s="49">
        <f t="shared" si="117"/>
        <v>1.2588890410352994E-7</v>
      </c>
      <c r="T587" s="49">
        <f t="shared" si="117"/>
        <v>4.2495674542984885E-7</v>
      </c>
      <c r="U587" s="49">
        <f t="shared" si="117"/>
        <v>1.3444424691428333E-6</v>
      </c>
      <c r="V587" s="49">
        <f t="shared" si="117"/>
        <v>3.9972976785667558E-6</v>
      </c>
      <c r="W587" s="47">
        <v>0.41599999999999998</v>
      </c>
    </row>
    <row r="588" spans="2:23" x14ac:dyDescent="0.25">
      <c r="B588" s="49">
        <f t="shared" si="116"/>
        <v>5.1798316493857679E-24</v>
      </c>
      <c r="C588" s="49">
        <f t="shared" si="116"/>
        <v>3.7268980262736067E-22</v>
      </c>
      <c r="D588" s="49">
        <f t="shared" si="116"/>
        <v>1.3279719705426345E-20</v>
      </c>
      <c r="E588" s="49">
        <f t="shared" si="116"/>
        <v>3.1242464314847841E-19</v>
      </c>
      <c r="F588" s="49">
        <f t="shared" si="116"/>
        <v>5.459285047372982E-18</v>
      </c>
      <c r="G588" s="49">
        <f t="shared" si="116"/>
        <v>7.5571088157701282E-17</v>
      </c>
      <c r="H588" s="49">
        <f t="shared" si="116"/>
        <v>8.6317799991965326E-16</v>
      </c>
      <c r="I588" s="49">
        <f t="shared" si="116"/>
        <v>8.3670232474488343E-15</v>
      </c>
      <c r="J588" s="49">
        <f t="shared" si="116"/>
        <v>7.0256936845600002E-14</v>
      </c>
      <c r="K588" s="49">
        <f t="shared" si="116"/>
        <v>5.1911264169821606E-13</v>
      </c>
      <c r="L588" s="49">
        <f t="shared" si="117"/>
        <v>3.4170447440600609E-12</v>
      </c>
      <c r="M588" s="49">
        <f t="shared" si="117"/>
        <v>2.0239005037778751E-11</v>
      </c>
      <c r="N588" s="49">
        <f t="shared" si="117"/>
        <v>1.0875514089705338E-10</v>
      </c>
      <c r="O588" s="49">
        <f t="shared" si="117"/>
        <v>5.3386126185697E-10</v>
      </c>
      <c r="P588" s="49">
        <f t="shared" si="117"/>
        <v>2.4080903596917802E-9</v>
      </c>
      <c r="Q588" s="49">
        <f t="shared" si="117"/>
        <v>1.0031732085564086E-8</v>
      </c>
      <c r="R588" s="49">
        <f t="shared" si="117"/>
        <v>3.8765497425093424E-8</v>
      </c>
      <c r="S588" s="49">
        <f t="shared" si="117"/>
        <v>1.3949403617746062E-7</v>
      </c>
      <c r="T588" s="49">
        <f t="shared" si="117"/>
        <v>4.6901743514540598E-7</v>
      </c>
      <c r="U588" s="49">
        <f t="shared" si="117"/>
        <v>1.4779755945640425E-6</v>
      </c>
      <c r="V588" s="49">
        <f t="shared" si="117"/>
        <v>4.3770097756688267E-6</v>
      </c>
      <c r="W588" s="47">
        <v>0.41499999999999998</v>
      </c>
    </row>
    <row r="589" spans="2:23" x14ac:dyDescent="0.25">
      <c r="B589" s="49">
        <f t="shared" si="116"/>
        <v>6.1446318097773599E-24</v>
      </c>
      <c r="C589" s="49">
        <f t="shared" si="116"/>
        <v>4.40314556628181E-22</v>
      </c>
      <c r="D589" s="49">
        <f t="shared" si="116"/>
        <v>1.5625752276550669E-20</v>
      </c>
      <c r="E589" s="49">
        <f t="shared" si="116"/>
        <v>3.6612978874604518E-19</v>
      </c>
      <c r="F589" s="49">
        <f t="shared" si="116"/>
        <v>6.3718370949111965E-18</v>
      </c>
      <c r="G589" s="49">
        <f t="shared" si="116"/>
        <v>8.7846635658386703E-17</v>
      </c>
      <c r="H589" s="49">
        <f t="shared" si="116"/>
        <v>9.9933695918298479E-16</v>
      </c>
      <c r="I589" s="49">
        <f t="shared" si="116"/>
        <v>9.6477574364965647E-15</v>
      </c>
      <c r="J589" s="49">
        <f t="shared" si="116"/>
        <v>8.0684524216865697E-14</v>
      </c>
      <c r="K589" s="49">
        <f t="shared" si="116"/>
        <v>5.937590364027499E-13</v>
      </c>
      <c r="L589" s="49">
        <f t="shared" si="117"/>
        <v>3.8926827892271648E-12</v>
      </c>
      <c r="M589" s="49">
        <f t="shared" si="117"/>
        <v>2.2963576910937325E-11</v>
      </c>
      <c r="N589" s="49">
        <f t="shared" si="117"/>
        <v>1.2290079973424306E-10</v>
      </c>
      <c r="O589" s="49">
        <f t="shared" si="117"/>
        <v>6.0088392604550491E-10</v>
      </c>
      <c r="P589" s="49">
        <f t="shared" si="117"/>
        <v>2.699573763911564E-9</v>
      </c>
      <c r="Q589" s="49">
        <f t="shared" si="117"/>
        <v>1.1201130101286123E-8</v>
      </c>
      <c r="R589" s="49">
        <f t="shared" si="117"/>
        <v>4.3112016918887633E-8</v>
      </c>
      <c r="S589" s="49">
        <f t="shared" si="117"/>
        <v>1.5451818584707817E-7</v>
      </c>
      <c r="T589" s="49">
        <f t="shared" si="117"/>
        <v>5.1747364819465043E-7</v>
      </c>
      <c r="U589" s="49">
        <f t="shared" si="117"/>
        <v>1.624226388534737E-6</v>
      </c>
      <c r="V589" s="49">
        <f t="shared" si="117"/>
        <v>4.7911760117149927E-6</v>
      </c>
      <c r="W589" s="47">
        <v>0.41399999999999998</v>
      </c>
    </row>
    <row r="590" spans="2:23" x14ac:dyDescent="0.25">
      <c r="B590" s="49">
        <f t="shared" si="116"/>
        <v>7.2870138718241431E-24</v>
      </c>
      <c r="C590" s="49">
        <f t="shared" si="116"/>
        <v>5.2005699075331252E-22</v>
      </c>
      <c r="D590" s="49">
        <f t="shared" si="116"/>
        <v>1.8380790376059642E-20</v>
      </c>
      <c r="E590" s="49">
        <f t="shared" si="116"/>
        <v>4.2893840877824187E-19</v>
      </c>
      <c r="F590" s="49">
        <f t="shared" si="116"/>
        <v>7.4346841622825436E-18</v>
      </c>
      <c r="G590" s="49">
        <f t="shared" si="116"/>
        <v>1.0208512082127539E-16</v>
      </c>
      <c r="H590" s="49">
        <f t="shared" si="116"/>
        <v>1.1566189219014359E-15</v>
      </c>
      <c r="I590" s="49">
        <f t="shared" si="116"/>
        <v>1.1121092351320349E-14</v>
      </c>
      <c r="J590" s="49">
        <f t="shared" si="116"/>
        <v>9.2630897910192207E-14</v>
      </c>
      <c r="K590" s="49">
        <f t="shared" si="116"/>
        <v>6.7892594347193736E-13</v>
      </c>
      <c r="L590" s="49">
        <f t="shared" si="117"/>
        <v>4.4331239331603805E-12</v>
      </c>
      <c r="M590" s="49">
        <f t="shared" si="117"/>
        <v>2.6046621941577657E-11</v>
      </c>
      <c r="N590" s="49">
        <f t="shared" si="117"/>
        <v>1.3884176291365803E-10</v>
      </c>
      <c r="O590" s="49">
        <f t="shared" si="117"/>
        <v>6.7610211039664692E-10</v>
      </c>
      <c r="P590" s="49">
        <f t="shared" si="117"/>
        <v>3.0253540281736246E-9</v>
      </c>
      <c r="Q590" s="49">
        <f t="shared" si="117"/>
        <v>1.2502746675820875E-8</v>
      </c>
      <c r="R590" s="49">
        <f t="shared" si="117"/>
        <v>4.7930076081155528E-8</v>
      </c>
      <c r="S590" s="49">
        <f t="shared" si="117"/>
        <v>1.7110374727359069E-7</v>
      </c>
      <c r="T590" s="49">
        <f t="shared" si="117"/>
        <v>5.7074571232319379E-7</v>
      </c>
      <c r="U590" s="49">
        <f t="shared" si="117"/>
        <v>1.7843509913981896E-6</v>
      </c>
      <c r="V590" s="49">
        <f t="shared" si="117"/>
        <v>5.2427659975424571E-6</v>
      </c>
      <c r="W590" s="47">
        <v>0.41299999999999998</v>
      </c>
    </row>
    <row r="591" spans="2:23" x14ac:dyDescent="0.25">
      <c r="B591" s="49">
        <f t="shared" si="116"/>
        <v>8.6392744329486585E-24</v>
      </c>
      <c r="C591" s="49">
        <f t="shared" si="116"/>
        <v>6.1406113487677629E-22</v>
      </c>
      <c r="D591" s="49">
        <f t="shared" si="116"/>
        <v>2.1615189604941598E-20</v>
      </c>
      <c r="E591" s="49">
        <f t="shared" si="116"/>
        <v>5.0237183155998882E-19</v>
      </c>
      <c r="F591" s="49">
        <f t="shared" si="116"/>
        <v>8.6722086527286625E-18</v>
      </c>
      <c r="G591" s="49">
        <f t="shared" si="116"/>
        <v>1.18595434122057E-16</v>
      </c>
      <c r="H591" s="49">
        <f t="shared" si="116"/>
        <v>1.3382453119665339E-15</v>
      </c>
      <c r="I591" s="49">
        <f t="shared" si="116"/>
        <v>1.2815469225399765E-14</v>
      </c>
      <c r="J591" s="49">
        <f t="shared" si="116"/>
        <v>1.0631300966572267E-13</v>
      </c>
      <c r="K591" s="49">
        <f t="shared" si="116"/>
        <v>7.760655670754494E-13</v>
      </c>
      <c r="L591" s="49">
        <f t="shared" si="117"/>
        <v>5.0470024682593468E-12</v>
      </c>
      <c r="M591" s="49">
        <f t="shared" si="117"/>
        <v>2.9534187773644508E-11</v>
      </c>
      <c r="N591" s="49">
        <f t="shared" si="117"/>
        <v>1.5680007883089819E-10</v>
      </c>
      <c r="O591" s="49">
        <f t="shared" si="117"/>
        <v>7.6049044125296338E-10</v>
      </c>
      <c r="P591" s="49">
        <f t="shared" si="117"/>
        <v>3.3893468542458589E-9</v>
      </c>
      <c r="Q591" s="49">
        <f t="shared" si="117"/>
        <v>1.395105032542906E-8</v>
      </c>
      <c r="R591" s="49">
        <f t="shared" si="117"/>
        <v>5.3269042449373821E-8</v>
      </c>
      <c r="S591" s="49">
        <f t="shared" si="117"/>
        <v>1.8940680861560874E-7</v>
      </c>
      <c r="T591" s="49">
        <f t="shared" si="117"/>
        <v>6.2929229951234193E-7</v>
      </c>
      <c r="U591" s="49">
        <f t="shared" si="117"/>
        <v>1.9596052686928385E-6</v>
      </c>
      <c r="V591" s="49">
        <f t="shared" si="117"/>
        <v>5.7349906537513869E-6</v>
      </c>
      <c r="W591" s="47">
        <v>0.41199999999999998</v>
      </c>
    </row>
    <row r="592" spans="2:23" x14ac:dyDescent="0.25">
      <c r="B592" s="49">
        <f t="shared" si="116"/>
        <v>1.0239513293736403E-23</v>
      </c>
      <c r="C592" s="49">
        <f t="shared" si="116"/>
        <v>7.2484554278439473E-22</v>
      </c>
      <c r="D592" s="49">
        <f t="shared" si="116"/>
        <v>2.5411244431380841E-20</v>
      </c>
      <c r="E592" s="49">
        <f t="shared" si="116"/>
        <v>5.882019739588275E-19</v>
      </c>
      <c r="F592" s="49">
        <f t="shared" si="116"/>
        <v>1.011268812543888E-17</v>
      </c>
      <c r="G592" s="49">
        <f t="shared" si="116"/>
        <v>1.3773428223010171E-16</v>
      </c>
      <c r="H592" s="49">
        <f t="shared" si="116"/>
        <v>1.5479203072349868E-15</v>
      </c>
      <c r="I592" s="49">
        <f t="shared" si="116"/>
        <v>1.4763451116856836E-14</v>
      </c>
      <c r="J592" s="49">
        <f t="shared" si="116"/>
        <v>1.2197818436822374E-13</v>
      </c>
      <c r="K592" s="49">
        <f t="shared" si="116"/>
        <v>8.8682627796468826E-13</v>
      </c>
      <c r="L592" s="49">
        <f t="shared" si="117"/>
        <v>5.7440766137081861E-12</v>
      </c>
      <c r="M592" s="49">
        <f t="shared" si="117"/>
        <v>3.3478090090179954E-11</v>
      </c>
      <c r="N592" s="49">
        <f t="shared" si="117"/>
        <v>1.7702452097336904E-10</v>
      </c>
      <c r="O592" s="49">
        <f t="shared" si="117"/>
        <v>8.5513606746110133E-10</v>
      </c>
      <c r="P592" s="49">
        <f t="shared" si="117"/>
        <v>3.7959008036865218E-9</v>
      </c>
      <c r="Q592" s="49">
        <f t="shared" si="117"/>
        <v>1.5562037908385105E-8</v>
      </c>
      <c r="R592" s="49">
        <f t="shared" si="117"/>
        <v>5.9183255437629723E-8</v>
      </c>
      <c r="S592" s="49">
        <f t="shared" si="117"/>
        <v>2.0959840787606809E-7</v>
      </c>
      <c r="T592" s="49">
        <f t="shared" si="117"/>
        <v>6.9361374185485741E-7</v>
      </c>
      <c r="U592" s="49">
        <f t="shared" si="117"/>
        <v>2.1513529070207801E-6</v>
      </c>
      <c r="V592" s="49">
        <f t="shared" si="117"/>
        <v>6.2713205035563337E-6</v>
      </c>
      <c r="W592" s="47">
        <v>0.41099999999999998</v>
      </c>
    </row>
    <row r="593" spans="2:23" x14ac:dyDescent="0.25">
      <c r="B593" s="49">
        <f t="shared" ref="B593:K602" si="118">_xlfn.HYPGEOM.DIST(B$2,comau,tongtheN*$W593,tongtheN,TRUE)</f>
        <v>1.2134377468647127E-23</v>
      </c>
      <c r="C593" s="49">
        <f t="shared" si="118"/>
        <v>8.5548579902091467E-22</v>
      </c>
      <c r="D593" s="49">
        <f t="shared" si="118"/>
        <v>2.9869202408066355E-20</v>
      </c>
      <c r="E593" s="49">
        <f t="shared" si="118"/>
        <v>6.8858226236585021E-19</v>
      </c>
      <c r="F593" s="49">
        <f t="shared" si="118"/>
        <v>1.179041319051238E-17</v>
      </c>
      <c r="G593" s="49">
        <f t="shared" si="118"/>
        <v>1.5993334446086867E-16</v>
      </c>
      <c r="H593" s="49">
        <f t="shared" si="118"/>
        <v>1.7901183278239472E-15</v>
      </c>
      <c r="I593" s="49">
        <f t="shared" si="118"/>
        <v>1.7004307267802548E-14</v>
      </c>
      <c r="J593" s="49">
        <f t="shared" si="118"/>
        <v>1.3992425703908177E-13</v>
      </c>
      <c r="K593" s="49">
        <f t="shared" si="118"/>
        <v>1.0131907627827046E-12</v>
      </c>
      <c r="L593" s="49">
        <f t="shared" ref="L593:V602" si="119">_xlfn.HYPGEOM.DIST(L$2,comau,tongtheN*$W593,tongtheN,TRUE)</f>
        <v>6.5360733458522659E-12</v>
      </c>
      <c r="M593" s="49">
        <f t="shared" si="119"/>
        <v>3.7940563930270693E-11</v>
      </c>
      <c r="N593" s="49">
        <f t="shared" si="119"/>
        <v>1.998138324574468E-10</v>
      </c>
      <c r="O593" s="49">
        <f t="shared" si="119"/>
        <v>9.6134482363318992E-10</v>
      </c>
      <c r="P593" s="49">
        <f t="shared" si="119"/>
        <v>4.2502430066817455E-9</v>
      </c>
      <c r="Q593" s="49">
        <f t="shared" si="119"/>
        <v>1.735496326939605E-8</v>
      </c>
      <c r="R593" s="49">
        <f t="shared" si="119"/>
        <v>6.573824645859381E-8</v>
      </c>
      <c r="S593" s="49">
        <f t="shared" si="119"/>
        <v>2.3188537552245611E-7</v>
      </c>
      <c r="T593" s="49">
        <f t="shared" si="119"/>
        <v>7.6431728264437125E-7</v>
      </c>
      <c r="U593" s="49">
        <f t="shared" si="119"/>
        <v>2.3612568217549106E-6</v>
      </c>
      <c r="V593" s="49">
        <f t="shared" si="119"/>
        <v>6.8560131201681244E-6</v>
      </c>
      <c r="W593" s="47">
        <v>0.41</v>
      </c>
    </row>
    <row r="594" spans="2:23" x14ac:dyDescent="0.25">
      <c r="B594" s="49">
        <f t="shared" si="118"/>
        <v>1.4373729211402447E-23</v>
      </c>
      <c r="C594" s="49">
        <f t="shared" si="118"/>
        <v>1.0092393371531763E-21</v>
      </c>
      <c r="D594" s="49">
        <f t="shared" si="118"/>
        <v>3.5094222064637033E-20</v>
      </c>
      <c r="E594" s="49">
        <f t="shared" si="118"/>
        <v>8.0574897897602731E-19</v>
      </c>
      <c r="F594" s="49">
        <f t="shared" si="118"/>
        <v>1.3740619129055585E-17</v>
      </c>
      <c r="G594" s="49">
        <f t="shared" si="118"/>
        <v>1.8563127613931842E-16</v>
      </c>
      <c r="H594" s="49">
        <f t="shared" si="118"/>
        <v>2.0693328416496702E-15</v>
      </c>
      <c r="I594" s="49">
        <f t="shared" si="118"/>
        <v>1.9576984102006304E-14</v>
      </c>
      <c r="J594" s="49">
        <f t="shared" si="118"/>
        <v>1.6044270634916519E-13</v>
      </c>
      <c r="K594" s="49">
        <f t="shared" si="118"/>
        <v>1.1570719456994978E-12</v>
      </c>
      <c r="L594" s="49">
        <f t="shared" si="119"/>
        <v>7.4341351217956595E-12</v>
      </c>
      <c r="M594" s="49">
        <f t="shared" si="119"/>
        <v>4.2979772780005734E-11</v>
      </c>
      <c r="N594" s="49">
        <f t="shared" si="119"/>
        <v>2.2544224643074649E-10</v>
      </c>
      <c r="O594" s="49">
        <f t="shared" si="119"/>
        <v>1.0802921539204335E-9</v>
      </c>
      <c r="P594" s="49">
        <f t="shared" si="119"/>
        <v>4.7569784764752694E-9</v>
      </c>
      <c r="Q594" s="49">
        <f t="shared" si="119"/>
        <v>1.9346389774118976E-8</v>
      </c>
      <c r="R594" s="49">
        <f t="shared" si="119"/>
        <v>7.2988914466422873E-8</v>
      </c>
      <c r="S594" s="49">
        <f t="shared" si="119"/>
        <v>2.5643589843883531E-7</v>
      </c>
      <c r="T594" s="49">
        <f t="shared" si="119"/>
        <v>8.4188031359024558E-7</v>
      </c>
      <c r="U594" s="49">
        <f t="shared" si="119"/>
        <v>2.5905747392994196E-6</v>
      </c>
      <c r="V594" s="49">
        <f t="shared" si="119"/>
        <v>7.4921475505838282E-6</v>
      </c>
      <c r="W594" s="47">
        <v>0.40899999999999997</v>
      </c>
    </row>
    <row r="595" spans="2:23" x14ac:dyDescent="0.25">
      <c r="B595" s="49">
        <f t="shared" si="118"/>
        <v>1.7021469870651242E-23</v>
      </c>
      <c r="C595" s="49">
        <f t="shared" si="118"/>
        <v>1.1902822275766529E-21</v>
      </c>
      <c r="D595" s="49">
        <f t="shared" si="118"/>
        <v>4.1221216860179624E-20</v>
      </c>
      <c r="E595" s="49">
        <f t="shared" si="118"/>
        <v>9.4257448688033837E-19</v>
      </c>
      <c r="F595" s="49">
        <f t="shared" si="118"/>
        <v>1.600863719660105E-17</v>
      </c>
      <c r="G595" s="49">
        <f t="shared" si="118"/>
        <v>2.1539364065908128E-16</v>
      </c>
      <c r="H595" s="49">
        <f t="shared" si="118"/>
        <v>2.391373330097365E-15</v>
      </c>
      <c r="I595" s="49">
        <f t="shared" si="118"/>
        <v>2.2532007667509405E-14</v>
      </c>
      <c r="J595" s="49">
        <f t="shared" si="118"/>
        <v>1.8391326753584746E-13</v>
      </c>
      <c r="K595" s="49">
        <f t="shared" si="118"/>
        <v>1.3209746665210201E-12</v>
      </c>
      <c r="L595" s="49">
        <f t="shared" si="119"/>
        <v>8.4529413712394105E-12</v>
      </c>
      <c r="M595" s="49">
        <f t="shared" si="119"/>
        <v>4.8672901080324336E-11</v>
      </c>
      <c r="N595" s="49">
        <f t="shared" si="119"/>
        <v>2.5427682233646814E-10</v>
      </c>
      <c r="O595" s="49">
        <f t="shared" si="119"/>
        <v>1.2135674822689739E-9</v>
      </c>
      <c r="P595" s="49">
        <f t="shared" si="119"/>
        <v>5.3224094449326894E-9</v>
      </c>
      <c r="Q595" s="49">
        <f t="shared" si="119"/>
        <v>2.1559310179910957E-8</v>
      </c>
      <c r="R595" s="49">
        <f t="shared" si="119"/>
        <v>8.1012763602982346E-8</v>
      </c>
      <c r="S595" s="49">
        <f t="shared" si="119"/>
        <v>2.8349221707453895E-7</v>
      </c>
      <c r="T595" s="49">
        <f t="shared" si="119"/>
        <v>9.2700704402234696E-7</v>
      </c>
      <c r="U595" s="49">
        <f t="shared" si="119"/>
        <v>2.8412159005450632E-6</v>
      </c>
      <c r="V595" s="49">
        <f t="shared" si="119"/>
        <v>8.1845626501193344E-6</v>
      </c>
      <c r="W595" s="47">
        <v>0.40799999999999997</v>
      </c>
    </row>
    <row r="596" spans="2:23" x14ac:dyDescent="0.25">
      <c r="B596" s="49">
        <f t="shared" si="118"/>
        <v>2.0151191257271871E-23</v>
      </c>
      <c r="C596" s="49">
        <f t="shared" si="118"/>
        <v>1.4033970090990274E-21</v>
      </c>
      <c r="D596" s="49">
        <f t="shared" si="118"/>
        <v>4.8403813453785031E-20</v>
      </c>
      <c r="E596" s="49">
        <f t="shared" si="118"/>
        <v>1.1023105210538484E-18</v>
      </c>
      <c r="F596" s="49">
        <f t="shared" si="118"/>
        <v>1.8645479780373083E-17</v>
      </c>
      <c r="G596" s="49">
        <f t="shared" si="118"/>
        <v>2.498529834244522E-16</v>
      </c>
      <c r="H596" s="49">
        <f t="shared" si="118"/>
        <v>2.7626963721286981E-15</v>
      </c>
      <c r="I596" s="49">
        <f t="shared" si="118"/>
        <v>2.59251668648023E-14</v>
      </c>
      <c r="J596" s="49">
        <f t="shared" si="118"/>
        <v>2.1075240936345422E-13</v>
      </c>
      <c r="K596" s="49">
        <f t="shared" si="118"/>
        <v>1.5076268945797887E-12</v>
      </c>
      <c r="L596" s="49">
        <f t="shared" si="119"/>
        <v>9.6083629640105943E-12</v>
      </c>
      <c r="M596" s="49">
        <f t="shared" si="119"/>
        <v>5.5102763996177632E-11</v>
      </c>
      <c r="N596" s="49">
        <f t="shared" si="119"/>
        <v>2.867082580027921E-10</v>
      </c>
      <c r="O596" s="49">
        <f t="shared" si="119"/>
        <v>1.3628483773413877E-9</v>
      </c>
      <c r="P596" s="49">
        <f t="shared" si="119"/>
        <v>5.953128458187552E-9</v>
      </c>
      <c r="Q596" s="49">
        <f t="shared" si="119"/>
        <v>2.4017548523366245E-8</v>
      </c>
      <c r="R596" s="49">
        <f t="shared" si="119"/>
        <v>8.9889285159184642E-8</v>
      </c>
      <c r="S596" s="49">
        <f t="shared" si="119"/>
        <v>3.1330006520034188E-7</v>
      </c>
      <c r="T596" s="49">
        <f t="shared" si="119"/>
        <v>1.020403357747615E-6</v>
      </c>
      <c r="U596" s="49">
        <f t="shared" si="119"/>
        <v>3.1150692380304229E-6</v>
      </c>
      <c r="V596" s="49">
        <f t="shared" si="119"/>
        <v>8.9379772570217804E-6</v>
      </c>
      <c r="W596" s="47">
        <v>0.40699999999999997</v>
      </c>
    </row>
    <row r="597" spans="2:23" x14ac:dyDescent="0.25">
      <c r="B597" s="49">
        <f t="shared" si="118"/>
        <v>2.3846241512229881E-23</v>
      </c>
      <c r="C597" s="49">
        <f t="shared" si="118"/>
        <v>1.6539672690901814E-21</v>
      </c>
      <c r="D597" s="49">
        <f t="shared" si="118"/>
        <v>5.6813865878173069E-20</v>
      </c>
      <c r="E597" s="49">
        <f t="shared" si="118"/>
        <v>1.2885712943767649E-18</v>
      </c>
      <c r="F597" s="49">
        <f t="shared" si="118"/>
        <v>2.1707471292674329E-17</v>
      </c>
      <c r="G597" s="49">
        <f t="shared" si="118"/>
        <v>2.8970295743147329E-16</v>
      </c>
      <c r="H597" s="49">
        <f t="shared" si="118"/>
        <v>3.1903323386425091E-15</v>
      </c>
      <c r="I597" s="49">
        <f t="shared" si="118"/>
        <v>2.9816763615144522E-14</v>
      </c>
      <c r="J597" s="49">
        <f t="shared" si="118"/>
        <v>2.4140685674568312E-13</v>
      </c>
      <c r="K597" s="49">
        <f t="shared" si="118"/>
        <v>1.7199314501594006E-12</v>
      </c>
      <c r="L597" s="49">
        <f t="shared" si="119"/>
        <v>1.0917146676867954E-11</v>
      </c>
      <c r="M597" s="49">
        <f t="shared" si="119"/>
        <v>6.2355976181650461E-11</v>
      </c>
      <c r="N597" s="49">
        <f t="shared" si="119"/>
        <v>3.231413565055452E-10</v>
      </c>
      <c r="O597" s="49">
        <f t="shared" si="119"/>
        <v>1.5298556669581672E-9</v>
      </c>
      <c r="P597" s="49">
        <f t="shared" si="119"/>
        <v>6.6558259173655759E-9</v>
      </c>
      <c r="Q597" s="49">
        <f t="shared" si="119"/>
        <v>2.6745004251640158E-8</v>
      </c>
      <c r="R597" s="49">
        <f t="shared" si="119"/>
        <v>9.9697225006173419E-8</v>
      </c>
      <c r="S597" s="49">
        <f t="shared" si="119"/>
        <v>3.4609953815516879E-7</v>
      </c>
      <c r="T597" s="49">
        <f t="shared" si="119"/>
        <v>1.1227484998708917E-6</v>
      </c>
      <c r="U597" s="49">
        <f t="shared" si="119"/>
        <v>3.4139216688241083E-6</v>
      </c>
      <c r="V597" s="49">
        <f t="shared" si="119"/>
        <v>9.7567701146043226E-6</v>
      </c>
      <c r="W597" s="47">
        <v>0.40600000000000003</v>
      </c>
    </row>
    <row r="598" spans="2:23" x14ac:dyDescent="0.25">
      <c r="B598" s="49">
        <f t="shared" si="118"/>
        <v>2.8214806886708561E-23</v>
      </c>
      <c r="C598" s="49">
        <f t="shared" si="118"/>
        <v>1.9489847941735397E-21</v>
      </c>
      <c r="D598" s="49">
        <f t="shared" si="118"/>
        <v>6.6674771395197545E-20</v>
      </c>
      <c r="E598" s="49">
        <f t="shared" si="118"/>
        <v>1.5060612977531049E-18</v>
      </c>
      <c r="F598" s="49">
        <f t="shared" si="118"/>
        <v>2.5268058976742709E-17</v>
      </c>
      <c r="G598" s="49">
        <f t="shared" si="118"/>
        <v>3.3585017819535588E-16</v>
      </c>
      <c r="H598" s="49">
        <f t="shared" si="118"/>
        <v>3.68349653448887E-15</v>
      </c>
      <c r="I598" s="49">
        <f t="shared" si="118"/>
        <v>3.4286119658943582E-14</v>
      </c>
      <c r="J598" s="49">
        <f t="shared" si="118"/>
        <v>2.7646673636156003E-13</v>
      </c>
      <c r="K598" s="49">
        <f t="shared" si="118"/>
        <v>1.9617424490727623E-12</v>
      </c>
      <c r="L598" s="49">
        <f t="shared" si="119"/>
        <v>1.2401661126435047E-11</v>
      </c>
      <c r="M598" s="49">
        <f t="shared" si="119"/>
        <v>7.0549047593505299E-11</v>
      </c>
      <c r="N598" s="49">
        <f t="shared" si="119"/>
        <v>3.6412516154443963E-10</v>
      </c>
      <c r="O598" s="49">
        <f t="shared" si="119"/>
        <v>1.7169460261722158E-9</v>
      </c>
      <c r="P598" s="49">
        <f t="shared" si="119"/>
        <v>7.4397683586933917E-9</v>
      </c>
      <c r="Q598" s="49">
        <f t="shared" si="119"/>
        <v>2.9775218370900852E-8</v>
      </c>
      <c r="R598" s="49">
        <f t="shared" si="119"/>
        <v>1.1054881098416908E-7</v>
      </c>
      <c r="S598" s="49">
        <f t="shared" si="119"/>
        <v>3.8223903507724714E-7</v>
      </c>
      <c r="T598" s="49">
        <f t="shared" si="119"/>
        <v>1.235049154303533E-6</v>
      </c>
      <c r="U598" s="49">
        <f t="shared" si="119"/>
        <v>3.7404881926604476E-6</v>
      </c>
      <c r="V598" s="49">
        <f t="shared" si="119"/>
        <v>1.0647792744520559E-5</v>
      </c>
      <c r="W598" s="47">
        <v>0.40500000000000003</v>
      </c>
    </row>
    <row r="599" spans="2:23" x14ac:dyDescent="0.25">
      <c r="B599" s="49">
        <f t="shared" si="118"/>
        <v>3.3374251592384414E-23</v>
      </c>
      <c r="C599" s="49">
        <f t="shared" si="118"/>
        <v>2.2959689301046308E-21</v>
      </c>
      <c r="D599" s="49">
        <f t="shared" si="118"/>
        <v>7.8224619750028661E-20</v>
      </c>
      <c r="E599" s="49">
        <f t="shared" si="118"/>
        <v>1.7597472768122305E-18</v>
      </c>
      <c r="F599" s="49">
        <f t="shared" si="118"/>
        <v>2.9404020885563497E-17</v>
      </c>
      <c r="G599" s="49">
        <f t="shared" si="118"/>
        <v>3.8923257578843792E-16</v>
      </c>
      <c r="H599" s="49">
        <f t="shared" si="118"/>
        <v>4.2516187129585704E-15</v>
      </c>
      <c r="I599" s="49">
        <f t="shared" si="118"/>
        <v>3.9413468168140539E-14</v>
      </c>
      <c r="J599" s="49">
        <f t="shared" si="118"/>
        <v>3.1652166701924064E-13</v>
      </c>
      <c r="K599" s="49">
        <f t="shared" si="118"/>
        <v>2.2368606316996845E-12</v>
      </c>
      <c r="L599" s="49">
        <f t="shared" si="119"/>
        <v>1.4083658645907291E-11</v>
      </c>
      <c r="M599" s="49">
        <f t="shared" si="119"/>
        <v>7.979358833612481E-11</v>
      </c>
      <c r="N599" s="49">
        <f t="shared" si="119"/>
        <v>4.1017716791393604E-10</v>
      </c>
      <c r="O599" s="49">
        <f t="shared" si="119"/>
        <v>1.926302004163074E-9</v>
      </c>
      <c r="P599" s="49">
        <f t="shared" si="119"/>
        <v>8.3133747702027293E-9</v>
      </c>
      <c r="Q599" s="49">
        <f t="shared" si="119"/>
        <v>3.3138030700538657E-8</v>
      </c>
      <c r="R599" s="49">
        <f t="shared" si="119"/>
        <v>1.2254160037847726E-7</v>
      </c>
      <c r="S599" s="49">
        <f t="shared" si="119"/>
        <v>4.2201372216052948E-7</v>
      </c>
      <c r="T599" s="49">
        <f t="shared" si="119"/>
        <v>1.3581340135709318E-6</v>
      </c>
      <c r="U599" s="49">
        <f t="shared" si="119"/>
        <v>4.0969325030577697E-6</v>
      </c>
      <c r="V599" s="49">
        <f t="shared" si="119"/>
        <v>1.1616307930474456E-5</v>
      </c>
      <c r="W599" s="47">
        <v>0.40400000000000003</v>
      </c>
    </row>
    <row r="600" spans="2:23" x14ac:dyDescent="0.25">
      <c r="B600" s="49">
        <f t="shared" si="118"/>
        <v>3.946605436540432E-23</v>
      </c>
      <c r="C600" s="49">
        <f t="shared" si="118"/>
        <v>2.7039582009783392E-21</v>
      </c>
      <c r="D600" s="49">
        <f t="shared" si="118"/>
        <v>9.1748821975876917E-20</v>
      </c>
      <c r="E600" s="49">
        <f t="shared" si="118"/>
        <v>2.0555676561460245E-18</v>
      </c>
      <c r="F600" s="49">
        <f t="shared" si="118"/>
        <v>3.4206930410149335E-17</v>
      </c>
      <c r="G600" s="49">
        <f t="shared" si="118"/>
        <v>4.5096626073702416E-16</v>
      </c>
      <c r="H600" s="49">
        <f t="shared" si="118"/>
        <v>4.9058964147017823E-15</v>
      </c>
      <c r="I600" s="49">
        <f t="shared" si="118"/>
        <v>4.5293903298897415E-14</v>
      </c>
      <c r="J600" s="49">
        <f t="shared" si="118"/>
        <v>3.6226932438571716E-13</v>
      </c>
      <c r="K600" s="49">
        <f t="shared" si="118"/>
        <v>2.5497770993121472E-12</v>
      </c>
      <c r="L600" s="49">
        <f t="shared" si="119"/>
        <v>1.5988815446813249E-11</v>
      </c>
      <c r="M600" s="49">
        <f t="shared" si="119"/>
        <v>9.0221250787192489E-11</v>
      </c>
      <c r="N600" s="49">
        <f t="shared" si="119"/>
        <v>4.6190763843087513E-10</v>
      </c>
      <c r="O600" s="49">
        <f t="shared" si="119"/>
        <v>2.1604980119395989E-9</v>
      </c>
      <c r="P600" s="49">
        <f t="shared" si="119"/>
        <v>9.2865839180999943E-9</v>
      </c>
      <c r="Q600" s="49">
        <f t="shared" si="119"/>
        <v>3.6868721440969923E-8</v>
      </c>
      <c r="R600" s="49">
        <f t="shared" si="119"/>
        <v>1.3579120971689954E-7</v>
      </c>
      <c r="S600" s="49">
        <f t="shared" si="119"/>
        <v>4.6577458594933852E-7</v>
      </c>
      <c r="T600" s="49">
        <f t="shared" si="119"/>
        <v>1.4929930323326153E-6</v>
      </c>
      <c r="U600" s="49">
        <f t="shared" si="119"/>
        <v>4.4858552069100378E-6</v>
      </c>
      <c r="V600" s="49">
        <f t="shared" si="119"/>
        <v>1.2668692063537818E-5</v>
      </c>
      <c r="W600" s="47">
        <v>0.40300000000000002</v>
      </c>
    </row>
    <row r="601" spans="2:23" x14ac:dyDescent="0.25">
      <c r="B601" s="49">
        <f t="shared" si="118"/>
        <v>4.6656699573934074E-23</v>
      </c>
      <c r="C601" s="49">
        <f t="shared" si="118"/>
        <v>3.1835431811907542E-21</v>
      </c>
      <c r="D601" s="49">
        <f t="shared" si="118"/>
        <v>1.0758036666231064E-19</v>
      </c>
      <c r="E601" s="49">
        <f t="shared" si="118"/>
        <v>2.4004210691435845E-18</v>
      </c>
      <c r="F601" s="49">
        <f t="shared" si="118"/>
        <v>3.9782710647466748E-17</v>
      </c>
      <c r="G601" s="49">
        <f t="shared" si="118"/>
        <v>5.2233667988496587E-16</v>
      </c>
      <c r="H601" s="49">
        <f t="shared" si="118"/>
        <v>5.6591703995289332E-15</v>
      </c>
      <c r="I601" s="49">
        <f t="shared" si="118"/>
        <v>5.2036002152344022E-14</v>
      </c>
      <c r="J601" s="49">
        <f t="shared" si="118"/>
        <v>4.1450284694282308E-13</v>
      </c>
      <c r="K601" s="49">
        <f t="shared" si="118"/>
        <v>2.9055752422685095E-12</v>
      </c>
      <c r="L601" s="49">
        <f t="shared" si="119"/>
        <v>1.8146066977669146E-11</v>
      </c>
      <c r="M601" s="49">
        <f t="shared" si="119"/>
        <v>1.0197974817705743E-10</v>
      </c>
      <c r="N601" s="49">
        <f t="shared" si="119"/>
        <v>5.1999826935023692E-10</v>
      </c>
      <c r="O601" s="49">
        <f t="shared" si="119"/>
        <v>2.4223970807219269E-9</v>
      </c>
      <c r="P601" s="49">
        <f t="shared" si="119"/>
        <v>1.0370399650471766E-8</v>
      </c>
      <c r="Q601" s="49">
        <f t="shared" si="119"/>
        <v>4.100617678075923E-8</v>
      </c>
      <c r="R601" s="49">
        <f t="shared" si="119"/>
        <v>1.5042449853547213E-7</v>
      </c>
      <c r="S601" s="49">
        <f t="shared" si="119"/>
        <v>5.1390499558221824E-7</v>
      </c>
      <c r="T601" s="49">
        <f t="shared" si="119"/>
        <v>1.6407025460248313E-6</v>
      </c>
      <c r="U601" s="49">
        <f t="shared" si="119"/>
        <v>4.9100707432186557E-6</v>
      </c>
      <c r="V601" s="49">
        <f t="shared" si="119"/>
        <v>1.3811813490931366E-5</v>
      </c>
      <c r="W601" s="47">
        <v>0.40200000000000002</v>
      </c>
    </row>
    <row r="602" spans="2:23" x14ac:dyDescent="0.25">
      <c r="B602" s="49">
        <f t="shared" si="118"/>
        <v>5.5142043436356615E-23</v>
      </c>
      <c r="C602" s="49">
        <f t="shared" si="118"/>
        <v>3.7471295739358217E-21</v>
      </c>
      <c r="D602" s="49">
        <f t="shared" si="118"/>
        <v>1.2610764204029213E-19</v>
      </c>
      <c r="E602" s="49">
        <f t="shared" si="118"/>
        <v>2.8023193363577137E-18</v>
      </c>
      <c r="F602" s="49">
        <f t="shared" si="118"/>
        <v>4.6253847625832587E-17</v>
      </c>
      <c r="G602" s="49">
        <f t="shared" si="118"/>
        <v>6.0482387406257551E-16</v>
      </c>
      <c r="H602" s="49">
        <f t="shared" si="118"/>
        <v>6.526161404700169E-15</v>
      </c>
      <c r="I602" s="49">
        <f t="shared" si="118"/>
        <v>5.9763699018668411E-14</v>
      </c>
      <c r="J602" s="49">
        <f t="shared" si="118"/>
        <v>4.7412362172863343E-13</v>
      </c>
      <c r="K602" s="49">
        <f t="shared" si="118"/>
        <v>3.3100070604803697E-12</v>
      </c>
      <c r="L602" s="49">
        <f t="shared" si="119"/>
        <v>2.0588011330303997E-11</v>
      </c>
      <c r="M602" s="49">
        <f t="shared" si="119"/>
        <v>1.1523476069557333E-10</v>
      </c>
      <c r="N602" s="49">
        <f t="shared" si="119"/>
        <v>5.8521030335021733E-10</v>
      </c>
      <c r="O602" s="49">
        <f t="shared" si="119"/>
        <v>2.7151821627565751E-9</v>
      </c>
      <c r="P602" s="49">
        <f t="shared" si="119"/>
        <v>1.1577000922449666E-8</v>
      </c>
      <c r="Q602" s="49">
        <f t="shared" si="119"/>
        <v>4.5593242730523844E-8</v>
      </c>
      <c r="R602" s="49">
        <f t="shared" si="119"/>
        <v>1.6658061393534839E-7</v>
      </c>
      <c r="S602" s="49">
        <f t="shared" si="119"/>
        <v>5.6682354085103409E-7</v>
      </c>
      <c r="T602" s="49">
        <f t="shared" si="119"/>
        <v>1.8024323811805962E-6</v>
      </c>
      <c r="U602" s="49">
        <f t="shared" si="119"/>
        <v>5.3726238282743765E-6</v>
      </c>
      <c r="V602" s="49">
        <f t="shared" si="119"/>
        <v>1.505306764137465E-5</v>
      </c>
      <c r="W602" s="47">
        <v>0.40100000000000002</v>
      </c>
    </row>
    <row r="603" spans="2:23" x14ac:dyDescent="0.25">
      <c r="B603" s="49">
        <f t="shared" ref="B603:K612" si="120">_xlfn.HYPGEOM.DIST(B$2,comau,tongtheN*$W603,tongtheN,TRUE)</f>
        <v>6.5152433331801925E-23</v>
      </c>
      <c r="C603" s="49">
        <f t="shared" si="120"/>
        <v>4.4092453015546835E-21</v>
      </c>
      <c r="D603" s="49">
        <f t="shared" si="120"/>
        <v>1.4778352612919306E-19</v>
      </c>
      <c r="E603" s="49">
        <f t="shared" si="120"/>
        <v>3.2705644511395034E-18</v>
      </c>
      <c r="F603" s="49">
        <f t="shared" si="120"/>
        <v>5.376193939114222E-17</v>
      </c>
      <c r="G603" s="49">
        <f t="shared" si="120"/>
        <v>7.0013143774087694E-16</v>
      </c>
      <c r="H603" s="49">
        <f t="shared" si="120"/>
        <v>7.5237403763237277E-15</v>
      </c>
      <c r="I603" s="49">
        <f t="shared" si="120"/>
        <v>6.8618414865709914E-14</v>
      </c>
      <c r="J603" s="49">
        <f t="shared" si="120"/>
        <v>5.4215574473513914E-13</v>
      </c>
      <c r="K603" s="49">
        <f t="shared" si="120"/>
        <v>3.7695790816598771E-12</v>
      </c>
      <c r="L603" s="49">
        <f t="shared" ref="L603:V612" si="121">_xlfn.HYPGEOM.DIST(L$2,comau,tongtheN*$W603,tongtheN,TRUE)</f>
        <v>2.3351361262370933E-11</v>
      </c>
      <c r="M603" s="49">
        <f t="shared" si="121"/>
        <v>1.3017206127096601E-10</v>
      </c>
      <c r="N603" s="49">
        <f t="shared" si="121"/>
        <v>6.5839353450911398E-10</v>
      </c>
      <c r="O603" s="49">
        <f t="shared" si="121"/>
        <v>3.0423907063579435E-9</v>
      </c>
      <c r="P603" s="49">
        <f t="shared" si="121"/>
        <v>1.2919862737303548E-8</v>
      </c>
      <c r="Q603" s="49">
        <f t="shared" si="121"/>
        <v>5.0677112131200031E-8</v>
      </c>
      <c r="R603" s="49">
        <f t="shared" si="121"/>
        <v>1.8441212729078247E-7</v>
      </c>
      <c r="S603" s="49">
        <f t="shared" si="121"/>
        <v>6.2498710463285767E-7</v>
      </c>
      <c r="T603" s="49">
        <f t="shared" si="121"/>
        <v>1.9794535119193E-6</v>
      </c>
      <c r="U603" s="49">
        <f t="shared" si="121"/>
        <v>5.8768070664147804E-6</v>
      </c>
      <c r="V603" s="49">
        <f t="shared" si="121"/>
        <v>1.6400414423597841E-5</v>
      </c>
      <c r="W603" s="47">
        <v>0.4</v>
      </c>
    </row>
    <row r="604" spans="2:23" x14ac:dyDescent="0.25">
      <c r="B604" s="49">
        <f t="shared" si="120"/>
        <v>7.6958708500853028E-23</v>
      </c>
      <c r="C604" s="49">
        <f t="shared" si="120"/>
        <v>5.1868988736384474E-21</v>
      </c>
      <c r="D604" s="49">
        <f t="shared" si="120"/>
        <v>1.7313594760158479E-19</v>
      </c>
      <c r="E604" s="49">
        <f t="shared" si="120"/>
        <v>3.8159532825355924E-18</v>
      </c>
      <c r="F604" s="49">
        <f t="shared" si="120"/>
        <v>6.2470631081055334E-17</v>
      </c>
      <c r="G604" s="49">
        <f t="shared" si="120"/>
        <v>8.1021971358004113E-16</v>
      </c>
      <c r="H604" s="49">
        <f t="shared" si="120"/>
        <v>8.6712368145643467E-15</v>
      </c>
      <c r="I604" s="49">
        <f t="shared" si="120"/>
        <v>7.8761476098209178E-14</v>
      </c>
      <c r="J604" s="49">
        <f t="shared" si="120"/>
        <v>6.1976237023822215E-13</v>
      </c>
      <c r="K604" s="49">
        <f t="shared" si="120"/>
        <v>4.2916490537048322E-12</v>
      </c>
      <c r="L604" s="49">
        <f t="shared" si="121"/>
        <v>2.6477450530982231E-11</v>
      </c>
      <c r="M604" s="49">
        <f t="shared" si="121"/>
        <v>1.4699988555107436E-10</v>
      </c>
      <c r="N604" s="49">
        <f t="shared" si="121"/>
        <v>7.4049629994696173E-10</v>
      </c>
      <c r="O604" s="49">
        <f t="shared" si="121"/>
        <v>3.4079528343393527E-9</v>
      </c>
      <c r="P604" s="49">
        <f t="shared" si="121"/>
        <v>1.4413889038669777E-8</v>
      </c>
      <c r="Q604" s="49">
        <f t="shared" si="121"/>
        <v>5.6309747789936258E-8</v>
      </c>
      <c r="R604" s="49">
        <f t="shared" si="121"/>
        <v>2.040862707625864E-7</v>
      </c>
      <c r="S604" s="49">
        <f t="shared" si="121"/>
        <v>6.8889418772007252E-7</v>
      </c>
      <c r="T604" s="49">
        <f t="shared" si="121"/>
        <v>2.1731463011117674E-6</v>
      </c>
      <c r="U604" s="49">
        <f t="shared" si="121"/>
        <v>6.4261798006575313E-6</v>
      </c>
      <c r="V604" s="49">
        <f t="shared" si="121"/>
        <v>1.7862418026447302E-5</v>
      </c>
      <c r="W604" s="47">
        <v>0.39900000000000002</v>
      </c>
    </row>
    <row r="605" spans="2:23" x14ac:dyDescent="0.25">
      <c r="B605" s="49">
        <f t="shared" si="120"/>
        <v>9.087923202024803E-23</v>
      </c>
      <c r="C605" s="49">
        <f t="shared" si="120"/>
        <v>6.0999974822886401E-21</v>
      </c>
      <c r="D605" s="49">
        <f t="shared" si="120"/>
        <v>2.027801519424614E-19</v>
      </c>
      <c r="E605" s="49">
        <f t="shared" si="120"/>
        <v>4.4510142698344307E-18</v>
      </c>
      <c r="F605" s="49">
        <f t="shared" si="120"/>
        <v>7.2568993469131545E-17</v>
      </c>
      <c r="G605" s="49">
        <f t="shared" si="120"/>
        <v>9.3734383008028816E-16</v>
      </c>
      <c r="H605" s="49">
        <f t="shared" si="120"/>
        <v>9.9907905038063405E-15</v>
      </c>
      <c r="I605" s="49">
        <f t="shared" si="120"/>
        <v>9.0376861049789549E-14</v>
      </c>
      <c r="J605" s="49">
        <f t="shared" si="120"/>
        <v>7.0826419008652092E-13</v>
      </c>
      <c r="K605" s="49">
        <f t="shared" si="120"/>
        <v>4.8845347278782088E-12</v>
      </c>
      <c r="L605" s="49">
        <f t="shared" si="121"/>
        <v>3.0012800879491937E-11</v>
      </c>
      <c r="M605" s="49">
        <f t="shared" si="121"/>
        <v>1.6595157326441855E-10</v>
      </c>
      <c r="N605" s="49">
        <f t="shared" si="121"/>
        <v>8.3257656247089169E-10</v>
      </c>
      <c r="O605" s="49">
        <f t="shared" si="121"/>
        <v>3.8162334866503257E-9</v>
      </c>
      <c r="P605" s="49">
        <f t="shared" si="121"/>
        <v>1.6075558682378682E-8</v>
      </c>
      <c r="Q605" s="49">
        <f t="shared" si="121"/>
        <v>6.2548344944303434E-8</v>
      </c>
      <c r="R605" s="49">
        <f t="shared" si="121"/>
        <v>2.2578628186237615E-7</v>
      </c>
      <c r="S605" s="49">
        <f t="shared" si="121"/>
        <v>7.5908850534162552E-7</v>
      </c>
      <c r="T605" s="49">
        <f t="shared" si="121"/>
        <v>2.3850093671488078E-6</v>
      </c>
      <c r="U605" s="49">
        <f t="shared" si="121"/>
        <v>7.0245882815776525E-6</v>
      </c>
      <c r="V605" s="49">
        <f t="shared" si="121"/>
        <v>1.9448289254836081E-5</v>
      </c>
      <c r="W605" s="47">
        <v>0.39800000000000002</v>
      </c>
    </row>
    <row r="606" spans="2:23" x14ac:dyDescent="0.25">
      <c r="B606" s="49">
        <f t="shared" si="120"/>
        <v>1.0728812910774684E-22</v>
      </c>
      <c r="C606" s="49">
        <f t="shared" si="120"/>
        <v>7.1718346476240317E-21</v>
      </c>
      <c r="D606" s="49">
        <f t="shared" si="120"/>
        <v>2.3743294435470725E-19</v>
      </c>
      <c r="E606" s="49">
        <f t="shared" si="120"/>
        <v>5.1902810320332579E-18</v>
      </c>
      <c r="F606" s="49">
        <f t="shared" si="120"/>
        <v>8.427541087627161E-17</v>
      </c>
      <c r="G606" s="49">
        <f t="shared" si="120"/>
        <v>1.0840972762838231E-15</v>
      </c>
      <c r="H606" s="49">
        <f t="shared" si="120"/>
        <v>1.1507752613219118E-14</v>
      </c>
      <c r="I606" s="49">
        <f t="shared" si="120"/>
        <v>1.0367431767062075E-13</v>
      </c>
      <c r="J606" s="49">
        <f t="shared" si="120"/>
        <v>8.0916031398083801E-13</v>
      </c>
      <c r="K606" s="49">
        <f t="shared" si="120"/>
        <v>5.5576362059936251E-12</v>
      </c>
      <c r="L606" s="49">
        <f t="shared" si="121"/>
        <v>3.4009756737726253E-11</v>
      </c>
      <c r="M606" s="49">
        <f t="shared" si="121"/>
        <v>1.8728851106087799E-10</v>
      </c>
      <c r="N606" s="49">
        <f t="shared" si="121"/>
        <v>9.358141991742624E-10</v>
      </c>
      <c r="O606" s="49">
        <f t="shared" si="121"/>
        <v>4.2720789225861183E-9</v>
      </c>
      <c r="P606" s="49">
        <f t="shared" si="121"/>
        <v>1.792308571748904E-8</v>
      </c>
      <c r="Q606" s="49">
        <f t="shared" si="121"/>
        <v>6.945583652225931E-8</v>
      </c>
      <c r="R606" s="49">
        <f t="shared" si="121"/>
        <v>2.4971286494588343E-7</v>
      </c>
      <c r="S606" s="49">
        <f t="shared" si="121"/>
        <v>8.3616287601509259E-7</v>
      </c>
      <c r="T606" s="49">
        <f t="shared" si="121"/>
        <v>2.6166691197915669E-6</v>
      </c>
      <c r="U606" s="49">
        <f t="shared" si="121"/>
        <v>7.6761872370303768E-6</v>
      </c>
      <c r="V606" s="49">
        <f t="shared" si="121"/>
        <v>2.1167930541768043E-5</v>
      </c>
      <c r="W606" s="47">
        <v>0.39700000000000002</v>
      </c>
    </row>
    <row r="607" spans="2:23" x14ac:dyDescent="0.25">
      <c r="B607" s="49">
        <f t="shared" si="120"/>
        <v>1.2662493616027523E-22</v>
      </c>
      <c r="C607" s="49">
        <f t="shared" si="120"/>
        <v>8.4296588306027026E-21</v>
      </c>
      <c r="D607" s="49">
        <f t="shared" si="120"/>
        <v>2.7792922344951449E-19</v>
      </c>
      <c r="E607" s="49">
        <f t="shared" si="120"/>
        <v>6.0506085613125557E-18</v>
      </c>
      <c r="F607" s="49">
        <f t="shared" si="120"/>
        <v>9.7842053972649609E-17</v>
      </c>
      <c r="G607" s="49">
        <f t="shared" si="120"/>
        <v>1.2534618050696421E-15</v>
      </c>
      <c r="H607" s="49">
        <f t="shared" si="120"/>
        <v>1.3251142962242816E-14</v>
      </c>
      <c r="I607" s="49">
        <f t="shared" si="120"/>
        <v>1.188929015096608E-13</v>
      </c>
      <c r="J607" s="49">
        <f t="shared" si="120"/>
        <v>9.2415185541875166E-13</v>
      </c>
      <c r="K607" s="49">
        <f t="shared" si="120"/>
        <v>6.3215734994455023E-12</v>
      </c>
      <c r="L607" s="49">
        <f t="shared" si="121"/>
        <v>3.8527195492883967E-11</v>
      </c>
      <c r="M607" s="49">
        <f t="shared" si="121"/>
        <v>2.1130341015646023E-10</v>
      </c>
      <c r="N607" s="49">
        <f t="shared" si="121"/>
        <v>1.0515246225840078E-9</v>
      </c>
      <c r="O607" s="49">
        <f t="shared" si="121"/>
        <v>4.7808680156247718E-9</v>
      </c>
      <c r="P607" s="49">
        <f t="shared" si="121"/>
        <v>1.9976595315839585E-8</v>
      </c>
      <c r="Q607" s="49">
        <f t="shared" si="121"/>
        <v>7.7101444952609641E-8</v>
      </c>
      <c r="R607" s="49">
        <f t="shared" si="121"/>
        <v>2.7608577919053378E-7</v>
      </c>
      <c r="S607" s="49">
        <f t="shared" si="121"/>
        <v>9.2076342479832922E-7</v>
      </c>
      <c r="T607" s="49">
        <f t="shared" si="121"/>
        <v>2.8698900112657008E-6</v>
      </c>
      <c r="U607" s="49">
        <f t="shared" si="121"/>
        <v>8.3854629297333672E-6</v>
      </c>
      <c r="V607" s="49">
        <f t="shared" si="121"/>
        <v>2.3031983782794086E-5</v>
      </c>
      <c r="W607" s="47">
        <v>0.39600000000000002</v>
      </c>
    </row>
    <row r="608" spans="2:23" x14ac:dyDescent="0.25">
      <c r="B608" s="49">
        <f t="shared" si="120"/>
        <v>1.494058991339042E-22</v>
      </c>
      <c r="C608" s="49">
        <f t="shared" si="120"/>
        <v>9.9053362793746323E-21</v>
      </c>
      <c r="D608" s="49">
        <f t="shared" si="120"/>
        <v>3.2524116893038741E-19</v>
      </c>
      <c r="E608" s="49">
        <f t="shared" si="120"/>
        <v>7.0515385266036009E-18</v>
      </c>
      <c r="F608" s="49">
        <f t="shared" si="120"/>
        <v>1.135600240007751E-16</v>
      </c>
      <c r="G608" s="49">
        <f t="shared" si="120"/>
        <v>1.4488645676416897E-15</v>
      </c>
      <c r="H608" s="49">
        <f t="shared" si="120"/>
        <v>1.5254171161629696E-14</v>
      </c>
      <c r="I608" s="49">
        <f t="shared" si="120"/>
        <v>1.3630498944016317E-13</v>
      </c>
      <c r="J608" s="49">
        <f t="shared" si="120"/>
        <v>1.0551685656908022E-12</v>
      </c>
      <c r="K608" s="49">
        <f t="shared" si="120"/>
        <v>7.1883411426553271E-12</v>
      </c>
      <c r="L608" s="49">
        <f t="shared" si="121"/>
        <v>4.3631322072309275E-11</v>
      </c>
      <c r="M608" s="49">
        <f t="shared" si="121"/>
        <v>2.3832395566415598E-10</v>
      </c>
      <c r="N608" s="49">
        <f t="shared" si="121"/>
        <v>1.1811738737232407E-9</v>
      </c>
      <c r="O608" s="49">
        <f t="shared" si="121"/>
        <v>5.3485688150504233E-9</v>
      </c>
      <c r="P608" s="49">
        <f t="shared" si="121"/>
        <v>2.2258316808296623E-8</v>
      </c>
      <c r="Q608" s="49">
        <f t="shared" si="121"/>
        <v>8.5561284590117867E-8</v>
      </c>
      <c r="R608" s="49">
        <f t="shared" si="121"/>
        <v>3.0514556333635228E-7</v>
      </c>
      <c r="S608" s="49">
        <f t="shared" si="121"/>
        <v>1.0135941245265445E-6</v>
      </c>
      <c r="T608" s="49">
        <f t="shared" si="121"/>
        <v>3.1465855515827632E-6</v>
      </c>
      <c r="U608" s="49">
        <f t="shared" si="121"/>
        <v>9.1572577943012028E-6</v>
      </c>
      <c r="V608" s="49">
        <f t="shared" si="121"/>
        <v>2.5051881145521048E-5</v>
      </c>
      <c r="W608" s="47">
        <v>0.39500000000000002</v>
      </c>
    </row>
    <row r="609" spans="2:23" x14ac:dyDescent="0.25">
      <c r="B609" s="49">
        <f t="shared" si="120"/>
        <v>1.7623719973186687E-22</v>
      </c>
      <c r="C609" s="49">
        <f t="shared" si="120"/>
        <v>1.163612351995796E-20</v>
      </c>
      <c r="D609" s="49">
        <f t="shared" si="120"/>
        <v>3.8050050323514497E-19</v>
      </c>
      <c r="E609" s="49">
        <f t="shared" si="120"/>
        <v>8.2157211978073826E-18</v>
      </c>
      <c r="F609" s="49">
        <f t="shared" si="120"/>
        <v>1.3176526753401749E-16</v>
      </c>
      <c r="G609" s="49">
        <f t="shared" si="120"/>
        <v>1.6742435081510352E-15</v>
      </c>
      <c r="H609" s="49">
        <f t="shared" si="120"/>
        <v>1.7554830377738638E-14</v>
      </c>
      <c r="I609" s="49">
        <f t="shared" si="120"/>
        <v>1.56220831728978E-13</v>
      </c>
      <c r="J609" s="49">
        <f t="shared" si="120"/>
        <v>1.2043989005728773E-12</v>
      </c>
      <c r="K609" s="49">
        <f t="shared" si="120"/>
        <v>8.1714819205702807E-12</v>
      </c>
      <c r="L609" s="49">
        <f t="shared" si="121"/>
        <v>4.9396557559440881E-11</v>
      </c>
      <c r="M609" s="49">
        <f t="shared" si="121"/>
        <v>2.6871686841571255E-10</v>
      </c>
      <c r="N609" s="49">
        <f t="shared" si="121"/>
        <v>1.3263953404620542E-9</v>
      </c>
      <c r="O609" s="49">
        <f t="shared" si="121"/>
        <v>5.9818008933269227E-9</v>
      </c>
      <c r="P609" s="49">
        <f t="shared" si="121"/>
        <v>2.4792795414685318E-8</v>
      </c>
      <c r="Q609" s="49">
        <f t="shared" si="121"/>
        <v>9.4919019152484572E-8</v>
      </c>
      <c r="R609" s="49">
        <f t="shared" si="121"/>
        <v>3.37155408243029E-7</v>
      </c>
      <c r="S609" s="49">
        <f t="shared" si="121"/>
        <v>1.1154217002283991E-6</v>
      </c>
      <c r="T609" s="49">
        <f t="shared" si="121"/>
        <v>3.4488301400375303E-6</v>
      </c>
      <c r="U609" s="49">
        <f t="shared" si="121"/>
        <v>9.9967967500905699E-6</v>
      </c>
      <c r="V609" s="49">
        <f t="shared" si="121"/>
        <v>2.7239899013215449E-5</v>
      </c>
      <c r="W609" s="47">
        <v>0.39400000000000002</v>
      </c>
    </row>
    <row r="610" spans="2:23" x14ac:dyDescent="0.25">
      <c r="B610" s="49">
        <f t="shared" si="120"/>
        <v>2.078304342994079E-22</v>
      </c>
      <c r="C610" s="49">
        <f t="shared" si="120"/>
        <v>1.3665567388608344E-20</v>
      </c>
      <c r="D610" s="49">
        <f t="shared" si="120"/>
        <v>4.4502431259430982E-19</v>
      </c>
      <c r="E610" s="49">
        <f t="shared" si="120"/>
        <v>9.5694026318324982E-18</v>
      </c>
      <c r="F610" s="49">
        <f t="shared" si="120"/>
        <v>1.5284537526658766E-16</v>
      </c>
      <c r="G610" s="49">
        <f t="shared" si="120"/>
        <v>1.9341221910795395E-15</v>
      </c>
      <c r="H610" s="49">
        <f t="shared" si="120"/>
        <v>2.019657364133191E-14</v>
      </c>
      <c r="I610" s="49">
        <f t="shared" si="120"/>
        <v>1.7899371310266328E-13</v>
      </c>
      <c r="J610" s="49">
        <f t="shared" si="120"/>
        <v>1.3743239516948589E-12</v>
      </c>
      <c r="K610" s="49">
        <f t="shared" si="120"/>
        <v>9.2862820117416852E-12</v>
      </c>
      <c r="L610" s="49">
        <f t="shared" si="121"/>
        <v>5.5906532650631712E-11</v>
      </c>
      <c r="M610" s="49">
        <f t="shared" si="121"/>
        <v>3.0289242440335211E-10</v>
      </c>
      <c r="N610" s="49">
        <f t="shared" si="121"/>
        <v>1.4890082698804753E-9</v>
      </c>
      <c r="O610" s="49">
        <f t="shared" si="121"/>
        <v>6.6879040470072921E-9</v>
      </c>
      <c r="P610" s="49">
        <f t="shared" si="121"/>
        <v>2.7607124393859865E-8</v>
      </c>
      <c r="Q610" s="49">
        <f t="shared" si="121"/>
        <v>1.0526657892458727E-7</v>
      </c>
      <c r="R610" s="49">
        <f t="shared" si="121"/>
        <v>3.724031891420461E-7</v>
      </c>
      <c r="S610" s="49">
        <f t="shared" si="121"/>
        <v>1.2270809236187154E-6</v>
      </c>
      <c r="T610" s="49">
        <f t="shared" si="121"/>
        <v>3.778871767940817E-6</v>
      </c>
      <c r="U610" s="49">
        <f t="shared" si="121"/>
        <v>1.0909715291152936E-5</v>
      </c>
      <c r="V610" s="49">
        <f t="shared" si="121"/>
        <v>2.9609215228069928E-5</v>
      </c>
      <c r="W610" s="47">
        <v>0.39300000000000002</v>
      </c>
    </row>
    <row r="611" spans="2:23" x14ac:dyDescent="0.25">
      <c r="B611" s="49">
        <f t="shared" si="120"/>
        <v>2.450207244022469E-22</v>
      </c>
      <c r="C611" s="49">
        <f t="shared" si="120"/>
        <v>1.6044553385607545E-20</v>
      </c>
      <c r="D611" s="49">
        <f t="shared" si="120"/>
        <v>5.2034498852186412E-19</v>
      </c>
      <c r="E611" s="49">
        <f t="shared" si="120"/>
        <v>1.1142987059698037E-17</v>
      </c>
      <c r="F611" s="49">
        <f t="shared" si="120"/>
        <v>1.7724739476289284E-16</v>
      </c>
      <c r="G611" s="49">
        <f t="shared" si="120"/>
        <v>2.2336953973759824E-15</v>
      </c>
      <c r="H611" s="49">
        <f t="shared" si="120"/>
        <v>2.3229083949805664E-14</v>
      </c>
      <c r="I611" s="49">
        <f t="shared" si="120"/>
        <v>2.0502580252760928E-13</v>
      </c>
      <c r="J611" s="49">
        <f t="shared" si="120"/>
        <v>1.5677557275769646E-12</v>
      </c>
      <c r="K611" s="49">
        <f t="shared" si="120"/>
        <v>1.0549990117976111E-11</v>
      </c>
      <c r="L611" s="49">
        <f t="shared" si="121"/>
        <v>6.3255197964230271E-11</v>
      </c>
      <c r="M611" s="49">
        <f t="shared" si="121"/>
        <v>3.4130948173563419E-10</v>
      </c>
      <c r="N611" s="49">
        <f t="shared" si="121"/>
        <v>1.6710382601880198E-9</v>
      </c>
      <c r="O611" s="49">
        <f t="shared" si="121"/>
        <v>7.475013972141176E-9</v>
      </c>
      <c r="P611" s="49">
        <f t="shared" si="121"/>
        <v>3.073119949134623E-8</v>
      </c>
      <c r="Q611" s="49">
        <f t="shared" si="121"/>
        <v>1.1670494287069571E-7</v>
      </c>
      <c r="R611" s="49">
        <f t="shared" si="121"/>
        <v>4.1120367034523491E-7</v>
      </c>
      <c r="S611" s="49">
        <f t="shared" si="121"/>
        <v>1.349480326370273E-6</v>
      </c>
      <c r="T611" s="49">
        <f t="shared" si="121"/>
        <v>4.1391456509145255E-6</v>
      </c>
      <c r="U611" s="49">
        <f t="shared" si="121"/>
        <v>1.190208945971254E-5</v>
      </c>
      <c r="V611" s="49">
        <f t="shared" si="121"/>
        <v>3.2173969806367189E-5</v>
      </c>
      <c r="W611" s="47">
        <v>0.39200000000000002</v>
      </c>
    </row>
    <row r="612" spans="2:23" x14ac:dyDescent="0.25">
      <c r="B612" s="49">
        <f t="shared" si="120"/>
        <v>2.8878790103218559E-22</v>
      </c>
      <c r="C612" s="49">
        <f t="shared" si="120"/>
        <v>1.8832526470474792E-20</v>
      </c>
      <c r="D612" s="49">
        <f t="shared" si="120"/>
        <v>6.0824493789903457E-19</v>
      </c>
      <c r="E612" s="49">
        <f t="shared" si="120"/>
        <v>1.2971685903887008E-17</v>
      </c>
      <c r="F612" s="49">
        <f t="shared" si="120"/>
        <v>2.0548680586323471E-16</v>
      </c>
      <c r="G612" s="49">
        <f t="shared" si="120"/>
        <v>2.5789270110204322E-15</v>
      </c>
      <c r="H612" s="49">
        <f t="shared" si="120"/>
        <v>2.6709150913332846E-14</v>
      </c>
      <c r="I612" s="49">
        <f t="shared" si="120"/>
        <v>2.3477478162058717E-13</v>
      </c>
      <c r="J612" s="49">
        <f t="shared" si="120"/>
        <v>1.7878803286660223E-12</v>
      </c>
      <c r="K612" s="49">
        <f t="shared" si="120"/>
        <v>1.1982063451617656E-11</v>
      </c>
      <c r="L612" s="49">
        <f t="shared" si="121"/>
        <v>7.1548064546622218E-11</v>
      </c>
      <c r="M612" s="49">
        <f t="shared" si="121"/>
        <v>3.8448107025038986E-10</v>
      </c>
      <c r="N612" s="49">
        <f t="shared" si="121"/>
        <v>1.874739936165875E-9</v>
      </c>
      <c r="O612" s="49">
        <f t="shared" si="121"/>
        <v>8.352145593037109E-9</v>
      </c>
      <c r="P612" s="49">
        <f t="shared" si="121"/>
        <v>3.4197997725329694E-8</v>
      </c>
      <c r="Q612" s="49">
        <f t="shared" si="121"/>
        <v>1.2934499120930239E-7</v>
      </c>
      <c r="R612" s="49">
        <f t="shared" si="121"/>
        <v>4.5390089611208668E-7</v>
      </c>
      <c r="S612" s="49">
        <f t="shared" si="121"/>
        <v>1.4836083627764873E-6</v>
      </c>
      <c r="T612" s="49">
        <f t="shared" si="121"/>
        <v>4.5322888524953826E-6</v>
      </c>
      <c r="U612" s="49">
        <f t="shared" si="121"/>
        <v>1.2980467814891569E-5</v>
      </c>
      <c r="V612" s="49">
        <f t="shared" si="121"/>
        <v>3.4949329304534162E-5</v>
      </c>
      <c r="W612" s="47">
        <v>0.39100000000000001</v>
      </c>
    </row>
    <row r="613" spans="2:23" x14ac:dyDescent="0.25">
      <c r="B613" s="49">
        <f t="shared" ref="B613:K622" si="122">_xlfn.HYPGEOM.DIST(B$2,comau,tongtheN*$W613,tongtheN,TRUE)</f>
        <v>3.4028127768114478E-22</v>
      </c>
      <c r="C613" s="49">
        <f t="shared" si="122"/>
        <v>2.2098912288538793E-20</v>
      </c>
      <c r="D613" s="49">
        <f t="shared" si="122"/>
        <v>7.1079681029305176E-19</v>
      </c>
      <c r="E613" s="49">
        <f t="shared" si="122"/>
        <v>1.5096266564841714E-17</v>
      </c>
      <c r="F613" s="49">
        <f t="shared" si="122"/>
        <v>2.3815782887553711E-16</v>
      </c>
      <c r="G613" s="49">
        <f t="shared" si="122"/>
        <v>2.9766619286849892E-15</v>
      </c>
      <c r="H613" s="49">
        <f t="shared" si="122"/>
        <v>3.0701668393103652E-14</v>
      </c>
      <c r="I613" s="49">
        <f t="shared" si="122"/>
        <v>2.6876135307963581E-13</v>
      </c>
      <c r="J613" s="49">
        <f t="shared" si="122"/>
        <v>2.0383066271171479E-12</v>
      </c>
      <c r="K613" s="49">
        <f t="shared" si="122"/>
        <v>1.3604443785582476E-11</v>
      </c>
      <c r="L613" s="49">
        <f t="shared" ref="L613:V622" si="123">_xlfn.HYPGEOM.DIST(L$2,comau,tongtheN*$W613,tongtheN,TRUE)</f>
        <v>8.0903589396161362E-11</v>
      </c>
      <c r="M613" s="49">
        <f t="shared" si="123"/>
        <v>4.3298060470720597E-10</v>
      </c>
      <c r="N613" s="49">
        <f t="shared" si="123"/>
        <v>2.1026220322669688E-9</v>
      </c>
      <c r="O613" s="49">
        <f t="shared" si="123"/>
        <v>9.3292847862445093E-9</v>
      </c>
      <c r="P613" s="49">
        <f t="shared" si="123"/>
        <v>3.804388272840801E-8</v>
      </c>
      <c r="Q613" s="49">
        <f t="shared" si="123"/>
        <v>1.4330843445005784E-7</v>
      </c>
      <c r="R613" s="49">
        <f t="shared" si="123"/>
        <v>5.0087078238204059E-7</v>
      </c>
      <c r="S613" s="49">
        <f t="shared" si="123"/>
        <v>1.6305400544368358E-6</v>
      </c>
      <c r="T613" s="49">
        <f t="shared" si="123"/>
        <v>4.9611559643818356E-6</v>
      </c>
      <c r="U613" s="49">
        <f t="shared" si="123"/>
        <v>1.4151905513887541E-5</v>
      </c>
      <c r="V613" s="49">
        <f t="shared" si="123"/>
        <v>3.795155502196961E-5</v>
      </c>
      <c r="W613" s="47">
        <v>0.39</v>
      </c>
    </row>
    <row r="614" spans="2:23" x14ac:dyDescent="0.25">
      <c r="B614" s="49">
        <f t="shared" si="122"/>
        <v>4.0084861282783978E-22</v>
      </c>
      <c r="C614" s="49">
        <f t="shared" si="122"/>
        <v>2.5924771301247924E-20</v>
      </c>
      <c r="D614" s="49">
        <f t="shared" si="122"/>
        <v>8.3041010698179099E-19</v>
      </c>
      <c r="E614" s="49">
        <f t="shared" si="122"/>
        <v>1.7563916076834249E-17</v>
      </c>
      <c r="F614" s="49">
        <f t="shared" si="122"/>
        <v>2.7594526015022613E-16</v>
      </c>
      <c r="G614" s="49">
        <f t="shared" si="122"/>
        <v>3.4347539648393656E-15</v>
      </c>
      <c r="H614" s="49">
        <f t="shared" si="122"/>
        <v>3.5280769498748247E-14</v>
      </c>
      <c r="I614" s="49">
        <f t="shared" si="122"/>
        <v>3.0757774342766381E-13</v>
      </c>
      <c r="J614" s="49">
        <f t="shared" si="122"/>
        <v>2.3231211363625291E-12</v>
      </c>
      <c r="K614" s="49">
        <f t="shared" si="122"/>
        <v>1.5441867143010247E-11</v>
      </c>
      <c r="L614" s="49">
        <f t="shared" si="123"/>
        <v>9.1454722459974786E-11</v>
      </c>
      <c r="M614" s="49">
        <f t="shared" si="123"/>
        <v>4.8744878884364141E-10</v>
      </c>
      <c r="N614" s="49">
        <f t="shared" si="123"/>
        <v>2.3574751295814557E-9</v>
      </c>
      <c r="O614" s="49">
        <f t="shared" si="123"/>
        <v>1.0417489310158237E-8</v>
      </c>
      <c r="P614" s="49">
        <f t="shared" si="123"/>
        <v>4.2308939053491476E-8</v>
      </c>
      <c r="Q614" s="49">
        <f t="shared" si="123"/>
        <v>1.5872882536970751E-7</v>
      </c>
      <c r="R614" s="49">
        <f t="shared" si="123"/>
        <v>5.5252392514755195E-7</v>
      </c>
      <c r="S614" s="49">
        <f t="shared" si="123"/>
        <v>1.7914441517316121E-6</v>
      </c>
      <c r="T614" s="49">
        <f t="shared" si="123"/>
        <v>5.4288359124049396E-6</v>
      </c>
      <c r="U614" s="49">
        <f t="shared" si="123"/>
        <v>1.5424000628473866E-5</v>
      </c>
      <c r="V614" s="49">
        <f t="shared" si="123"/>
        <v>4.1198075233438261E-5</v>
      </c>
      <c r="W614" s="47">
        <v>0.38900000000000001</v>
      </c>
    </row>
    <row r="615" spans="2:23" x14ac:dyDescent="0.25">
      <c r="B615" s="49">
        <f t="shared" si="122"/>
        <v>4.7206996163013642E-22</v>
      </c>
      <c r="C615" s="49">
        <f t="shared" si="122"/>
        <v>3.0404723483141585E-20</v>
      </c>
      <c r="D615" s="49">
        <f t="shared" si="122"/>
        <v>9.6988516964102317E-19</v>
      </c>
      <c r="E615" s="49">
        <f t="shared" si="122"/>
        <v>2.0429236982848498E-17</v>
      </c>
      <c r="F615" s="49">
        <f t="shared" si="122"/>
        <v>3.1963805755950482E-16</v>
      </c>
      <c r="G615" s="49">
        <f t="shared" si="122"/>
        <v>3.9622119968408682E-15</v>
      </c>
      <c r="H615" s="49">
        <f t="shared" si="122"/>
        <v>4.0531117480311694E-14</v>
      </c>
      <c r="I615" s="49">
        <f t="shared" si="122"/>
        <v>3.5189732886621857E-13</v>
      </c>
      <c r="J615" s="49">
        <f t="shared" si="122"/>
        <v>2.6469498386059062E-12</v>
      </c>
      <c r="K615" s="49">
        <f t="shared" si="122"/>
        <v>1.7522211116980048E-11</v>
      </c>
      <c r="L615" s="49">
        <f t="shared" si="123"/>
        <v>1.0335063336660424E-10</v>
      </c>
      <c r="M615" s="49">
        <f t="shared" si="123"/>
        <v>5.4860128457918715E-10</v>
      </c>
      <c r="N615" s="49">
        <f t="shared" si="123"/>
        <v>2.6424023170218118E-9</v>
      </c>
      <c r="O615" s="49">
        <f t="shared" si="123"/>
        <v>1.162899982518724E-8</v>
      </c>
      <c r="P615" s="49">
        <f t="shared" si="123"/>
        <v>4.7037338058556554E-8</v>
      </c>
      <c r="Q615" s="49">
        <f t="shared" si="123"/>
        <v>1.7575266091646075E-7</v>
      </c>
      <c r="R615" s="49">
        <f t="shared" si="123"/>
        <v>6.0930864238321173E-7</v>
      </c>
      <c r="S615" s="49">
        <f t="shared" si="123"/>
        <v>1.9675908491075263E-6</v>
      </c>
      <c r="T615" s="49">
        <f t="shared" si="123"/>
        <v>5.9386699612319229E-6</v>
      </c>
      <c r="U615" s="49">
        <f t="shared" si="123"/>
        <v>1.6804932825539422E-5</v>
      </c>
      <c r="V615" s="49">
        <f t="shared" si="123"/>
        <v>4.4707561650901681E-5</v>
      </c>
      <c r="W615" s="47">
        <v>0.38800000000000001</v>
      </c>
    </row>
    <row r="616" spans="2:23" x14ac:dyDescent="0.25">
      <c r="B616" s="49">
        <f t="shared" si="122"/>
        <v>5.5579723206320828E-22</v>
      </c>
      <c r="C616" s="49">
        <f t="shared" si="122"/>
        <v>3.5649187257386949E-20</v>
      </c>
      <c r="D616" s="49">
        <f t="shared" si="122"/>
        <v>1.1324757004433788E-18</v>
      </c>
      <c r="E616" s="49">
        <f t="shared" si="122"/>
        <v>2.3755395357201743E-17</v>
      </c>
      <c r="F616" s="49">
        <f t="shared" si="122"/>
        <v>3.7014493026267203E-16</v>
      </c>
      <c r="G616" s="49">
        <f t="shared" si="122"/>
        <v>4.5693669035702749E-15</v>
      </c>
      <c r="H616" s="49">
        <f t="shared" si="122"/>
        <v>4.6549373499471189E-14</v>
      </c>
      <c r="I616" s="49">
        <f t="shared" si="122"/>
        <v>4.0248552933893569E-13</v>
      </c>
      <c r="J616" s="49">
        <f t="shared" si="122"/>
        <v>3.0150278312826503E-12</v>
      </c>
      <c r="K616" s="49">
        <f t="shared" si="122"/>
        <v>1.9876884270678381E-11</v>
      </c>
      <c r="L616" s="49">
        <f t="shared" si="123"/>
        <v>1.1675863815723584E-10</v>
      </c>
      <c r="M616" s="49">
        <f t="shared" si="123"/>
        <v>6.1723722835001073E-10</v>
      </c>
      <c r="N616" s="49">
        <f t="shared" si="123"/>
        <v>2.9608530734882223E-9</v>
      </c>
      <c r="O616" s="49">
        <f t="shared" si="123"/>
        <v>1.2977361970428792E-8</v>
      </c>
      <c r="P616" s="49">
        <f t="shared" si="123"/>
        <v>5.2277738207779434E-8</v>
      </c>
      <c r="Q616" s="49">
        <f t="shared" si="123"/>
        <v>1.9454058158190871E-7</v>
      </c>
      <c r="R616" s="49">
        <f t="shared" si="123"/>
        <v>6.7171426765952383E-7</v>
      </c>
      <c r="S616" s="49">
        <f t="shared" si="123"/>
        <v>2.1603600935751274E-6</v>
      </c>
      <c r="T616" s="49">
        <f t="shared" si="123"/>
        <v>6.4942709949036489E-6</v>
      </c>
      <c r="U616" s="49">
        <f t="shared" si="123"/>
        <v>1.8303504546408939E-5</v>
      </c>
      <c r="V616" s="49">
        <f t="shared" si="123"/>
        <v>4.8500010321671028E-5</v>
      </c>
      <c r="W616" s="47">
        <v>0.38700000000000001</v>
      </c>
    </row>
    <row r="617" spans="2:23" x14ac:dyDescent="0.25">
      <c r="B617" s="49">
        <f t="shared" si="122"/>
        <v>6.5420039499797811E-22</v>
      </c>
      <c r="C617" s="49">
        <f t="shared" si="122"/>
        <v>4.1786983296482447E-20</v>
      </c>
      <c r="D617" s="49">
        <f t="shared" si="122"/>
        <v>1.3219611424621338E-18</v>
      </c>
      <c r="E617" s="49">
        <f t="shared" si="122"/>
        <v>2.7615443860900701E-17</v>
      </c>
      <c r="F617" s="49">
        <f t="shared" si="122"/>
        <v>4.2851222347967569E-16</v>
      </c>
      <c r="G617" s="49">
        <f t="shared" si="122"/>
        <v>5.2680622019108052E-15</v>
      </c>
      <c r="H617" s="49">
        <f t="shared" si="122"/>
        <v>5.3445865030684015E-14</v>
      </c>
      <c r="I617" s="49">
        <f t="shared" si="122"/>
        <v>4.6021213421935306E-13</v>
      </c>
      <c r="J617" s="49">
        <f t="shared" si="122"/>
        <v>3.4332777573632052E-12</v>
      </c>
      <c r="K617" s="49">
        <f t="shared" si="122"/>
        <v>2.2541262579744249E-11</v>
      </c>
      <c r="L617" s="49">
        <f t="shared" si="123"/>
        <v>1.3186634848947536E-10</v>
      </c>
      <c r="M617" s="49">
        <f t="shared" si="123"/>
        <v>6.942486850227609E-10</v>
      </c>
      <c r="N617" s="49">
        <f t="shared" si="123"/>
        <v>3.316660696637638E-9</v>
      </c>
      <c r="O617" s="49">
        <f t="shared" si="123"/>
        <v>1.4477560550819195E-8</v>
      </c>
      <c r="P617" s="49">
        <f t="shared" si="123"/>
        <v>5.8083722867153272E-8</v>
      </c>
      <c r="Q617" s="49">
        <f t="shared" si="123"/>
        <v>2.1526867636877425E-7</v>
      </c>
      <c r="R617" s="49">
        <f t="shared" si="123"/>
        <v>7.4027471486003395E-7</v>
      </c>
      <c r="S617" s="49">
        <f t="shared" si="123"/>
        <v>2.3712505283305057E-6</v>
      </c>
      <c r="T617" s="49">
        <f t="shared" si="123"/>
        <v>7.0995441545881842E-6</v>
      </c>
      <c r="U617" s="49">
        <f t="shared" si="123"/>
        <v>1.9929184825881862E-5</v>
      </c>
      <c r="V617" s="49">
        <f t="shared" si="123"/>
        <v>5.2596827176938147E-5</v>
      </c>
      <c r="W617" s="47">
        <v>0.38600000000000001</v>
      </c>
    </row>
    <row r="618" spans="2:23" x14ac:dyDescent="0.25">
      <c r="B618" s="49">
        <f t="shared" si="122"/>
        <v>7.6982145380261104E-22</v>
      </c>
      <c r="C618" s="49">
        <f t="shared" si="122"/>
        <v>4.8968361861907144E-20</v>
      </c>
      <c r="D618" s="49">
        <f t="shared" si="122"/>
        <v>1.5427304532577635E-18</v>
      </c>
      <c r="E618" s="49">
        <f t="shared" si="122"/>
        <v>3.2093846102455381E-17</v>
      </c>
      <c r="F618" s="49">
        <f t="shared" si="122"/>
        <v>4.9594443043608154E-16</v>
      </c>
      <c r="G618" s="49">
        <f t="shared" si="122"/>
        <v>6.0718716833318932E-15</v>
      </c>
      <c r="H618" s="49">
        <f t="shared" si="122"/>
        <v>6.1346481765589566E-14</v>
      </c>
      <c r="I618" s="49">
        <f t="shared" si="122"/>
        <v>5.2606524360960314E-13</v>
      </c>
      <c r="J618" s="49">
        <f t="shared" si="122"/>
        <v>3.9083981003946139E-12</v>
      </c>
      <c r="K618" s="49">
        <f t="shared" si="122"/>
        <v>2.5555178446812887E-11</v>
      </c>
      <c r="L618" s="49">
        <f t="shared" si="123"/>
        <v>1.4888406823161153E-10</v>
      </c>
      <c r="M618" s="49">
        <f t="shared" si="123"/>
        <v>7.8063113913991645E-10</v>
      </c>
      <c r="N618" s="49">
        <f t="shared" si="123"/>
        <v>3.7140836354204896E-9</v>
      </c>
      <c r="O618" s="49">
        <f t="shared" si="123"/>
        <v>1.6146166984307121E-8</v>
      </c>
      <c r="P618" s="49">
        <f t="shared" si="123"/>
        <v>6.4514278932203454E-8</v>
      </c>
      <c r="Q618" s="49">
        <f t="shared" si="123"/>
        <v>2.3812990211436919E-7</v>
      </c>
      <c r="R618" s="49">
        <f t="shared" si="123"/>
        <v>8.1557233479335826E-7</v>
      </c>
      <c r="S618" s="49">
        <f t="shared" si="123"/>
        <v>2.6018891160587235E-6</v>
      </c>
      <c r="T618" s="49">
        <f t="shared" si="123"/>
        <v>7.758708919390072E-6</v>
      </c>
      <c r="U618" s="49">
        <f t="shared" si="123"/>
        <v>2.1692155898299968E-5</v>
      </c>
      <c r="V618" s="49">
        <f t="shared" si="123"/>
        <v>5.702091845181942E-5</v>
      </c>
      <c r="W618" s="47">
        <v>0.38500000000000001</v>
      </c>
    </row>
    <row r="619" spans="2:23" x14ac:dyDescent="0.25">
      <c r="B619" s="49">
        <f t="shared" si="122"/>
        <v>9.0563746047718344E-22</v>
      </c>
      <c r="C619" s="49">
        <f t="shared" si="122"/>
        <v>5.7368521665462811E-20</v>
      </c>
      <c r="D619" s="49">
        <f t="shared" si="122"/>
        <v>1.7998790393602979E-18</v>
      </c>
      <c r="E619" s="49">
        <f t="shared" si="122"/>
        <v>3.7288232457944422E-17</v>
      </c>
      <c r="F619" s="49">
        <f t="shared" si="122"/>
        <v>5.7382771088441061E-16</v>
      </c>
      <c r="G619" s="49">
        <f t="shared" si="122"/>
        <v>6.9963478042666423E-15</v>
      </c>
      <c r="H619" s="49">
        <f t="shared" si="122"/>
        <v>7.0394829418283156E-14</v>
      </c>
      <c r="I619" s="49">
        <f t="shared" si="122"/>
        <v>6.011670323341605E-13</v>
      </c>
      <c r="J619" s="49">
        <f t="shared" si="122"/>
        <v>4.4479625547635229E-12</v>
      </c>
      <c r="K619" s="49">
        <f t="shared" si="122"/>
        <v>2.896346844964806E-11</v>
      </c>
      <c r="L619" s="49">
        <f t="shared" si="123"/>
        <v>1.6804746506580843E-10</v>
      </c>
      <c r="M619" s="49">
        <f t="shared" si="123"/>
        <v>8.7749513347092826E-10</v>
      </c>
      <c r="N619" s="49">
        <f t="shared" si="123"/>
        <v>4.1578511179978864E-9</v>
      </c>
      <c r="O619" s="49">
        <f t="shared" si="123"/>
        <v>1.8001501262370065E-8</v>
      </c>
      <c r="P619" s="49">
        <f t="shared" si="123"/>
        <v>7.1634319905415286E-8</v>
      </c>
      <c r="Q619" s="49">
        <f t="shared" si="123"/>
        <v>2.6333562660580706E-7</v>
      </c>
      <c r="R619" s="49">
        <f t="shared" si="123"/>
        <v>8.9824208595005134E-7</v>
      </c>
      <c r="S619" s="49">
        <f t="shared" si="123"/>
        <v>2.8540414892641254E-6</v>
      </c>
      <c r="T619" s="49">
        <f t="shared" si="123"/>
        <v>8.4763227207043213E-6</v>
      </c>
      <c r="U619" s="49">
        <f t="shared" si="123"/>
        <v>2.3603362744500067E-5</v>
      </c>
      <c r="V619" s="49">
        <f t="shared" si="123"/>
        <v>6.1796786205208754E-5</v>
      </c>
      <c r="W619" s="47">
        <v>0.38400000000000001</v>
      </c>
    </row>
    <row r="620" spans="2:23" x14ac:dyDescent="0.25">
      <c r="B620" s="49">
        <f t="shared" si="122"/>
        <v>1.065134076160511E-21</v>
      </c>
      <c r="C620" s="49">
        <f t="shared" si="122"/>
        <v>6.7191699000883201E-20</v>
      </c>
      <c r="D620" s="49">
        <f t="shared" si="122"/>
        <v>2.0993208896358975E-18</v>
      </c>
      <c r="E620" s="49">
        <f t="shared" si="122"/>
        <v>4.3311421949261157E-17</v>
      </c>
      <c r="F620" s="49">
        <f t="shared" si="122"/>
        <v>6.6375684944862472E-16</v>
      </c>
      <c r="G620" s="49">
        <f t="shared" si="122"/>
        <v>8.0593050958908043E-15</v>
      </c>
      <c r="H620" s="49">
        <f t="shared" si="122"/>
        <v>8.0754675805376315E-14</v>
      </c>
      <c r="I620" s="49">
        <f t="shared" si="122"/>
        <v>6.8679156964043543E-13</v>
      </c>
      <c r="J620" s="49">
        <f t="shared" si="122"/>
        <v>5.0605318263638511E-12</v>
      </c>
      <c r="K620" s="49">
        <f t="shared" si="122"/>
        <v>3.2816586685476964E-11</v>
      </c>
      <c r="L620" s="49">
        <f t="shared" si="123"/>
        <v>1.8962054770135962E-10</v>
      </c>
      <c r="M620" s="49">
        <f t="shared" si="123"/>
        <v>9.8607917607094569E-10</v>
      </c>
      <c r="N620" s="49">
        <f t="shared" si="123"/>
        <v>4.6532135042645385E-9</v>
      </c>
      <c r="O620" s="49">
        <f t="shared" si="123"/>
        <v>2.0063809789793335E-8</v>
      </c>
      <c r="P620" s="49">
        <f t="shared" si="123"/>
        <v>7.9515257342715658E-8</v>
      </c>
      <c r="Q620" s="49">
        <f t="shared" si="123"/>
        <v>2.911173056469267E-7</v>
      </c>
      <c r="R620" s="49">
        <f t="shared" si="123"/>
        <v>9.889760432029709E-7</v>
      </c>
      <c r="S620" s="49">
        <f t="shared" si="123"/>
        <v>3.1296230779064953E-6</v>
      </c>
      <c r="T620" s="49">
        <f t="shared" si="123"/>
        <v>9.2573061854406572E-6</v>
      </c>
      <c r="U620" s="49">
        <f t="shared" si="123"/>
        <v>2.5674565740194046E-5</v>
      </c>
      <c r="V620" s="49">
        <f t="shared" si="123"/>
        <v>6.6950629174795977E-5</v>
      </c>
      <c r="W620" s="47">
        <v>0.38300000000000001</v>
      </c>
    </row>
    <row r="621" spans="2:23" x14ac:dyDescent="0.25">
      <c r="B621" s="49">
        <f t="shared" si="122"/>
        <v>1.2523914187822269E-21</v>
      </c>
      <c r="C621" s="49">
        <f t="shared" si="122"/>
        <v>7.8675918341844631E-20</v>
      </c>
      <c r="D621" s="49">
        <f t="shared" si="122"/>
        <v>2.4479182565165787E-18</v>
      </c>
      <c r="E621" s="49">
        <f t="shared" si="122"/>
        <v>5.0293749869152562E-17</v>
      </c>
      <c r="F621" s="49">
        <f t="shared" si="122"/>
        <v>7.6756614838369379E-16</v>
      </c>
      <c r="G621" s="49">
        <f t="shared" si="122"/>
        <v>9.2811434392690148E-15</v>
      </c>
      <c r="H621" s="49">
        <f t="shared" si="122"/>
        <v>9.2612728059905287E-14</v>
      </c>
      <c r="I621" s="49">
        <f t="shared" si="122"/>
        <v>7.8438495671156655E-13</v>
      </c>
      <c r="J621" s="49">
        <f t="shared" si="122"/>
        <v>5.7557793803682224E-12</v>
      </c>
      <c r="K621" s="49">
        <f t="shared" si="122"/>
        <v>3.7171291352679164E-11</v>
      </c>
      <c r="L621" s="49">
        <f t="shared" si="123"/>
        <v>2.1389898259264317E-10</v>
      </c>
      <c r="M621" s="49">
        <f t="shared" si="123"/>
        <v>1.1077640493738433E-9</v>
      </c>
      <c r="N621" s="49">
        <f t="shared" si="123"/>
        <v>5.2059978332519465E-9</v>
      </c>
      <c r="O621" s="49">
        <f t="shared" si="123"/>
        <v>2.2355460591749147E-8</v>
      </c>
      <c r="P621" s="49">
        <f t="shared" si="123"/>
        <v>8.8235624913538251E-8</v>
      </c>
      <c r="Q621" s="49">
        <f t="shared" si="123"/>
        <v>3.217283050113972E-7</v>
      </c>
      <c r="R621" s="49">
        <f t="shared" si="123"/>
        <v>1.0885282698946334E-6</v>
      </c>
      <c r="S621" s="49">
        <f t="shared" si="123"/>
        <v>3.4307110677072569E-6</v>
      </c>
      <c r="T621" s="49">
        <f t="shared" si="123"/>
        <v>1.0106970108471361E-5</v>
      </c>
      <c r="U621" s="49">
        <f t="shared" si="123"/>
        <v>2.7918396573189021E-5</v>
      </c>
      <c r="V621" s="49">
        <f t="shared" si="123"/>
        <v>7.2510449209680882E-5</v>
      </c>
      <c r="W621" s="47">
        <v>0.38200000000000001</v>
      </c>
    </row>
    <row r="622" spans="2:23" x14ac:dyDescent="0.25">
      <c r="B622" s="49">
        <f t="shared" si="122"/>
        <v>1.4721842251221717E-21</v>
      </c>
      <c r="C622" s="49">
        <f t="shared" si="122"/>
        <v>9.2098509990922604E-20</v>
      </c>
      <c r="D622" s="49">
        <f t="shared" si="122"/>
        <v>2.853631591809726E-18</v>
      </c>
      <c r="E622" s="49">
        <f t="shared" si="122"/>
        <v>5.8385746667983423E-17</v>
      </c>
      <c r="F622" s="49">
        <f t="shared" si="122"/>
        <v>8.8736481921866365E-16</v>
      </c>
      <c r="G622" s="49">
        <f t="shared" si="122"/>
        <v>1.0685216709584869E-14</v>
      </c>
      <c r="H622" s="49">
        <f t="shared" si="122"/>
        <v>1.0618178489549859E-13</v>
      </c>
      <c r="I622" s="49">
        <f t="shared" si="122"/>
        <v>8.9558807673407412E-13</v>
      </c>
      <c r="J622" s="49">
        <f t="shared" si="122"/>
        <v>6.544632833045429E-12</v>
      </c>
      <c r="K622" s="49">
        <f t="shared" si="122"/>
        <v>4.2091413075064439E-11</v>
      </c>
      <c r="L622" s="49">
        <f t="shared" si="123"/>
        <v>2.4121378769129917E-10</v>
      </c>
      <c r="M622" s="49">
        <f t="shared" si="123"/>
        <v>1.2440886683737078E-9</v>
      </c>
      <c r="N622" s="49">
        <f t="shared" si="123"/>
        <v>5.8226690804719795E-9</v>
      </c>
      <c r="O622" s="49">
        <f t="shared" si="123"/>
        <v>2.4901157508632819E-8</v>
      </c>
      <c r="P622" s="49">
        <f t="shared" si="123"/>
        <v>9.788175966923086E-8</v>
      </c>
      <c r="Q622" s="49">
        <f t="shared" si="123"/>
        <v>3.5544587904458348E-7</v>
      </c>
      <c r="R622" s="49">
        <f t="shared" si="123"/>
        <v>1.197720080498507E-6</v>
      </c>
      <c r="S622" s="49">
        <f t="shared" si="123"/>
        <v>3.7595572457326392E-6</v>
      </c>
      <c r="T622" s="49">
        <f t="shared" si="123"/>
        <v>1.103104425988558E-5</v>
      </c>
      <c r="U622" s="49">
        <f t="shared" si="123"/>
        <v>3.0348417603857603E-5</v>
      </c>
      <c r="V622" s="49">
        <f t="shared" si="123"/>
        <v>7.8506163529941294E-5</v>
      </c>
      <c r="W622" s="47">
        <v>0.38100000000000001</v>
      </c>
    </row>
    <row r="623" spans="2:23" x14ac:dyDescent="0.25">
      <c r="B623" s="49">
        <f t="shared" ref="B623:K632" si="124">_xlfn.HYPGEOM.DIST(B$2,comau,tongtheN*$W623,tongtheN,TRUE)</f>
        <v>1.7300986848880328E-21</v>
      </c>
      <c r="C623" s="49">
        <f t="shared" si="124"/>
        <v>1.0778251699175145E-19</v>
      </c>
      <c r="D623" s="49">
        <f t="shared" si="124"/>
        <v>3.3256928552188226E-18</v>
      </c>
      <c r="E623" s="49">
        <f t="shared" si="124"/>
        <v>6.7761220284765924E-17</v>
      </c>
      <c r="F623" s="49">
        <f t="shared" si="124"/>
        <v>1.0255775173221579E-15</v>
      </c>
      <c r="G623" s="49">
        <f t="shared" si="124"/>
        <v>1.2298253038430556E-14</v>
      </c>
      <c r="H623" s="49">
        <f t="shared" si="124"/>
        <v>1.2170431353835622E-13</v>
      </c>
      <c r="I623" s="49">
        <f t="shared" si="124"/>
        <v>1.0222622888633548E-12</v>
      </c>
      <c r="J623" s="49">
        <f t="shared" si="124"/>
        <v>7.4394328856206812E-12</v>
      </c>
      <c r="K623" s="49">
        <f t="shared" si="124"/>
        <v>4.7648714432692988E-11</v>
      </c>
      <c r="L623" s="49">
        <f t="shared" ref="L623:V632" si="125">_xlfn.HYPGEOM.DIST(L$2,comau,tongtheN*$W623,tongtheN,TRUE)</f>
        <v>2.7193544477315354E-10</v>
      </c>
      <c r="M623" s="49">
        <f t="shared" si="125"/>
        <v>1.3967676497883001E-9</v>
      </c>
      <c r="N623" s="49">
        <f t="shared" si="125"/>
        <v>6.5103976890946786E-9</v>
      </c>
      <c r="O623" s="49">
        <f t="shared" si="125"/>
        <v>2.7728175142595963E-8</v>
      </c>
      <c r="P623" s="49">
        <f t="shared" si="125"/>
        <v>1.0854854549156914E-7</v>
      </c>
      <c r="Q623" s="49">
        <f t="shared" si="125"/>
        <v>3.9257331856192186E-7</v>
      </c>
      <c r="R623" s="49">
        <f t="shared" si="125"/>
        <v>1.3174457228909172E-6</v>
      </c>
      <c r="S623" s="49">
        <f t="shared" si="125"/>
        <v>4.1186017932674023E-6</v>
      </c>
      <c r="T623" s="49">
        <f t="shared" si="125"/>
        <v>1.2035708138052327E-5</v>
      </c>
      <c r="U623" s="49">
        <f t="shared" si="125"/>
        <v>3.2979184850410061E-5</v>
      </c>
      <c r="V623" s="49">
        <f t="shared" si="125"/>
        <v>8.4969723069372097E-5</v>
      </c>
      <c r="W623" s="47">
        <v>0.38</v>
      </c>
    </row>
    <row r="624" spans="2:23" x14ac:dyDescent="0.25">
      <c r="B624" s="49">
        <f t="shared" si="124"/>
        <v>2.0326686879321904E-21</v>
      </c>
      <c r="C624" s="49">
        <f t="shared" si="124"/>
        <v>1.2610413272724579E-19</v>
      </c>
      <c r="D624" s="49">
        <f t="shared" si="124"/>
        <v>3.874805786720923E-18</v>
      </c>
      <c r="E624" s="49">
        <f t="shared" si="124"/>
        <v>7.8620801733425475E-17</v>
      </c>
      <c r="F624" s="49">
        <f t="shared" si="124"/>
        <v>1.1849907540158213E-15</v>
      </c>
      <c r="G624" s="49">
        <f t="shared" si="124"/>
        <v>1.4150833787292837E-14</v>
      </c>
      <c r="H624" s="49">
        <f t="shared" si="124"/>
        <v>1.3945650736937948E-13</v>
      </c>
      <c r="I624" s="49">
        <f t="shared" si="124"/>
        <v>1.1665184384635726E-12</v>
      </c>
      <c r="J624" s="49">
        <f t="shared" si="124"/>
        <v>8.4541119223973716E-12</v>
      </c>
      <c r="K624" s="49">
        <f t="shared" si="124"/>
        <v>5.3923851226544258E-11</v>
      </c>
      <c r="L624" s="49">
        <f t="shared" si="125"/>
        <v>3.06478476304226E-10</v>
      </c>
      <c r="M624" s="49">
        <f t="shared" si="125"/>
        <v>1.5677107703721201E-9</v>
      </c>
      <c r="N624" s="49">
        <f t="shared" si="125"/>
        <v>7.2771339920968154E-9</v>
      </c>
      <c r="O624" s="49">
        <f t="shared" si="125"/>
        <v>3.0866616475159852E-8</v>
      </c>
      <c r="P624" s="49">
        <f t="shared" si="125"/>
        <v>1.2034022409878196E-7</v>
      </c>
      <c r="Q624" s="49">
        <f t="shared" si="125"/>
        <v>4.3344228163689409E-7</v>
      </c>
      <c r="R624" s="49">
        <f t="shared" si="125"/>
        <v>1.4486785112294003E-6</v>
      </c>
      <c r="S624" s="49">
        <f t="shared" si="125"/>
        <v>4.5104880895653705E-6</v>
      </c>
      <c r="T624" s="49">
        <f t="shared" si="125"/>
        <v>1.3127623785115246E-5</v>
      </c>
      <c r="U624" s="49">
        <f t="shared" si="125"/>
        <v>3.5826314787793771E-5</v>
      </c>
      <c r="V624" s="49">
        <f t="shared" si="125"/>
        <v>9.1935237164326338E-5</v>
      </c>
      <c r="W624" s="47">
        <v>0.379</v>
      </c>
    </row>
    <row r="625" spans="2:23" x14ac:dyDescent="0.25">
      <c r="B625" s="49">
        <f t="shared" si="124"/>
        <v>2.387534670847774E-21</v>
      </c>
      <c r="C625" s="49">
        <f t="shared" si="124"/>
        <v>1.4750133281617803E-19</v>
      </c>
      <c r="D625" s="49">
        <f t="shared" si="124"/>
        <v>4.5133772776531517E-18</v>
      </c>
      <c r="E625" s="49">
        <f t="shared" si="124"/>
        <v>9.1196022480724513E-17</v>
      </c>
      <c r="F625" s="49">
        <f t="shared" si="124"/>
        <v>1.3688060239577285E-15</v>
      </c>
      <c r="G625" s="49">
        <f t="shared" si="124"/>
        <v>1.6277939281292611E-14</v>
      </c>
      <c r="H625" s="49">
        <f t="shared" si="124"/>
        <v>1.5975288755692686E-13</v>
      </c>
      <c r="I625" s="49">
        <f t="shared" si="124"/>
        <v>1.3307496019854295E-12</v>
      </c>
      <c r="J625" s="49">
        <f t="shared" si="124"/>
        <v>9.6043946453126259E-12</v>
      </c>
      <c r="K625" s="49">
        <f t="shared" si="124"/>
        <v>6.1007447183327765E-11</v>
      </c>
      <c r="L625" s="49">
        <f t="shared" si="125"/>
        <v>3.4530653768769121E-10</v>
      </c>
      <c r="M625" s="49">
        <f t="shared" si="125"/>
        <v>1.7590445103862288E-9</v>
      </c>
      <c r="N625" s="49">
        <f t="shared" si="125"/>
        <v>8.1316902005213489E-9</v>
      </c>
      <c r="O625" s="49">
        <f t="shared" si="125"/>
        <v>3.4349695243583268E-8</v>
      </c>
      <c r="P625" s="49">
        <f t="shared" si="125"/>
        <v>1.3337127942278878E-7</v>
      </c>
      <c r="Q625" s="49">
        <f t="shared" si="125"/>
        <v>4.7841532188115772E-7</v>
      </c>
      <c r="R625" s="49">
        <f t="shared" si="125"/>
        <v>1.5924774425069097E-6</v>
      </c>
      <c r="S625" s="49">
        <f t="shared" si="125"/>
        <v>4.938078593810796E-6</v>
      </c>
      <c r="T625" s="49">
        <f t="shared" si="125"/>
        <v>1.4313970787366666E-5</v>
      </c>
      <c r="U625" s="49">
        <f t="shared" si="125"/>
        <v>3.8906555156423412E-5</v>
      </c>
      <c r="V625" s="49">
        <f t="shared" si="125"/>
        <v>9.9439104858080587E-5</v>
      </c>
      <c r="W625" s="47">
        <v>0.378</v>
      </c>
    </row>
    <row r="626" spans="2:23" x14ac:dyDescent="0.25">
      <c r="B626" s="49">
        <f t="shared" si="124"/>
        <v>2.8036287656822751E-21</v>
      </c>
      <c r="C626" s="49">
        <f t="shared" si="124"/>
        <v>1.7248389054388172E-19</v>
      </c>
      <c r="D626" s="49">
        <f t="shared" si="124"/>
        <v>5.2557846001549423E-18</v>
      </c>
      <c r="E626" s="49">
        <f t="shared" si="124"/>
        <v>1.0575400212963438E-16</v>
      </c>
      <c r="F626" s="49">
        <f t="shared" si="124"/>
        <v>1.5807006028238165E-15</v>
      </c>
      <c r="G626" s="49">
        <f t="shared" si="124"/>
        <v>1.8719570434408711E-14</v>
      </c>
      <c r="H626" s="49">
        <f t="shared" si="124"/>
        <v>1.8295152011300413E-13</v>
      </c>
      <c r="I626" s="49">
        <f t="shared" si="124"/>
        <v>1.5176680363716114E-12</v>
      </c>
      <c r="J626" s="49">
        <f t="shared" si="124"/>
        <v>1.0908023395678869E-11</v>
      </c>
      <c r="K626" s="49">
        <f t="shared" si="124"/>
        <v>6.9001295113567658E-11</v>
      </c>
      <c r="L626" s="49">
        <f t="shared" si="125"/>
        <v>3.8893808110989671E-10</v>
      </c>
      <c r="M626" s="49">
        <f t="shared" si="125"/>
        <v>1.9731358977816542E-9</v>
      </c>
      <c r="N626" s="49">
        <f t="shared" si="125"/>
        <v>9.0838306961797171E-9</v>
      </c>
      <c r="O626" s="49">
        <f t="shared" si="125"/>
        <v>3.8214045345832394E-8</v>
      </c>
      <c r="P626" s="49">
        <f t="shared" si="125"/>
        <v>1.4776740164035336E-7</v>
      </c>
      <c r="Q626" s="49">
        <f t="shared" si="125"/>
        <v>5.278886298963038E-7</v>
      </c>
      <c r="R626" s="49">
        <f t="shared" si="125"/>
        <v>1.7499943320475124E-6</v>
      </c>
      <c r="S626" s="49">
        <f t="shared" si="125"/>
        <v>5.4044718765523575E-6</v>
      </c>
      <c r="T626" s="49">
        <f t="shared" si="125"/>
        <v>1.5602483588964765E-5</v>
      </c>
      <c r="U626" s="49">
        <f t="shared" si="125"/>
        <v>4.2237859984448524E-5</v>
      </c>
      <c r="V626" s="49">
        <f t="shared" si="125"/>
        <v>1.0752015309649929E-4</v>
      </c>
      <c r="W626" s="47">
        <v>0.377</v>
      </c>
    </row>
    <row r="627" spans="2:23" x14ac:dyDescent="0.25">
      <c r="B627" s="49">
        <f t="shared" si="124"/>
        <v>3.291390552690341E-21</v>
      </c>
      <c r="C627" s="49">
        <f t="shared" si="124"/>
        <v>2.0164499464483165E-19</v>
      </c>
      <c r="D627" s="49">
        <f t="shared" si="124"/>
        <v>6.1186839724117274E-18</v>
      </c>
      <c r="E627" s="49">
        <f t="shared" si="124"/>
        <v>1.22602836328184E-16</v>
      </c>
      <c r="F627" s="49">
        <f t="shared" si="124"/>
        <v>1.8248971037473964E-15</v>
      </c>
      <c r="G627" s="49">
        <f t="shared" si="124"/>
        <v>2.1521456622147389E-14</v>
      </c>
      <c r="H627" s="49">
        <f t="shared" si="124"/>
        <v>2.0945992898444379E-13</v>
      </c>
      <c r="I627" s="49">
        <f t="shared" si="124"/>
        <v>1.7303468605896282E-12</v>
      </c>
      <c r="J627" s="49">
        <f t="shared" si="124"/>
        <v>1.2385011124203031E-11</v>
      </c>
      <c r="K627" s="49">
        <f t="shared" si="124"/>
        <v>7.8019698984000834E-11</v>
      </c>
      <c r="L627" s="49">
        <f t="shared" si="125"/>
        <v>4.3795265312695131E-10</v>
      </c>
      <c r="M627" s="49">
        <f t="shared" si="125"/>
        <v>2.2126188900665686E-9</v>
      </c>
      <c r="N627" s="49">
        <f t="shared" si="125"/>
        <v>1.0144371435915289E-8</v>
      </c>
      <c r="O627" s="49">
        <f t="shared" si="125"/>
        <v>4.2500059741023054E-8</v>
      </c>
      <c r="P627" s="49">
        <f t="shared" si="125"/>
        <v>1.6366653764471023E-7</v>
      </c>
      <c r="Q627" s="49">
        <f t="shared" si="125"/>
        <v>5.8229500472523681E-7</v>
      </c>
      <c r="R627" s="49">
        <f t="shared" si="125"/>
        <v>1.9224815055293744E-6</v>
      </c>
      <c r="S627" s="49">
        <f t="shared" si="125"/>
        <v>5.9130208759786674E-6</v>
      </c>
      <c r="T627" s="49">
        <f t="shared" si="125"/>
        <v>1.7001491253679383E-5</v>
      </c>
      <c r="U627" s="49">
        <f t="shared" si="125"/>
        <v>4.5839469034820917E-5</v>
      </c>
      <c r="V627" s="49">
        <f t="shared" si="125"/>
        <v>1.1621978209678951E-4</v>
      </c>
      <c r="W627" s="47">
        <v>0.376</v>
      </c>
    </row>
    <row r="628" spans="2:23" x14ac:dyDescent="0.25">
      <c r="B628" s="49">
        <f t="shared" si="124"/>
        <v>3.8630184139850783E-21</v>
      </c>
      <c r="C628" s="49">
        <f t="shared" si="124"/>
        <v>2.3567472239801589E-19</v>
      </c>
      <c r="D628" s="49">
        <f t="shared" si="124"/>
        <v>7.1213667615778282E-18</v>
      </c>
      <c r="E628" s="49">
        <f t="shared" si="124"/>
        <v>1.4209778785967732E-16</v>
      </c>
      <c r="F628" s="49">
        <f t="shared" si="124"/>
        <v>2.106243032715572E-15</v>
      </c>
      <c r="G628" s="49">
        <f t="shared" si="124"/>
        <v>2.4735861543326511E-14</v>
      </c>
      <c r="H628" s="49">
        <f t="shared" si="124"/>
        <v>2.3974179612264599E-13</v>
      </c>
      <c r="I628" s="49">
        <f t="shared" si="124"/>
        <v>1.9722670615142333E-12</v>
      </c>
      <c r="J628" s="49">
        <f t="shared" si="124"/>
        <v>1.40579253160419E-11</v>
      </c>
      <c r="K628" s="49">
        <f t="shared" si="124"/>
        <v>8.8190972969226937E-11</v>
      </c>
      <c r="L628" s="49">
        <f t="shared" si="125"/>
        <v>4.9299789465741538E-10</v>
      </c>
      <c r="M628" s="49">
        <f t="shared" si="125"/>
        <v>2.4804235542771598E-9</v>
      </c>
      <c r="N628" s="49">
        <f t="shared" si="125"/>
        <v>1.1325289349424907E-8</v>
      </c>
      <c r="O628" s="49">
        <f t="shared" si="125"/>
        <v>4.7252261525332692E-8</v>
      </c>
      <c r="P628" s="49">
        <f t="shared" si="125"/>
        <v>1.812200352854149E-7</v>
      </c>
      <c r="Q628" s="49">
        <f t="shared" si="125"/>
        <v>6.4210707335556198E-7</v>
      </c>
      <c r="R628" s="49">
        <f t="shared" si="125"/>
        <v>2.1113000875739559E-6</v>
      </c>
      <c r="S628" s="49">
        <f t="shared" si="125"/>
        <v>6.467352458706463E-6</v>
      </c>
      <c r="T628" s="49">
        <f t="shared" si="125"/>
        <v>1.8519959815770191E-5</v>
      </c>
      <c r="U628" s="49">
        <f t="shared" si="125"/>
        <v>4.973199189609073E-5</v>
      </c>
      <c r="V628" s="49">
        <f t="shared" si="125"/>
        <v>1.2558211817691655E-4</v>
      </c>
      <c r="W628" s="47">
        <v>0.375</v>
      </c>
    </row>
    <row r="629" spans="2:23" x14ac:dyDescent="0.25">
      <c r="B629" s="49">
        <f t="shared" si="124"/>
        <v>4.5327622907462688E-21</v>
      </c>
      <c r="C629" s="49">
        <f t="shared" si="124"/>
        <v>2.753756603945836E-19</v>
      </c>
      <c r="D629" s="49">
        <f t="shared" si="124"/>
        <v>8.2861705729259841E-18</v>
      </c>
      <c r="E629" s="49">
        <f t="shared" si="124"/>
        <v>1.646483987649425E-16</v>
      </c>
      <c r="F629" s="49">
        <f t="shared" si="124"/>
        <v>2.4303017556274751E-15</v>
      </c>
      <c r="G629" s="49">
        <f t="shared" si="124"/>
        <v>2.842250038001694E-14</v>
      </c>
      <c r="H629" s="49">
        <f t="shared" si="124"/>
        <v>2.7432455110147392E-13</v>
      </c>
      <c r="I629" s="49">
        <f t="shared" si="124"/>
        <v>2.2473704887146431E-12</v>
      </c>
      <c r="J629" s="49">
        <f t="shared" si="124"/>
        <v>1.5952206562482633E-11</v>
      </c>
      <c r="K629" s="49">
        <f t="shared" si="124"/>
        <v>9.9659115323337607E-11</v>
      </c>
      <c r="L629" s="49">
        <f t="shared" si="125"/>
        <v>5.547973192298312E-10</v>
      </c>
      <c r="M629" s="49">
        <f t="shared" si="125"/>
        <v>2.7798083311366115E-9</v>
      </c>
      <c r="N629" s="49">
        <f t="shared" si="125"/>
        <v>1.2639842694078292E-8</v>
      </c>
      <c r="O629" s="49">
        <f t="shared" si="125"/>
        <v>5.2519710093675938E-8</v>
      </c>
      <c r="P629" s="49">
        <f t="shared" si="125"/>
        <v>2.0059388928500708E-7</v>
      </c>
      <c r="Q629" s="49">
        <f t="shared" si="125"/>
        <v>7.0784077763103047E-7</v>
      </c>
      <c r="R629" s="49">
        <f t="shared" si="125"/>
        <v>2.3179289295311283E-6</v>
      </c>
      <c r="S629" s="49">
        <f t="shared" si="125"/>
        <v>7.071388369243612E-6</v>
      </c>
      <c r="T629" s="49">
        <f t="shared" si="125"/>
        <v>2.0167537367714476E-5</v>
      </c>
      <c r="U629" s="49">
        <f t="shared" si="125"/>
        <v>5.3937496943549803E-5</v>
      </c>
      <c r="V629" s="49">
        <f t="shared" si="125"/>
        <v>1.3565417433868276E-4</v>
      </c>
      <c r="W629" s="47">
        <v>0.374</v>
      </c>
    </row>
    <row r="630" spans="2:23" x14ac:dyDescent="0.25">
      <c r="B630" s="49">
        <f t="shared" si="124"/>
        <v>5.3172645807739617E-21</v>
      </c>
      <c r="C630" s="49">
        <f t="shared" si="124"/>
        <v>3.2168101078800267E-19</v>
      </c>
      <c r="D630" s="49">
        <f t="shared" si="124"/>
        <v>9.6389535605235762E-18</v>
      </c>
      <c r="E630" s="49">
        <f t="shared" si="124"/>
        <v>1.9072665836130038E-16</v>
      </c>
      <c r="F630" s="49">
        <f t="shared" si="124"/>
        <v>2.8034564857828962E-15</v>
      </c>
      <c r="G630" s="49">
        <f t="shared" si="124"/>
        <v>3.2649583337025396E-14</v>
      </c>
      <c r="H630" s="49">
        <f t="shared" si="124"/>
        <v>3.1380796593184906E-13</v>
      </c>
      <c r="I630" s="49">
        <f t="shared" si="124"/>
        <v>2.5601195836471627E-12</v>
      </c>
      <c r="J630" s="49">
        <f t="shared" si="124"/>
        <v>1.8096525899186945E-11</v>
      </c>
      <c r="K630" s="49">
        <f t="shared" si="124"/>
        <v>1.1258567687805011E-10</v>
      </c>
      <c r="L630" s="49">
        <f t="shared" si="125"/>
        <v>6.2415895323966695E-10</v>
      </c>
      <c r="M630" s="49">
        <f t="shared" si="125"/>
        <v>3.1143956975699822E-9</v>
      </c>
      <c r="N630" s="49">
        <f t="shared" si="125"/>
        <v>1.4102703418753222E-8</v>
      </c>
      <c r="O630" s="49">
        <f t="shared" si="125"/>
        <v>5.8356445546256904E-8</v>
      </c>
      <c r="P630" s="49">
        <f t="shared" si="125"/>
        <v>2.2197009736424611E-7</v>
      </c>
      <c r="Q630" s="49">
        <f t="shared" si="125"/>
        <v>7.8005914931581591E-7</v>
      </c>
      <c r="R630" s="49">
        <f t="shared" si="125"/>
        <v>2.5439742218226114E-6</v>
      </c>
      <c r="S630" s="49">
        <f t="shared" si="125"/>
        <v>7.7293676569806571E-6</v>
      </c>
      <c r="T630" s="49">
        <f t="shared" si="125"/>
        <v>2.1954602039303617E-5</v>
      </c>
      <c r="U630" s="49">
        <f t="shared" si="125"/>
        <v>5.8479605405060427E-5</v>
      </c>
      <c r="V630" s="49">
        <f t="shared" si="125"/>
        <v>1.4648601890246784E-4</v>
      </c>
      <c r="W630" s="47">
        <v>0.373</v>
      </c>
    </row>
    <row r="631" spans="2:23" x14ac:dyDescent="0.25">
      <c r="B631" s="49">
        <f t="shared" si="124"/>
        <v>6.2359569958146867E-21</v>
      </c>
      <c r="C631" s="49">
        <f t="shared" si="124"/>
        <v>3.7567557325799434E-19</v>
      </c>
      <c r="D631" s="49">
        <f t="shared" si="124"/>
        <v>1.1209641541976342E-17</v>
      </c>
      <c r="E631" s="49">
        <f t="shared" si="124"/>
        <v>2.2087638145293529E-16</v>
      </c>
      <c r="F631" s="49">
        <f t="shared" si="124"/>
        <v>3.2330291233478395E-15</v>
      </c>
      <c r="G631" s="49">
        <f t="shared" si="124"/>
        <v>3.7495002645914786E-14</v>
      </c>
      <c r="H631" s="49">
        <f t="shared" si="124"/>
        <v>3.5887388543021461E-13</v>
      </c>
      <c r="I631" s="49">
        <f t="shared" si="124"/>
        <v>2.9155646793069962E-12</v>
      </c>
      <c r="J631" s="49">
        <f t="shared" si="124"/>
        <v>2.0523185507527286E-11</v>
      </c>
      <c r="K631" s="49">
        <f t="shared" si="124"/>
        <v>1.2715184614891579E-10</v>
      </c>
      <c r="L631" s="49">
        <f t="shared" si="125"/>
        <v>7.0198493066878414E-10</v>
      </c>
      <c r="M631" s="49">
        <f t="shared" si="125"/>
        <v>3.4882115724580438E-9</v>
      </c>
      <c r="N631" s="49">
        <f t="shared" si="125"/>
        <v>1.5730102684980753E-8</v>
      </c>
      <c r="O631" s="49">
        <f t="shared" si="125"/>
        <v>6.4821974767881657E-8</v>
      </c>
      <c r="P631" s="49">
        <f t="shared" si="125"/>
        <v>2.4554813577596692E-7</v>
      </c>
      <c r="Q631" s="49">
        <f t="shared" si="125"/>
        <v>8.5937639553341181E-7</v>
      </c>
      <c r="R631" s="49">
        <f t="shared" si="125"/>
        <v>2.7911798390904511E-6</v>
      </c>
      <c r="S631" s="49">
        <f t="shared" si="125"/>
        <v>8.4458706744583253E-6</v>
      </c>
      <c r="T631" s="49">
        <f t="shared" si="125"/>
        <v>2.3892313029637456E-5</v>
      </c>
      <c r="U631" s="49">
        <f t="shared" si="125"/>
        <v>6.3383590773685898E-5</v>
      </c>
      <c r="V631" s="49">
        <f t="shared" si="125"/>
        <v>1.5813095249626622E-4</v>
      </c>
      <c r="W631" s="47">
        <v>0.372</v>
      </c>
    </row>
    <row r="632" spans="2:23" x14ac:dyDescent="0.25">
      <c r="B632" s="49">
        <f t="shared" si="124"/>
        <v>7.3115224525430733E-21</v>
      </c>
      <c r="C632" s="49">
        <f t="shared" si="124"/>
        <v>4.3862005336374931E-19</v>
      </c>
      <c r="D632" s="49">
        <f t="shared" si="124"/>
        <v>1.3032858930868012E-17</v>
      </c>
      <c r="E632" s="49">
        <f t="shared" si="124"/>
        <v>2.5572397320988436E-16</v>
      </c>
      <c r="F632" s="49">
        <f t="shared" si="124"/>
        <v>3.7274160314063742E-15</v>
      </c>
      <c r="G632" s="49">
        <f t="shared" si="124"/>
        <v>4.3047682382873985E-14</v>
      </c>
      <c r="H632" s="49">
        <f t="shared" si="124"/>
        <v>4.1029724003455627E-13</v>
      </c>
      <c r="I632" s="49">
        <f t="shared" si="124"/>
        <v>3.3194198076579629E-12</v>
      </c>
      <c r="J632" s="49">
        <f t="shared" si="124"/>
        <v>2.3268567905673895E-11</v>
      </c>
      <c r="K632" s="49">
        <f t="shared" si="124"/>
        <v>1.4356077543713862E-10</v>
      </c>
      <c r="L632" s="49">
        <f t="shared" si="125"/>
        <v>7.8928214428686146E-10</v>
      </c>
      <c r="M632" s="49">
        <f t="shared" si="125"/>
        <v>3.9057288440938692E-9</v>
      </c>
      <c r="N632" s="49">
        <f t="shared" si="125"/>
        <v>1.7539990798300518E-8</v>
      </c>
      <c r="O632" s="49">
        <f t="shared" si="125"/>
        <v>7.1981802897885813E-8</v>
      </c>
      <c r="P632" s="49">
        <f t="shared" si="125"/>
        <v>2.7154656416379176E-7</v>
      </c>
      <c r="Q632" s="49">
        <f t="shared" si="125"/>
        <v>9.464623183727727E-7</v>
      </c>
      <c r="R632" s="49">
        <f t="shared" si="125"/>
        <v>3.0614384694340385E-6</v>
      </c>
      <c r="S632" s="49">
        <f t="shared" si="125"/>
        <v>9.2258447457609115E-6</v>
      </c>
      <c r="T632" s="49">
        <f t="shared" si="125"/>
        <v>2.5992664860695969E-5</v>
      </c>
      <c r="U632" s="49">
        <f t="shared" si="125"/>
        <v>6.8676483816902846E-5</v>
      </c>
      <c r="V632" s="49">
        <f t="shared" si="125"/>
        <v>1.7064569370574801E-4</v>
      </c>
      <c r="W632" s="47">
        <v>0.371</v>
      </c>
    </row>
    <row r="633" spans="2:23" x14ac:dyDescent="0.25">
      <c r="B633" s="49">
        <f t="shared" ref="B633:K642" si="126">_xlfn.HYPGEOM.DIST(B$2,comau,tongtheN*$W633,tongtheN,TRUE)</f>
        <v>8.5704325242947892E-21</v>
      </c>
      <c r="C633" s="49">
        <f t="shared" si="126"/>
        <v>5.1197921764124611E-19</v>
      </c>
      <c r="D633" s="49">
        <f t="shared" si="126"/>
        <v>1.5148656142117652E-17</v>
      </c>
      <c r="E633" s="49">
        <f t="shared" si="126"/>
        <v>2.9599078251244528E-16</v>
      </c>
      <c r="F633" s="49">
        <f t="shared" si="126"/>
        <v>4.2962431205933196E-15</v>
      </c>
      <c r="G633" s="49">
        <f t="shared" si="126"/>
        <v>4.9409113008068428E-14</v>
      </c>
      <c r="H633" s="49">
        <f t="shared" si="126"/>
        <v>4.689585065482913E-13</v>
      </c>
      <c r="I633" s="49">
        <f t="shared" si="126"/>
        <v>3.7781480653804849E-12</v>
      </c>
      <c r="J633" s="49">
        <f t="shared" si="126"/>
        <v>2.6373639345551976E-11</v>
      </c>
      <c r="K633" s="49">
        <f t="shared" si="126"/>
        <v>1.6204017497511365E-10</v>
      </c>
      <c r="L633" s="49">
        <f t="shared" ref="L633:V642" si="127">_xlfn.HYPGEOM.DIST(L$2,comau,tongtheN*$W633,tongtheN,TRUE)</f>
        <v>8.8717406587272648E-10</v>
      </c>
      <c r="M633" s="49">
        <f t="shared" si="127"/>
        <v>4.3719154345075074E-9</v>
      </c>
      <c r="N633" s="49">
        <f t="shared" si="127"/>
        <v>1.9552212916353879E-8</v>
      </c>
      <c r="O633" s="49">
        <f t="shared" si="127"/>
        <v>7.9908014221589445E-8</v>
      </c>
      <c r="P633" s="49">
        <f t="shared" si="127"/>
        <v>3.0020477042924236E-7</v>
      </c>
      <c r="Q633" s="49">
        <f t="shared" si="127"/>
        <v>1.0420470941242334E-6</v>
      </c>
      <c r="R633" s="49">
        <f t="shared" si="127"/>
        <v>3.3568035822200078E-6</v>
      </c>
      <c r="S633" s="49">
        <f t="shared" si="127"/>
        <v>1.0074631609192079E-5</v>
      </c>
      <c r="T633" s="49">
        <f t="shared" si="127"/>
        <v>2.8268545028565656E-5</v>
      </c>
      <c r="U633" s="49">
        <f t="shared" si="127"/>
        <v>7.438718343993294E-5</v>
      </c>
      <c r="V633" s="49">
        <f t="shared" si="127"/>
        <v>1.8409057369563967E-4</v>
      </c>
      <c r="W633" s="47">
        <v>0.37</v>
      </c>
    </row>
    <row r="634" spans="2:23" x14ac:dyDescent="0.25">
      <c r="B634" s="49">
        <f t="shared" si="126"/>
        <v>1.004357266369633E-20</v>
      </c>
      <c r="C634" s="49">
        <f t="shared" si="126"/>
        <v>5.9745449610519569E-19</v>
      </c>
      <c r="D634" s="49">
        <f t="shared" si="126"/>
        <v>1.7603348008081156E-17</v>
      </c>
      <c r="E634" s="49">
        <f t="shared" si="126"/>
        <v>3.4250727444916182E-16</v>
      </c>
      <c r="F634" s="49">
        <f t="shared" si="126"/>
        <v>4.9505429405809231E-15</v>
      </c>
      <c r="G634" s="49">
        <f t="shared" si="126"/>
        <v>5.669509542372727E-14</v>
      </c>
      <c r="H634" s="49">
        <f t="shared" si="126"/>
        <v>5.3585780317615095E-13</v>
      </c>
      <c r="I634" s="49">
        <f t="shared" si="126"/>
        <v>4.2990577150122581E-12</v>
      </c>
      <c r="J634" s="49">
        <f t="shared" si="126"/>
        <v>2.9884513787037627E-11</v>
      </c>
      <c r="K634" s="49">
        <f t="shared" si="126"/>
        <v>1.8284520510450451E-10</v>
      </c>
      <c r="L634" s="49">
        <f t="shared" si="127"/>
        <v>9.9691385955271517E-10</v>
      </c>
      <c r="M634" s="49">
        <f t="shared" si="127"/>
        <v>4.8922873559189693E-9</v>
      </c>
      <c r="N634" s="49">
        <f t="shared" si="127"/>
        <v>2.1788702023580016E-8</v>
      </c>
      <c r="O634" s="49">
        <f t="shared" si="127"/>
        <v>8.8679906851561503E-8</v>
      </c>
      <c r="P634" s="49">
        <f t="shared" si="127"/>
        <v>3.3178486711217516E-7</v>
      </c>
      <c r="Q634" s="49">
        <f t="shared" si="127"/>
        <v>1.1469264393806109E-6</v>
      </c>
      <c r="R634" s="49">
        <f t="shared" si="127"/>
        <v>3.6795022923158403E-6</v>
      </c>
      <c r="S634" s="49">
        <f t="shared" si="127"/>
        <v>1.0997996743919394E-5</v>
      </c>
      <c r="T634" s="49">
        <f t="shared" si="127"/>
        <v>3.0733795235879282E-5</v>
      </c>
      <c r="U634" s="49">
        <f t="shared" si="127"/>
        <v>8.0546573668269054E-5</v>
      </c>
      <c r="V634" s="49">
        <f t="shared" si="127"/>
        <v>1.9852974011565021E-4</v>
      </c>
      <c r="W634" s="47">
        <v>0.36899999999999999</v>
      </c>
    </row>
    <row r="635" spans="2:23" x14ac:dyDescent="0.25">
      <c r="B635" s="49">
        <f t="shared" si="126"/>
        <v>1.1766969355128396E-20</v>
      </c>
      <c r="C635" s="49">
        <f t="shared" si="126"/>
        <v>6.9702172534579369E-19</v>
      </c>
      <c r="D635" s="49">
        <f t="shared" si="126"/>
        <v>2.0450479901693215E-17</v>
      </c>
      <c r="E635" s="49">
        <f t="shared" si="126"/>
        <v>3.9622928561583365E-16</v>
      </c>
      <c r="F635" s="49">
        <f t="shared" si="126"/>
        <v>5.7029568470205848E-15</v>
      </c>
      <c r="G635" s="49">
        <f t="shared" si="126"/>
        <v>6.5037722611135604E-14</v>
      </c>
      <c r="H635" s="49">
        <f t="shared" si="126"/>
        <v>6.1213082867527273E-13</v>
      </c>
      <c r="I635" s="49">
        <f t="shared" si="126"/>
        <v>4.8904103399423818E-12</v>
      </c>
      <c r="J635" s="49">
        <f t="shared" si="126"/>
        <v>3.3853084548899084E-11</v>
      </c>
      <c r="K635" s="49">
        <f t="shared" si="126"/>
        <v>2.0626169972554695E-10</v>
      </c>
      <c r="L635" s="49">
        <f t="shared" si="127"/>
        <v>1.1198989250538309E-9</v>
      </c>
      <c r="M635" s="49">
        <f t="shared" si="127"/>
        <v>5.4729672583683298E-9</v>
      </c>
      <c r="N635" s="49">
        <f t="shared" si="127"/>
        <v>2.4273690796235081E-8</v>
      </c>
      <c r="O635" s="49">
        <f t="shared" si="127"/>
        <v>9.8384685930908955E-8</v>
      </c>
      <c r="P635" s="49">
        <f t="shared" si="127"/>
        <v>3.6657375166871095E-7</v>
      </c>
      <c r="Q635" s="49">
        <f t="shared" si="127"/>
        <v>1.2619671931214874E-6</v>
      </c>
      <c r="R635" s="49">
        <f t="shared" si="127"/>
        <v>4.0319491821383444E-6</v>
      </c>
      <c r="S635" s="49">
        <f t="shared" si="127"/>
        <v>1.2002160696009621E-5</v>
      </c>
      <c r="T635" s="49">
        <f t="shared" si="127"/>
        <v>3.3403276396750477E-5</v>
      </c>
      <c r="U635" s="49">
        <f t="shared" si="127"/>
        <v>8.718764702204734E-5</v>
      </c>
      <c r="V635" s="49">
        <f t="shared" si="127"/>
        <v>2.1403137060656497E-4</v>
      </c>
      <c r="W635" s="47">
        <v>0.36799999999999999</v>
      </c>
    </row>
    <row r="636" spans="2:23" x14ac:dyDescent="0.25">
      <c r="B636" s="49">
        <f t="shared" si="126"/>
        <v>1.3782635611922238E-20</v>
      </c>
      <c r="C636" s="49">
        <f t="shared" si="126"/>
        <v>8.1297483200015422E-19</v>
      </c>
      <c r="D636" s="49">
        <f t="shared" si="126"/>
        <v>2.3751940737041313E-17</v>
      </c>
      <c r="E636" s="49">
        <f t="shared" si="126"/>
        <v>4.5825666345331985E-16</v>
      </c>
      <c r="F636" s="49">
        <f t="shared" si="126"/>
        <v>6.5679657327596004E-15</v>
      </c>
      <c r="G636" s="49">
        <f t="shared" si="126"/>
        <v>7.4587630590127972E-14</v>
      </c>
      <c r="H636" s="49">
        <f t="shared" si="126"/>
        <v>6.9906688178800646E-13</v>
      </c>
      <c r="I636" s="49">
        <f t="shared" si="126"/>
        <v>5.561542529636151E-12</v>
      </c>
      <c r="J636" s="49">
        <f t="shared" si="126"/>
        <v>3.8337731544827728E-11</v>
      </c>
      <c r="K636" s="49">
        <f t="shared" si="126"/>
        <v>2.3260975784596815E-10</v>
      </c>
      <c r="L636" s="49">
        <f t="shared" si="127"/>
        <v>1.2576870216167743E-9</v>
      </c>
      <c r="M636" s="49">
        <f t="shared" si="127"/>
        <v>6.1207490153663805E-9</v>
      </c>
      <c r="N636" s="49">
        <f t="shared" si="127"/>
        <v>2.703394412666995E-8</v>
      </c>
      <c r="O636" s="49">
        <f t="shared" si="127"/>
        <v>1.0911822048265876E-7</v>
      </c>
      <c r="P636" s="49">
        <f t="shared" si="127"/>
        <v>4.0488534397101095E-7</v>
      </c>
      <c r="Q636" s="49">
        <f t="shared" si="127"/>
        <v>1.3881133458959835E-6</v>
      </c>
      <c r="R636" s="49">
        <f t="shared" si="127"/>
        <v>4.4167611466300376E-6</v>
      </c>
      <c r="S636" s="49">
        <f t="shared" si="127"/>
        <v>1.3093832525242995E-5</v>
      </c>
      <c r="T636" s="49">
        <f t="shared" si="127"/>
        <v>3.6292937613309046E-5</v>
      </c>
      <c r="U636" s="49">
        <f t="shared" si="127"/>
        <v>9.4345634562244648E-5</v>
      </c>
      <c r="V636" s="49">
        <f t="shared" si="127"/>
        <v>2.3066789622359601E-4</v>
      </c>
      <c r="W636" s="47">
        <v>0.36699999999999999</v>
      </c>
    </row>
    <row r="637" spans="2:23" x14ac:dyDescent="0.25">
      <c r="B637" s="49">
        <f t="shared" si="126"/>
        <v>1.6139553844133137E-20</v>
      </c>
      <c r="C637" s="49">
        <f t="shared" si="126"/>
        <v>9.479763791333479E-19</v>
      </c>
      <c r="D637" s="49">
        <f t="shared" si="126"/>
        <v>2.7579244852983025E-17</v>
      </c>
      <c r="E637" s="49">
        <f t="shared" si="126"/>
        <v>5.2985463372154103E-16</v>
      </c>
      <c r="F637" s="49">
        <f t="shared" si="126"/>
        <v>7.5621532888474382E-15</v>
      </c>
      <c r="G637" s="49">
        <f t="shared" si="126"/>
        <v>8.5516554601609724E-14</v>
      </c>
      <c r="H637" s="49">
        <f t="shared" si="126"/>
        <v>7.9812922669680089E-13</v>
      </c>
      <c r="I637" s="49">
        <f t="shared" si="126"/>
        <v>6.3230027478081172E-12</v>
      </c>
      <c r="J637" s="49">
        <f t="shared" si="126"/>
        <v>4.3404112911176017E-11</v>
      </c>
      <c r="K637" s="49">
        <f t="shared" si="126"/>
        <v>2.6224774402198345E-10</v>
      </c>
      <c r="L637" s="49">
        <f t="shared" si="127"/>
        <v>1.4120141386267598E-9</v>
      </c>
      <c r="M637" s="49">
        <f t="shared" si="127"/>
        <v>6.8431689465728399E-9</v>
      </c>
      <c r="N637" s="49">
        <f t="shared" si="127"/>
        <v>3.0099014233213126E-8</v>
      </c>
      <c r="O637" s="49">
        <f t="shared" si="127"/>
        <v>1.2098586945152105E-7</v>
      </c>
      <c r="P637" s="49">
        <f t="shared" si="127"/>
        <v>4.4706301535846653E-7</v>
      </c>
      <c r="Q637" s="49">
        <f t="shared" si="127"/>
        <v>1.5263925493360695E-6</v>
      </c>
      <c r="R637" s="49">
        <f t="shared" si="127"/>
        <v>4.8367733301807912E-6</v>
      </c>
      <c r="S637" s="49">
        <f t="shared" si="127"/>
        <v>1.4280245500265547E-5</v>
      </c>
      <c r="T637" s="49">
        <f t="shared" si="127"/>
        <v>3.9419889330916225E-5</v>
      </c>
      <c r="U637" s="49">
        <f t="shared" si="127"/>
        <v>1.0205814289589861E-4</v>
      </c>
      <c r="V637" s="49">
        <f t="shared" si="127"/>
        <v>2.4851623509491934E-4</v>
      </c>
      <c r="W637" s="47">
        <v>0.36599999999999999</v>
      </c>
    </row>
    <row r="638" spans="2:23" x14ac:dyDescent="0.25">
      <c r="B638" s="49">
        <f t="shared" si="126"/>
        <v>1.8894818143814674E-20</v>
      </c>
      <c r="C638" s="49">
        <f t="shared" si="126"/>
        <v>1.1051160394036641E-18</v>
      </c>
      <c r="D638" s="49">
        <f t="shared" si="126"/>
        <v>3.201500803362886E-17</v>
      </c>
      <c r="E638" s="49">
        <f t="shared" si="126"/>
        <v>6.1247828906427997E-16</v>
      </c>
      <c r="F638" s="49">
        <f t="shared" si="126"/>
        <v>8.7045063014691144E-15</v>
      </c>
      <c r="G638" s="49">
        <f t="shared" si="126"/>
        <v>9.8020231103601265E-14</v>
      </c>
      <c r="H638" s="49">
        <f t="shared" si="126"/>
        <v>9.1097810343243355E-13</v>
      </c>
      <c r="I638" s="49">
        <f t="shared" si="126"/>
        <v>7.1867052330994911E-12</v>
      </c>
      <c r="J638" s="49">
        <f t="shared" si="126"/>
        <v>4.9126050830189757E-11</v>
      </c>
      <c r="K638" s="49">
        <f t="shared" si="126"/>
        <v>2.9557674285975165E-10</v>
      </c>
      <c r="L638" s="49">
        <f t="shared" si="127"/>
        <v>1.5848142958249913E-9</v>
      </c>
      <c r="M638" s="49">
        <f t="shared" si="127"/>
        <v>7.6485843334007319E-9</v>
      </c>
      <c r="N638" s="49">
        <f t="shared" si="127"/>
        <v>3.3501520452654047E-8</v>
      </c>
      <c r="O638" s="49">
        <f t="shared" si="127"/>
        <v>1.3410338293866444E-7</v>
      </c>
      <c r="P638" s="49">
        <f t="shared" si="127"/>
        <v>4.9348222464384067E-7</v>
      </c>
      <c r="Q638" s="49">
        <f t="shared" si="127"/>
        <v>1.6779231414762428E-6</v>
      </c>
      <c r="R638" s="49">
        <f t="shared" si="127"/>
        <v>5.295056228612899E-6</v>
      </c>
      <c r="S638" s="49">
        <f t="shared" si="127"/>
        <v>1.5569195176051363E-5</v>
      </c>
      <c r="T638" s="49">
        <f t="shared" si="127"/>
        <v>4.2802480887251753E-5</v>
      </c>
      <c r="U638" s="49">
        <f t="shared" si="127"/>
        <v>1.1036529843456455E-4</v>
      </c>
      <c r="V638" s="49">
        <f t="shared" si="127"/>
        <v>2.6765803663328521E-4</v>
      </c>
      <c r="W638" s="47">
        <v>0.36499999999999999</v>
      </c>
    </row>
    <row r="639" spans="2:23" x14ac:dyDescent="0.25">
      <c r="B639" s="49">
        <f t="shared" si="126"/>
        <v>2.2114961529562212E-20</v>
      </c>
      <c r="C639" s="49">
        <f t="shared" si="126"/>
        <v>1.2879782215845947E-18</v>
      </c>
      <c r="D639" s="49">
        <f t="shared" si="126"/>
        <v>3.7154646639928379E-17</v>
      </c>
      <c r="E639" s="49">
        <f t="shared" si="126"/>
        <v>7.0780064729600833E-16</v>
      </c>
      <c r="F639" s="49">
        <f t="shared" si="126"/>
        <v>1.0016757103890436E-14</v>
      </c>
      <c r="G639" s="49">
        <f t="shared" si="126"/>
        <v>1.1232169146123262E-13</v>
      </c>
      <c r="H639" s="49">
        <f t="shared" si="126"/>
        <v>1.0394967194058915E-12</v>
      </c>
      <c r="I639" s="49">
        <f t="shared" si="126"/>
        <v>8.1661030014813563E-12</v>
      </c>
      <c r="J639" s="49">
        <f t="shared" si="126"/>
        <v>5.5586522459194177E-11</v>
      </c>
      <c r="K639" s="49">
        <f t="shared" si="126"/>
        <v>3.3304551757451811E-10</v>
      </c>
      <c r="L639" s="49">
        <f t="shared" si="127"/>
        <v>1.7782414743989512E-9</v>
      </c>
      <c r="M639" s="49">
        <f t="shared" si="127"/>
        <v>8.5462599454781463E-9</v>
      </c>
      <c r="N639" s="49">
        <f t="shared" si="127"/>
        <v>3.7277455997173468E-8</v>
      </c>
      <c r="O639" s="49">
        <f t="shared" si="127"/>
        <v>1.4859788511907015E-7</v>
      </c>
      <c r="P639" s="49">
        <f t="shared" si="127"/>
        <v>5.4455337762489412E-7</v>
      </c>
      <c r="Q639" s="49">
        <f t="shared" si="127"/>
        <v>1.8439217257305856E-6</v>
      </c>
      <c r="R639" s="49">
        <f t="shared" si="127"/>
        <v>5.7949340336417294E-6</v>
      </c>
      <c r="S639" s="49">
        <f t="shared" si="127"/>
        <v>1.6969079994259666E-5</v>
      </c>
      <c r="T639" s="49">
        <f t="shared" si="127"/>
        <v>4.6460382678675639E-5</v>
      </c>
      <c r="U639" s="49">
        <f t="shared" si="127"/>
        <v>1.1930989920690267E-4</v>
      </c>
      <c r="V639" s="49">
        <f t="shared" si="127"/>
        <v>2.8817993661753338E-4</v>
      </c>
      <c r="W639" s="47">
        <v>0.36399999999999999</v>
      </c>
    </row>
    <row r="640" spans="2:23" x14ac:dyDescent="0.25">
      <c r="B640" s="49">
        <f t="shared" si="126"/>
        <v>2.5877497734037268E-20</v>
      </c>
      <c r="C640" s="49">
        <f t="shared" si="126"/>
        <v>1.5007202642549257E-18</v>
      </c>
      <c r="D640" s="49">
        <f t="shared" si="126"/>
        <v>4.3108333086882442E-17</v>
      </c>
      <c r="E640" s="49">
        <f t="shared" si="126"/>
        <v>8.17744791476818E-16</v>
      </c>
      <c r="F640" s="49">
        <f t="shared" si="126"/>
        <v>1.1523773997274661E-14</v>
      </c>
      <c r="G640" s="49">
        <f t="shared" si="126"/>
        <v>1.2867499917600962E-13</v>
      </c>
      <c r="H640" s="49">
        <f t="shared" si="126"/>
        <v>1.1858206000030886E-12</v>
      </c>
      <c r="I640" s="49">
        <f t="shared" si="126"/>
        <v>9.2763822646570716E-12</v>
      </c>
      <c r="J640" s="49">
        <f t="shared" si="126"/>
        <v>6.287876810400812E-11</v>
      </c>
      <c r="K640" s="49">
        <f t="shared" si="126"/>
        <v>3.7515602793146859E-10</v>
      </c>
      <c r="L640" s="49">
        <f t="shared" si="127"/>
        <v>1.9946939004675906E-9</v>
      </c>
      <c r="M640" s="49">
        <f t="shared" si="127"/>
        <v>9.5464633635193882E-9</v>
      </c>
      <c r="N640" s="49">
        <f t="shared" si="127"/>
        <v>4.1466524157744789E-8</v>
      </c>
      <c r="O640" s="49">
        <f t="shared" si="127"/>
        <v>1.6460894585677735E-7</v>
      </c>
      <c r="P640" s="49">
        <f t="shared" si="127"/>
        <v>6.0072492787591362E-7</v>
      </c>
      <c r="Q640" s="49">
        <f t="shared" si="127"/>
        <v>2.025711343892495E-6</v>
      </c>
      <c r="R640" s="49">
        <f t="shared" si="127"/>
        <v>6.3400043017258883E-6</v>
      </c>
      <c r="S640" s="49">
        <f t="shared" si="127"/>
        <v>1.8488944553924056E-5</v>
      </c>
      <c r="T640" s="49">
        <f t="shared" si="127"/>
        <v>5.0414673175568479E-5</v>
      </c>
      <c r="U640" s="49">
        <f t="shared" si="127"/>
        <v>1.2893757453280474E-4</v>
      </c>
      <c r="V640" s="49">
        <f t="shared" si="127"/>
        <v>3.1017382345884702E-4</v>
      </c>
      <c r="W640" s="47">
        <v>0.36299999999999999</v>
      </c>
    </row>
    <row r="641" spans="2:23" x14ac:dyDescent="0.25">
      <c r="B641" s="49">
        <f t="shared" si="126"/>
        <v>3.0272711791867962E-20</v>
      </c>
      <c r="C641" s="49">
        <f t="shared" si="126"/>
        <v>1.7481628258985188E-18</v>
      </c>
      <c r="D641" s="49">
        <f t="shared" si="126"/>
        <v>5.0003245778068598E-17</v>
      </c>
      <c r="E641" s="49">
        <f t="shared" si="126"/>
        <v>9.4452067609387288E-16</v>
      </c>
      <c r="F641" s="49">
        <f t="shared" si="126"/>
        <v>1.325400624153802E-14</v>
      </c>
      <c r="G641" s="49">
        <f t="shared" si="126"/>
        <v>1.4736948922386304E-13</v>
      </c>
      <c r="H641" s="49">
        <f t="shared" si="126"/>
        <v>1.3523707230178552E-12</v>
      </c>
      <c r="I641" s="49">
        <f t="shared" si="126"/>
        <v>1.0534680852038618E-11</v>
      </c>
      <c r="J641" s="49">
        <f t="shared" si="126"/>
        <v>7.1107530136507299E-11</v>
      </c>
      <c r="K641" s="49">
        <f t="shared" si="126"/>
        <v>4.224695687665627E-10</v>
      </c>
      <c r="L641" s="49">
        <f t="shared" si="127"/>
        <v>2.2368409246406423E-9</v>
      </c>
      <c r="M641" s="49">
        <f t="shared" si="127"/>
        <v>1.0660569957812155E-8</v>
      </c>
      <c r="N641" s="49">
        <f t="shared" si="127"/>
        <v>4.6112506652701631E-8</v>
      </c>
      <c r="O641" s="49">
        <f t="shared" si="127"/>
        <v>1.8228974859852321E-7</v>
      </c>
      <c r="P641" s="49">
        <f t="shared" si="127"/>
        <v>6.6248673789958644E-7</v>
      </c>
      <c r="Q641" s="49">
        <f t="shared" si="127"/>
        <v>2.2247302861801156E-6</v>
      </c>
      <c r="R641" s="49">
        <f t="shared" si="127"/>
        <v>6.9341590339289855E-6</v>
      </c>
      <c r="S641" s="49">
        <f t="shared" si="127"/>
        <v>2.0138525706972152E-5</v>
      </c>
      <c r="T641" s="49">
        <f t="shared" si="127"/>
        <v>5.4687931026748738E-5</v>
      </c>
      <c r="U641" s="49">
        <f t="shared" si="127"/>
        <v>1.3929695287250336E-4</v>
      </c>
      <c r="V641" s="49">
        <f t="shared" si="127"/>
        <v>3.3373711596353399E-4</v>
      </c>
      <c r="W641" s="47">
        <v>0.36199999999999999</v>
      </c>
    </row>
    <row r="642" spans="2:23" x14ac:dyDescent="0.25">
      <c r="B642" s="49">
        <f t="shared" si="126"/>
        <v>3.5405739088129429E-20</v>
      </c>
      <c r="C642" s="49">
        <f t="shared" si="126"/>
        <v>2.0358943484648846E-18</v>
      </c>
      <c r="D642" s="49">
        <f t="shared" si="126"/>
        <v>5.7986157191294787E-17</v>
      </c>
      <c r="E642" s="49">
        <f t="shared" si="126"/>
        <v>1.0906672659443282E-15</v>
      </c>
      <c r="F642" s="49">
        <f t="shared" si="126"/>
        <v>1.523999110931909E-14</v>
      </c>
      <c r="G642" s="49">
        <f t="shared" si="126"/>
        <v>1.6873457564935573E-13</v>
      </c>
      <c r="H642" s="49">
        <f t="shared" si="126"/>
        <v>1.5418909142008955E-12</v>
      </c>
      <c r="I642" s="49">
        <f t="shared" si="126"/>
        <v>1.1960333528564196E-11</v>
      </c>
      <c r="J642" s="49">
        <f t="shared" si="126"/>
        <v>8.0390437666038947E-11</v>
      </c>
      <c r="K642" s="49">
        <f t="shared" si="126"/>
        <v>4.7561359676116013E-10</v>
      </c>
      <c r="L642" s="49">
        <f t="shared" si="127"/>
        <v>2.5076527656194176E-9</v>
      </c>
      <c r="M642" s="49">
        <f t="shared" si="127"/>
        <v>1.1901178461765246E-8</v>
      </c>
      <c r="N642" s="49">
        <f t="shared" si="127"/>
        <v>5.1263667054625603E-8</v>
      </c>
      <c r="O642" s="49">
        <f t="shared" si="127"/>
        <v>2.0180836273341334E-7</v>
      </c>
      <c r="P642" s="49">
        <f t="shared" si="127"/>
        <v>7.3037372111156471E-7</v>
      </c>
      <c r="Q642" s="49">
        <f t="shared" si="127"/>
        <v>2.4425415841600155E-6</v>
      </c>
      <c r="R642" s="49">
        <f t="shared" si="127"/>
        <v>7.5816072583426056E-6</v>
      </c>
      <c r="S642" s="49">
        <f t="shared" si="127"/>
        <v>2.1928301640358312E-5</v>
      </c>
      <c r="T642" s="49">
        <f t="shared" si="127"/>
        <v>5.9304332501496083E-5</v>
      </c>
      <c r="U642" s="49">
        <f t="shared" si="127"/>
        <v>1.5043983816985081E-4</v>
      </c>
      <c r="V642" s="49">
        <f t="shared" si="127"/>
        <v>3.5897305289979035E-4</v>
      </c>
      <c r="W642" s="47">
        <v>0.36099999999999999</v>
      </c>
    </row>
    <row r="643" spans="2:23" x14ac:dyDescent="0.25">
      <c r="B643" s="49">
        <f t="shared" ref="B643:K652" si="128">_xlfn.HYPGEOM.DIST(B$2,comau,tongtheN*$W643,tongtheN,TRUE)</f>
        <v>4.139897877201373E-20</v>
      </c>
      <c r="C643" s="49">
        <f t="shared" si="128"/>
        <v>2.3703917564230606E-18</v>
      </c>
      <c r="D643" s="49">
        <f t="shared" si="128"/>
        <v>6.7226410196468202E-17</v>
      </c>
      <c r="E643" s="49">
        <f t="shared" si="128"/>
        <v>1.2591007679813094E-15</v>
      </c>
      <c r="F643" s="49">
        <f t="shared" si="128"/>
        <v>1.7518931506321613E-14</v>
      </c>
      <c r="G643" s="49">
        <f t="shared" si="128"/>
        <v>1.931452021011057E-13</v>
      </c>
      <c r="H643" s="49">
        <f t="shared" si="128"/>
        <v>1.7574900400394871E-12</v>
      </c>
      <c r="I643" s="49">
        <f t="shared" si="128"/>
        <v>1.3575147440240376E-11</v>
      </c>
      <c r="J643" s="49">
        <f t="shared" si="128"/>
        <v>9.0859553647674346E-11</v>
      </c>
      <c r="K643" s="49">
        <f t="shared" si="128"/>
        <v>5.3528932028021662E-10</v>
      </c>
      <c r="L643" s="49">
        <f t="shared" ref="L643:V652" si="129">_xlfn.HYPGEOM.DIST(L$2,comau,tongtheN*$W643,tongtheN,TRUE)</f>
        <v>2.8104334124107909E-9</v>
      </c>
      <c r="M643" s="49">
        <f t="shared" si="129"/>
        <v>1.3282238167288667E-8</v>
      </c>
      <c r="N643" s="49">
        <f t="shared" si="129"/>
        <v>5.6973192482224345E-8</v>
      </c>
      <c r="O643" s="49">
        <f t="shared" si="129"/>
        <v>2.2334912925839983E-7</v>
      </c>
      <c r="P643" s="49">
        <f t="shared" si="129"/>
        <v>8.0496978661356103E-7</v>
      </c>
      <c r="Q643" s="49">
        <f t="shared" si="129"/>
        <v>2.6808432353492322E-6</v>
      </c>
      <c r="R643" s="49">
        <f t="shared" si="129"/>
        <v>8.2868992117619104E-6</v>
      </c>
      <c r="S643" s="49">
        <f t="shared" si="129"/>
        <v>2.3869544114089235E-5</v>
      </c>
      <c r="T643" s="49">
        <f t="shared" si="129"/>
        <v>6.4289754526159333E-5</v>
      </c>
      <c r="U643" s="49">
        <f t="shared" si="129"/>
        <v>1.6242139501418775E-4</v>
      </c>
      <c r="V643" s="49">
        <f t="shared" si="129"/>
        <v>3.8599099467056066E-4</v>
      </c>
      <c r="W643" s="47">
        <v>0.36</v>
      </c>
    </row>
    <row r="644" spans="2:23" x14ac:dyDescent="0.25">
      <c r="B644" s="49">
        <f t="shared" si="128"/>
        <v>4.8394894655627658E-20</v>
      </c>
      <c r="C644" s="49">
        <f t="shared" si="128"/>
        <v>2.759159881002658E-18</v>
      </c>
      <c r="D644" s="49">
        <f t="shared" si="128"/>
        <v>7.7919339993640105E-17</v>
      </c>
      <c r="E644" s="49">
        <f t="shared" si="128"/>
        <v>1.4531698229900928E-15</v>
      </c>
      <c r="F644" s="49">
        <f t="shared" si="128"/>
        <v>2.0133353805055968E-14</v>
      </c>
      <c r="G644" s="49">
        <f t="shared" si="128"/>
        <v>2.2102801960982033E-13</v>
      </c>
      <c r="H644" s="49">
        <f t="shared" si="128"/>
        <v>2.0026895997993227E-12</v>
      </c>
      <c r="I644" s="49">
        <f t="shared" si="128"/>
        <v>1.540371129768288E-11</v>
      </c>
      <c r="J644" s="49">
        <f t="shared" si="128"/>
        <v>1.0266310296432163E-10</v>
      </c>
      <c r="K644" s="49">
        <f t="shared" si="128"/>
        <v>6.0228013494498938E-10</v>
      </c>
      <c r="L644" s="49">
        <f t="shared" si="129"/>
        <v>3.1488570088620261E-9</v>
      </c>
      <c r="M644" s="49">
        <f t="shared" si="129"/>
        <v>1.4819188863824516E-8</v>
      </c>
      <c r="N644" s="49">
        <f t="shared" si="129"/>
        <v>6.3299677017977597E-8</v>
      </c>
      <c r="O644" s="49">
        <f t="shared" si="129"/>
        <v>2.4711416928911265E-7</v>
      </c>
      <c r="P644" s="49">
        <f t="shared" si="129"/>
        <v>8.8691211029048595E-7</v>
      </c>
      <c r="Q644" s="49">
        <f t="shared" si="129"/>
        <v>2.9414792114262484E-6</v>
      </c>
      <c r="R644" s="49">
        <f t="shared" si="129"/>
        <v>9.0549522226767482E-6</v>
      </c>
      <c r="S644" s="49">
        <f t="shared" si="129"/>
        <v>2.5974374032132597E-5</v>
      </c>
      <c r="T644" s="49">
        <f t="shared" si="129"/>
        <v>6.967188358083841E-5</v>
      </c>
      <c r="U644" s="49">
        <f t="shared" si="129"/>
        <v>1.7530034295001255E-4</v>
      </c>
      <c r="V644" s="49">
        <f t="shared" si="129"/>
        <v>4.149067373875881E-4</v>
      </c>
      <c r="W644" s="47">
        <v>0.35899999999999999</v>
      </c>
    </row>
    <row r="645" spans="2:23" x14ac:dyDescent="0.25">
      <c r="B645" s="49">
        <f t="shared" si="128"/>
        <v>5.6559265053233616E-20</v>
      </c>
      <c r="C645" s="49">
        <f t="shared" si="128"/>
        <v>3.2108924759499496E-18</v>
      </c>
      <c r="D645" s="49">
        <f t="shared" si="128"/>
        <v>9.0290207415891301E-17</v>
      </c>
      <c r="E645" s="49">
        <f t="shared" si="128"/>
        <v>1.6767186452634034E-15</v>
      </c>
      <c r="F645" s="49">
        <f t="shared" si="128"/>
        <v>2.3131856833743372E-14</v>
      </c>
      <c r="G645" s="49">
        <f t="shared" si="128"/>
        <v>2.5286838673838021E-13</v>
      </c>
      <c r="H645" s="49">
        <f t="shared" si="128"/>
        <v>2.2814773926867393E-12</v>
      </c>
      <c r="I645" s="49">
        <f t="shared" si="128"/>
        <v>1.747374232941793E-11</v>
      </c>
      <c r="J645" s="49">
        <f t="shared" si="128"/>
        <v>1.1596740207327317E-10</v>
      </c>
      <c r="K645" s="49">
        <f t="shared" si="128"/>
        <v>6.7746099626797094E-10</v>
      </c>
      <c r="L645" s="49">
        <f t="shared" si="129"/>
        <v>3.5270080761133231E-9</v>
      </c>
      <c r="M645" s="49">
        <f t="shared" si="129"/>
        <v>1.6529114746225441E-8</v>
      </c>
      <c r="N645" s="49">
        <f t="shared" si="129"/>
        <v>7.0307650608458241E-8</v>
      </c>
      <c r="O645" s="49">
        <f t="shared" si="129"/>
        <v>2.733250257065019E-7</v>
      </c>
      <c r="P645" s="49">
        <f t="shared" si="129"/>
        <v>9.7689575744827258E-7</v>
      </c>
      <c r="Q645" s="49">
        <f t="shared" si="129"/>
        <v>3.2264513052850679E-6</v>
      </c>
      <c r="R645" s="49">
        <f t="shared" si="129"/>
        <v>9.8910784032457477E-6</v>
      </c>
      <c r="S645" s="49">
        <f t="shared" si="129"/>
        <v>2.8255820531106913E-5</v>
      </c>
      <c r="T645" s="49">
        <f t="shared" si="129"/>
        <v>7.5480330730039034E-5</v>
      </c>
      <c r="U645" s="49">
        <f t="shared" si="129"/>
        <v>1.8913916026776562E-4</v>
      </c>
      <c r="V645" s="49">
        <f t="shared" si="129"/>
        <v>4.4584283963370485E-4</v>
      </c>
      <c r="W645" s="47">
        <v>0.35799999999999998</v>
      </c>
    </row>
    <row r="646" spans="2:23" x14ac:dyDescent="0.25">
      <c r="B646" s="49">
        <f t="shared" si="128"/>
        <v>6.608495264342386E-20</v>
      </c>
      <c r="C646" s="49">
        <f t="shared" si="128"/>
        <v>3.7356581239605332E-18</v>
      </c>
      <c r="D646" s="49">
        <f t="shared" si="128"/>
        <v>1.0459871889689704E-16</v>
      </c>
      <c r="E646" s="49">
        <f t="shared" si="128"/>
        <v>1.9341592364332191E-15</v>
      </c>
      <c r="F646" s="49">
        <f t="shared" si="128"/>
        <v>2.6569964427335603E-14</v>
      </c>
      <c r="G646" s="49">
        <f t="shared" si="128"/>
        <v>2.8921829942294497E-13</v>
      </c>
      <c r="H646" s="49">
        <f t="shared" si="128"/>
        <v>2.5983680186500455E-12</v>
      </c>
      <c r="I646" s="49">
        <f t="shared" si="128"/>
        <v>1.9816475506045663E-11</v>
      </c>
      <c r="J646" s="49">
        <f t="shared" si="128"/>
        <v>1.3095901308162047E-10</v>
      </c>
      <c r="K646" s="49">
        <f t="shared" si="128"/>
        <v>7.6180883020782607E-10</v>
      </c>
      <c r="L646" s="49">
        <f t="shared" si="129"/>
        <v>3.9494259634626958E-9</v>
      </c>
      <c r="M646" s="49">
        <f t="shared" si="129"/>
        <v>1.8430913629090037E-8</v>
      </c>
      <c r="N646" s="49">
        <f t="shared" si="129"/>
        <v>7.8068157524144989E-8</v>
      </c>
      <c r="O646" s="49">
        <f t="shared" si="129"/>
        <v>3.0222444903475472E-7</v>
      </c>
      <c r="P646" s="49">
        <f t="shared" si="129"/>
        <v>1.0756786839979867E-6</v>
      </c>
      <c r="Q646" s="49">
        <f t="shared" si="129"/>
        <v>3.5379318756456002E-6</v>
      </c>
      <c r="R646" s="49">
        <f t="shared" si="129"/>
        <v>1.0801014263748872E-5</v>
      </c>
      <c r="S646" s="49">
        <f t="shared" si="129"/>
        <v>3.072788377976519E-5</v>
      </c>
      <c r="T646" s="49">
        <f t="shared" si="129"/>
        <v>8.1746753069629564E-5</v>
      </c>
      <c r="U646" s="49">
        <f t="shared" si="129"/>
        <v>2.0400429761273652E-4</v>
      </c>
      <c r="V646" s="49">
        <f t="shared" si="129"/>
        <v>4.7892896219062708E-4</v>
      </c>
      <c r="W646" s="47">
        <v>0.35699999999999998</v>
      </c>
    </row>
    <row r="647" spans="2:23" x14ac:dyDescent="0.25">
      <c r="B647" s="49">
        <f t="shared" si="128"/>
        <v>7.7196276553259498E-20</v>
      </c>
      <c r="C647" s="49">
        <f t="shared" si="128"/>
        <v>4.3451148302438336E-18</v>
      </c>
      <c r="D647" s="49">
        <f t="shared" si="128"/>
        <v>1.2114421932563075E-16</v>
      </c>
      <c r="E647" s="49">
        <f t="shared" si="128"/>
        <v>2.2305539565457591E-15</v>
      </c>
      <c r="F647" s="49">
        <f t="shared" si="128"/>
        <v>3.0511095605284818E-14</v>
      </c>
      <c r="G647" s="49">
        <f t="shared" si="128"/>
        <v>3.3070537154157726E-13</v>
      </c>
      <c r="H647" s="49">
        <f t="shared" si="128"/>
        <v>2.958471063865589E-12</v>
      </c>
      <c r="I647" s="49">
        <f t="shared" si="128"/>
        <v>2.2467100058826918E-11</v>
      </c>
      <c r="J647" s="49">
        <f t="shared" si="128"/>
        <v>1.4784714763189539E-10</v>
      </c>
      <c r="K647" s="49">
        <f t="shared" si="128"/>
        <v>8.5641409298919205E-10</v>
      </c>
      <c r="L647" s="49">
        <f t="shared" si="129"/>
        <v>4.4211539563047109E-9</v>
      </c>
      <c r="M647" s="49">
        <f t="shared" si="129"/>
        <v>2.054548292733594E-8</v>
      </c>
      <c r="N647" s="49">
        <f t="shared" si="129"/>
        <v>8.6659388800817705E-8</v>
      </c>
      <c r="O647" s="49">
        <f t="shared" si="129"/>
        <v>3.3407833950893154E-7</v>
      </c>
      <c r="P647" s="49">
        <f t="shared" si="129"/>
        <v>1.1840871450922098E-6</v>
      </c>
      <c r="Q647" s="49">
        <f t="shared" si="129"/>
        <v>3.8782775516011607E-6</v>
      </c>
      <c r="R647" s="49">
        <f t="shared" si="129"/>
        <v>1.1790952369094388E-5</v>
      </c>
      <c r="S647" s="49">
        <f t="shared" si="129"/>
        <v>3.3405601690585068E-5</v>
      </c>
      <c r="T647" s="49">
        <f t="shared" si="129"/>
        <v>8.850498188070545E-5</v>
      </c>
      <c r="U647" s="49">
        <f t="shared" si="129"/>
        <v>2.1996640175185191E-4</v>
      </c>
      <c r="V647" s="49">
        <f t="shared" si="129"/>
        <v>5.1430222099816444E-4</v>
      </c>
      <c r="W647" s="47">
        <v>0.35599999999999998</v>
      </c>
    </row>
    <row r="648" spans="2:23" x14ac:dyDescent="0.25">
      <c r="B648" s="49">
        <f t="shared" si="128"/>
        <v>9.0154081696975687E-20</v>
      </c>
      <c r="C648" s="49">
        <f t="shared" si="128"/>
        <v>5.0527576709044053E-18</v>
      </c>
      <c r="D648" s="49">
        <f t="shared" si="128"/>
        <v>1.4027165649367135E-16</v>
      </c>
      <c r="E648" s="49">
        <f t="shared" si="128"/>
        <v>2.57170991389322E-15</v>
      </c>
      <c r="F648" s="49">
        <f t="shared" si="128"/>
        <v>3.5027668315623734E-14</v>
      </c>
      <c r="G648" s="49">
        <f t="shared" si="128"/>
        <v>3.7804300268072645E-13</v>
      </c>
      <c r="H648" s="49">
        <f t="shared" si="128"/>
        <v>3.3675679254904829E-12</v>
      </c>
      <c r="I648" s="49">
        <f t="shared" si="128"/>
        <v>2.5465248897666602E-11</v>
      </c>
      <c r="J648" s="49">
        <f t="shared" si="128"/>
        <v>1.6686634876440926E-10</v>
      </c>
      <c r="K648" s="49">
        <f t="shared" si="128"/>
        <v>9.6249360306947407E-10</v>
      </c>
      <c r="L648" s="49">
        <f t="shared" si="129"/>
        <v>4.9477935115431973E-9</v>
      </c>
      <c r="M648" s="49">
        <f t="shared" si="129"/>
        <v>2.2895923995535502E-8</v>
      </c>
      <c r="N648" s="49">
        <f t="shared" si="129"/>
        <v>9.6167373457310673E-8</v>
      </c>
      <c r="O648" s="49">
        <f t="shared" si="129"/>
        <v>3.6917785821488298E-7</v>
      </c>
      <c r="P648" s="49">
        <f t="shared" si="129"/>
        <v>1.3030215421408693E-6</v>
      </c>
      <c r="Q648" s="49">
        <f t="shared" si="129"/>
        <v>4.2500439633385653E-6</v>
      </c>
      <c r="R648" s="49">
        <f t="shared" si="129"/>
        <v>1.2867575163266822E-5</v>
      </c>
      <c r="S648" s="49">
        <f t="shared" si="129"/>
        <v>3.6305120753260058E-5</v>
      </c>
      <c r="T648" s="49">
        <f t="shared" si="129"/>
        <v>9.5791157789206917E-5</v>
      </c>
      <c r="U648" s="49">
        <f t="shared" si="129"/>
        <v>2.3710054984030216E-4</v>
      </c>
      <c r="V648" s="49">
        <f t="shared" si="129"/>
        <v>5.5210755359784728E-4</v>
      </c>
      <c r="W648" s="47">
        <v>0.35499999999999998</v>
      </c>
    </row>
    <row r="649" spans="2:23" x14ac:dyDescent="0.25">
      <c r="B649" s="49">
        <f t="shared" si="128"/>
        <v>1.0526161521422585E-19</v>
      </c>
      <c r="C649" s="49">
        <f t="shared" si="128"/>
        <v>5.8742045198167761E-18</v>
      </c>
      <c r="D649" s="49">
        <f t="shared" si="128"/>
        <v>1.6237843010321599E-16</v>
      </c>
      <c r="E649" s="49">
        <f t="shared" si="128"/>
        <v>2.9642868379316289E-15</v>
      </c>
      <c r="F649" s="49">
        <f t="shared" si="128"/>
        <v>4.0202354805025625E-14</v>
      </c>
      <c r="G649" s="49">
        <f t="shared" si="128"/>
        <v>4.3204188692890376E-13</v>
      </c>
      <c r="H649" s="49">
        <f t="shared" si="128"/>
        <v>3.8321983460913669E-12</v>
      </c>
      <c r="I649" s="49">
        <f t="shared" si="128"/>
        <v>2.8855547180300939E-11</v>
      </c>
      <c r="J649" s="49">
        <f t="shared" si="128"/>
        <v>1.8827948200353412E-10</v>
      </c>
      <c r="K649" s="49">
        <f t="shared" si="128"/>
        <v>1.0814047808212439E-9</v>
      </c>
      <c r="L649" s="49">
        <f t="shared" si="129"/>
        <v>5.5355641364890361E-9</v>
      </c>
      <c r="M649" s="49">
        <f t="shared" si="129"/>
        <v>2.5507766562683571E-8</v>
      </c>
      <c r="N649" s="49">
        <f t="shared" si="129"/>
        <v>1.0668673368629941E-7</v>
      </c>
      <c r="O649" s="49">
        <f t="shared" si="129"/>
        <v>4.0784172117373803E-7</v>
      </c>
      <c r="P649" s="49">
        <f t="shared" si="129"/>
        <v>1.4334627412775924E-6</v>
      </c>
      <c r="Q649" s="49">
        <f t="shared" si="129"/>
        <v>4.6560015693261027E-6</v>
      </c>
      <c r="R649" s="49">
        <f t="shared" si="129"/>
        <v>1.4038091094165697E-5</v>
      </c>
      <c r="S649" s="49">
        <f t="shared" si="129"/>
        <v>3.9443771208525319E-5</v>
      </c>
      <c r="T649" s="49">
        <f t="shared" si="129"/>
        <v>1.0364387323811513E-4</v>
      </c>
      <c r="U649" s="49">
        <f t="shared" si="129"/>
        <v>2.5548649453119488E-4</v>
      </c>
      <c r="V649" s="49">
        <f t="shared" si="129"/>
        <v>5.9249809929917837E-4</v>
      </c>
      <c r="W649" s="47">
        <v>0.35399999999999998</v>
      </c>
    </row>
    <row r="650" spans="2:23" x14ac:dyDescent="0.25">
      <c r="B650" s="49">
        <f t="shared" si="128"/>
        <v>1.2287133694541996E-19</v>
      </c>
      <c r="C650" s="49">
        <f t="shared" si="128"/>
        <v>6.8275256308443007E-18</v>
      </c>
      <c r="D650" s="49">
        <f t="shared" si="128"/>
        <v>1.8792225459578621E-16</v>
      </c>
      <c r="E650" s="49">
        <f t="shared" si="128"/>
        <v>3.4159203300933566E-15</v>
      </c>
      <c r="F650" s="49">
        <f t="shared" si="128"/>
        <v>4.6129509071197443E-14</v>
      </c>
      <c r="G650" s="49">
        <f t="shared" si="128"/>
        <v>4.9362303604633267E-13</v>
      </c>
      <c r="H650" s="49">
        <f t="shared" si="128"/>
        <v>4.3597578576905445E-12</v>
      </c>
      <c r="I650" s="49">
        <f t="shared" si="128"/>
        <v>3.2688227003847181E-11</v>
      </c>
      <c r="J650" s="49">
        <f t="shared" si="128"/>
        <v>2.1238107032209716E-10</v>
      </c>
      <c r="K650" s="49">
        <f t="shared" si="128"/>
        <v>1.2146614454464018E-9</v>
      </c>
      <c r="L650" s="49">
        <f t="shared" si="129"/>
        <v>6.1913694770979208E-9</v>
      </c>
      <c r="M650" s="49">
        <f t="shared" si="129"/>
        <v>2.8409215155564478E-8</v>
      </c>
      <c r="N650" s="49">
        <f t="shared" si="129"/>
        <v>1.1832150964815006E-7</v>
      </c>
      <c r="O650" s="49">
        <f t="shared" si="129"/>
        <v>4.5041869130220759E-7</v>
      </c>
      <c r="P650" s="49">
        <f t="shared" si="129"/>
        <v>1.5764788986244843E-6</v>
      </c>
      <c r="Q650" s="49">
        <f t="shared" si="129"/>
        <v>5.0991526545249713E-6</v>
      </c>
      <c r="R650" s="49">
        <f t="shared" si="129"/>
        <v>1.5310273178087001E-5</v>
      </c>
      <c r="S650" s="49">
        <f t="shared" si="129"/>
        <v>4.2840146789572606E-5</v>
      </c>
      <c r="T650" s="49">
        <f t="shared" si="129"/>
        <v>1.12104322586937E-4</v>
      </c>
      <c r="U650" s="49">
        <f t="shared" si="129"/>
        <v>2.752089202718638E-4</v>
      </c>
      <c r="V650" s="49">
        <f t="shared" si="129"/>
        <v>6.3563559329009615E-4</v>
      </c>
      <c r="W650" s="47">
        <v>0.35299999999999998</v>
      </c>
    </row>
    <row r="651" spans="2:23" x14ac:dyDescent="0.25">
      <c r="B651" s="49">
        <f t="shared" si="128"/>
        <v>1.4339281060108066E-19</v>
      </c>
      <c r="C651" s="49">
        <f t="shared" si="128"/>
        <v>7.9336237167859109E-18</v>
      </c>
      <c r="D651" s="49">
        <f t="shared" si="128"/>
        <v>2.1743018366750961E-16</v>
      </c>
      <c r="E651" s="49">
        <f t="shared" si="128"/>
        <v>3.9353626491569992E-15</v>
      </c>
      <c r="F651" s="49">
        <f t="shared" si="128"/>
        <v>5.2916789562606946E-14</v>
      </c>
      <c r="G651" s="49">
        <f t="shared" si="128"/>
        <v>5.6383251230219263E-13</v>
      </c>
      <c r="H651" s="49">
        <f t="shared" si="128"/>
        <v>4.9586074801966053E-12</v>
      </c>
      <c r="I651" s="49">
        <f t="shared" si="128"/>
        <v>3.7019815989691955E-11</v>
      </c>
      <c r="J651" s="49">
        <f t="shared" si="128"/>
        <v>2.3950101140399433E-10</v>
      </c>
      <c r="K651" s="49">
        <f t="shared" si="128"/>
        <v>1.3639513339649188E-9</v>
      </c>
      <c r="L651" s="49">
        <f t="shared" si="129"/>
        <v>6.9228702358327099E-9</v>
      </c>
      <c r="M651" s="49">
        <f t="shared" si="129"/>
        <v>3.1631419573678221E-8</v>
      </c>
      <c r="N651" s="49">
        <f t="shared" si="129"/>
        <v>1.3118605996480464E-7</v>
      </c>
      <c r="O651" s="49">
        <f t="shared" si="129"/>
        <v>4.9729028431231725E-7</v>
      </c>
      <c r="P651" s="49">
        <f t="shared" si="129"/>
        <v>1.7332328301171055E-6</v>
      </c>
      <c r="Q651" s="49">
        <f t="shared" si="129"/>
        <v>5.5827495786555527E-6</v>
      </c>
      <c r="R651" s="49">
        <f t="shared" si="129"/>
        <v>1.6692500150160544E-5</v>
      </c>
      <c r="S651" s="49">
        <f t="shared" si="129"/>
        <v>4.65141892672397E-5</v>
      </c>
      <c r="T651" s="49">
        <f t="shared" si="129"/>
        <v>1.212164601607283E-4</v>
      </c>
      <c r="U651" s="49">
        <f t="shared" si="129"/>
        <v>2.9635771112977277E-4</v>
      </c>
      <c r="V651" s="49">
        <f t="shared" si="129"/>
        <v>6.8169077489468909E-4</v>
      </c>
      <c r="W651" s="47">
        <v>0.35199999999999998</v>
      </c>
    </row>
    <row r="652" spans="2:23" x14ac:dyDescent="0.25">
      <c r="B652" s="49">
        <f t="shared" si="128"/>
        <v>1.6730184502678925E-19</v>
      </c>
      <c r="C652" s="49">
        <f t="shared" si="128"/>
        <v>9.216672158572654E-18</v>
      </c>
      <c r="D652" s="49">
        <f t="shared" si="128"/>
        <v>2.5150896557943723E-16</v>
      </c>
      <c r="E652" s="49">
        <f t="shared" si="128"/>
        <v>4.5326434852527388E-15</v>
      </c>
      <c r="F652" s="49">
        <f t="shared" si="128"/>
        <v>6.0687003350951148E-14</v>
      </c>
      <c r="G652" s="49">
        <f t="shared" si="128"/>
        <v>6.4385809093028261E-13</v>
      </c>
      <c r="H652" s="49">
        <f t="shared" si="128"/>
        <v>5.6381971808504852E-12</v>
      </c>
      <c r="I652" s="49">
        <f t="shared" si="128"/>
        <v>4.1913908421617307E-11</v>
      </c>
      <c r="J652" s="49">
        <f t="shared" si="128"/>
        <v>2.7000871978717585E-10</v>
      </c>
      <c r="K652" s="49">
        <f t="shared" si="128"/>
        <v>1.5311555239576068E-9</v>
      </c>
      <c r="L652" s="49">
        <f t="shared" si="129"/>
        <v>7.7385645988605397E-9</v>
      </c>
      <c r="M652" s="49">
        <f t="shared" si="129"/>
        <v>3.5208771662871697E-8</v>
      </c>
      <c r="N652" s="49">
        <f t="shared" si="129"/>
        <v>1.4540604451368917E-7</v>
      </c>
      <c r="O652" s="49">
        <f t="shared" si="129"/>
        <v>5.4887370582536591E-7</v>
      </c>
      <c r="P652" s="49">
        <f t="shared" si="129"/>
        <v>1.904989966209676E-6</v>
      </c>
      <c r="Q652" s="49">
        <f t="shared" si="129"/>
        <v>6.1103143582466903E-6</v>
      </c>
      <c r="R652" s="49">
        <f t="shared" si="129"/>
        <v>1.8193800354353538E-5</v>
      </c>
      <c r="S652" s="49">
        <f t="shared" si="129"/>
        <v>5.0487278044230021E-5</v>
      </c>
      <c r="T652" s="49">
        <f t="shared" si="129"/>
        <v>1.3102716657826136E-4</v>
      </c>
      <c r="U652" s="49">
        <f t="shared" si="129"/>
        <v>3.1902823048938751E-4</v>
      </c>
      <c r="V652" s="49">
        <f t="shared" si="129"/>
        <v>7.3084381016059975E-4</v>
      </c>
      <c r="W652" s="47">
        <v>0.35099999999999998</v>
      </c>
    </row>
    <row r="653" spans="2:23" x14ac:dyDescent="0.25">
      <c r="B653" s="49">
        <f t="shared" ref="B653:K662" si="130">_xlfn.HYPGEOM.DIST(B$2,comau,tongtheN*$W653,tongtheN,TRUE)</f>
        <v>1.9515108119401047E-19</v>
      </c>
      <c r="C653" s="49">
        <f t="shared" si="130"/>
        <v>1.0704620116556783E-17</v>
      </c>
      <c r="D653" s="49">
        <f t="shared" si="130"/>
        <v>2.9085692261927884E-16</v>
      </c>
      <c r="E653" s="49">
        <f t="shared" si="130"/>
        <v>5.2192535143153673E-15</v>
      </c>
      <c r="F653" s="49">
        <f t="shared" si="130"/>
        <v>6.9580201458642746E-14</v>
      </c>
      <c r="G653" s="49">
        <f t="shared" si="130"/>
        <v>7.3504809985941019E-13</v>
      </c>
      <c r="H653" s="49">
        <f t="shared" si="130"/>
        <v>6.4092047821901658E-12</v>
      </c>
      <c r="I653" s="49">
        <f t="shared" si="130"/>
        <v>4.7442028584817676E-11</v>
      </c>
      <c r="J653" s="49">
        <f t="shared" si="130"/>
        <v>3.0431774106666114E-10</v>
      </c>
      <c r="K653" s="49">
        <f t="shared" si="130"/>
        <v>1.718369960232123E-9</v>
      </c>
      <c r="L653" s="49">
        <f t="shared" ref="L653:V662" si="131">_xlfn.HYPGEOM.DIST(L$2,comau,tongtheN*$W653,tongtheN,TRUE)</f>
        <v>8.6478769171549198E-9</v>
      </c>
      <c r="M653" s="49">
        <f t="shared" si="131"/>
        <v>3.9179230834509833E-8</v>
      </c>
      <c r="N653" s="49">
        <f t="shared" si="131"/>
        <v>1.6111949666313783E-7</v>
      </c>
      <c r="O653" s="49">
        <f t="shared" si="131"/>
        <v>6.0562503826796062E-7</v>
      </c>
      <c r="P653" s="49">
        <f t="shared" si="131"/>
        <v>2.0931269344910292E-6</v>
      </c>
      <c r="Q653" s="49">
        <f t="shared" si="131"/>
        <v>6.6856596711178046E-6</v>
      </c>
      <c r="R653" s="49">
        <f t="shared" si="131"/>
        <v>1.9823898534208124E-5</v>
      </c>
      <c r="S653" s="49">
        <f t="shared" si="131"/>
        <v>5.4782325052806616E-5</v>
      </c>
      <c r="T653" s="49">
        <f t="shared" si="131"/>
        <v>1.4158642369583457E-4</v>
      </c>
      <c r="U653" s="49">
        <f t="shared" si="131"/>
        <v>3.4332161295848996E-4</v>
      </c>
      <c r="V653" s="49">
        <f t="shared" si="131"/>
        <v>7.8328472893573499E-4</v>
      </c>
      <c r="W653" s="47">
        <v>0.35</v>
      </c>
    </row>
    <row r="654" spans="2:23" x14ac:dyDescent="0.25">
      <c r="B654" s="49">
        <f t="shared" si="130"/>
        <v>2.2758225078611616E-19</v>
      </c>
      <c r="C654" s="49">
        <f t="shared" si="130"/>
        <v>1.2429774621456227E-17</v>
      </c>
      <c r="D654" s="49">
        <f t="shared" si="130"/>
        <v>3.3627757574203995E-16</v>
      </c>
      <c r="E654" s="49">
        <f t="shared" si="130"/>
        <v>6.0083539082028194E-15</v>
      </c>
      <c r="F654" s="49">
        <f t="shared" si="130"/>
        <v>7.975605892736073E-14</v>
      </c>
      <c r="G654" s="49">
        <f t="shared" si="130"/>
        <v>8.3893271549351856E-13</v>
      </c>
      <c r="H654" s="49">
        <f t="shared" si="130"/>
        <v>7.2836922080654586E-12</v>
      </c>
      <c r="I654" s="49">
        <f t="shared" si="130"/>
        <v>5.3684597050556665E-11</v>
      </c>
      <c r="J654" s="49">
        <f t="shared" si="130"/>
        <v>3.4289089041495394E-10</v>
      </c>
      <c r="K654" s="49">
        <f t="shared" si="130"/>
        <v>1.9279293058788158E-9</v>
      </c>
      <c r="L654" s="49">
        <f t="shared" si="131"/>
        <v>9.6612554568174762E-9</v>
      </c>
      <c r="M654" s="49">
        <f t="shared" si="131"/>
        <v>4.3584680993433129E-8</v>
      </c>
      <c r="N654" s="49">
        <f t="shared" si="131"/>
        <v>1.784779926736382E-7</v>
      </c>
      <c r="O654" s="49">
        <f t="shared" si="131"/>
        <v>6.6804269749964524E-7</v>
      </c>
      <c r="P654" s="49">
        <f t="shared" si="131"/>
        <v>2.2991408161094781E-6</v>
      </c>
      <c r="Q654" s="49">
        <f t="shared" si="131"/>
        <v>7.3129113770991825E-6</v>
      </c>
      <c r="R654" s="49">
        <f t="shared" si="131"/>
        <v>2.1593265693283077E-5</v>
      </c>
      <c r="S654" s="49">
        <f t="shared" si="131"/>
        <v>5.9423875219633533E-5</v>
      </c>
      <c r="T654" s="49">
        <f t="shared" si="131"/>
        <v>1.5294749850984583E-4</v>
      </c>
      <c r="U654" s="49">
        <f t="shared" si="131"/>
        <v>3.6934506881841037E-4</v>
      </c>
      <c r="V654" s="49">
        <f t="shared" si="131"/>
        <v>8.3921387656899144E-4</v>
      </c>
      <c r="W654" s="47">
        <v>0.34899999999999998</v>
      </c>
    </row>
    <row r="655" spans="2:23" x14ac:dyDescent="0.25">
      <c r="B655" s="49">
        <f t="shared" si="130"/>
        <v>2.6534036710480742E-19</v>
      </c>
      <c r="C655" s="49">
        <f t="shared" si="130"/>
        <v>1.4429471219931076E-17</v>
      </c>
      <c r="D655" s="49">
        <f t="shared" si="130"/>
        <v>3.8869526698737915E-16</v>
      </c>
      <c r="E655" s="49">
        <f t="shared" si="130"/>
        <v>6.9150154108564593E-15</v>
      </c>
      <c r="F655" s="49">
        <f t="shared" si="130"/>
        <v>9.1396577620871585E-14</v>
      </c>
      <c r="G655" s="49">
        <f t="shared" si="130"/>
        <v>9.5724802825833517E-13</v>
      </c>
      <c r="H655" s="49">
        <f t="shared" si="130"/>
        <v>8.2752811828573306E-12</v>
      </c>
      <c r="I655" s="49">
        <f t="shared" si="130"/>
        <v>6.073201186954862E-11</v>
      </c>
      <c r="J655" s="49">
        <f t="shared" si="130"/>
        <v>3.8624597328263826E-10</v>
      </c>
      <c r="K655" s="49">
        <f t="shared" si="130"/>
        <v>2.1624333604554684E-9</v>
      </c>
      <c r="L655" s="49">
        <f t="shared" si="131"/>
        <v>1.0790280111093623E-8</v>
      </c>
      <c r="M655" s="49">
        <f t="shared" si="131"/>
        <v>4.8471321772380133E-8</v>
      </c>
      <c r="N655" s="49">
        <f t="shared" si="131"/>
        <v>1.9764792661591418E-7</v>
      </c>
      <c r="O655" s="49">
        <f t="shared" si="131"/>
        <v>7.3667118059574626E-7</v>
      </c>
      <c r="P655" s="49">
        <f t="shared" si="131"/>
        <v>2.5246591249406361E-6</v>
      </c>
      <c r="Q655" s="49">
        <f t="shared" si="131"/>
        <v>7.9965326541916256E-6</v>
      </c>
      <c r="R655" s="49">
        <f t="shared" si="131"/>
        <v>2.351317220230477E-5</v>
      </c>
      <c r="S655" s="49">
        <f t="shared" si="131"/>
        <v>6.4438212770783016E-5</v>
      </c>
      <c r="T655" s="49">
        <f t="shared" si="131"/>
        <v>1.65167136367331E-4</v>
      </c>
      <c r="U655" s="49">
        <f t="shared" si="131"/>
        <v>3.9721220134722251E-4</v>
      </c>
      <c r="V655" s="49">
        <f t="shared" si="131"/>
        <v>8.9884238034232454E-4</v>
      </c>
      <c r="W655" s="47">
        <v>0.34799999999999998</v>
      </c>
    </row>
    <row r="656" spans="2:23" x14ac:dyDescent="0.25">
      <c r="B656" s="49">
        <f t="shared" si="130"/>
        <v>3.093296245892975E-19</v>
      </c>
      <c r="C656" s="49">
        <f t="shared" si="130"/>
        <v>1.6748923441753822E-17</v>
      </c>
      <c r="D656" s="49">
        <f t="shared" si="130"/>
        <v>4.492271555874395E-16</v>
      </c>
      <c r="E656" s="49">
        <f t="shared" si="130"/>
        <v>7.9574205050428664E-15</v>
      </c>
      <c r="F656" s="49">
        <f t="shared" si="130"/>
        <v>1.0472100936540951E-13</v>
      </c>
      <c r="G656" s="49">
        <f t="shared" si="130"/>
        <v>1.0920829338477225E-12</v>
      </c>
      <c r="H656" s="49">
        <f t="shared" si="130"/>
        <v>9.4003474021027171E-12</v>
      </c>
      <c r="I656" s="49">
        <f t="shared" si="130"/>
        <v>6.8692894998047629E-11</v>
      </c>
      <c r="J656" s="49">
        <f t="shared" si="130"/>
        <v>4.3500515983915181E-10</v>
      </c>
      <c r="K656" s="49">
        <f t="shared" si="130"/>
        <v>2.4250074124927236E-9</v>
      </c>
      <c r="L656" s="49">
        <f t="shared" si="131"/>
        <v>1.2048886395225711E-8</v>
      </c>
      <c r="M656" s="49">
        <f t="shared" si="131"/>
        <v>5.3894850014127178E-8</v>
      </c>
      <c r="N656" s="49">
        <f t="shared" si="131"/>
        <v>2.1883042243410579E-7</v>
      </c>
      <c r="O656" s="49">
        <f t="shared" si="131"/>
        <v>8.1217100394891141E-7</v>
      </c>
      <c r="P656" s="49">
        <f t="shared" si="131"/>
        <v>2.7716656156476951E-6</v>
      </c>
      <c r="Q656" s="49">
        <f t="shared" si="131"/>
        <v>8.7419974782370336E-6</v>
      </c>
      <c r="R656" s="49">
        <f t="shared" si="131"/>
        <v>2.5597551210092522E-5</v>
      </c>
      <c r="S656" s="49">
        <f t="shared" si="131"/>
        <v>6.9858161798610664E-5</v>
      </c>
      <c r="T656" s="49">
        <f t="shared" si="131"/>
        <v>1.7831711353641193E-4</v>
      </c>
      <c r="U656" s="49">
        <f t="shared" si="131"/>
        <v>4.2706905056082704E-4</v>
      </c>
      <c r="V656" s="49">
        <f t="shared" si="131"/>
        <v>9.6244728896136185E-4</v>
      </c>
      <c r="W656" s="47">
        <v>0.34699999999999998</v>
      </c>
    </row>
    <row r="657" spans="2:23" x14ac:dyDescent="0.25">
      <c r="B657" s="49">
        <f t="shared" si="130"/>
        <v>3.6048095911054515E-19</v>
      </c>
      <c r="C657" s="49">
        <f t="shared" si="130"/>
        <v>1.9434133599442612E-17</v>
      </c>
      <c r="D657" s="49">
        <f t="shared" si="130"/>
        <v>5.1899568775885498E-16</v>
      </c>
      <c r="E657" s="49">
        <f t="shared" si="130"/>
        <v>9.1535946121209161E-15</v>
      </c>
      <c r="F657" s="49">
        <f t="shared" si="130"/>
        <v>1.1994361783579923E-13</v>
      </c>
      <c r="G657" s="49">
        <f t="shared" si="130"/>
        <v>1.2454475682238628E-12</v>
      </c>
      <c r="H657" s="49">
        <f t="shared" si="130"/>
        <v>1.0674388621350385E-11</v>
      </c>
      <c r="I657" s="49">
        <f t="shared" si="130"/>
        <v>7.7668198571958075E-11</v>
      </c>
      <c r="J657" s="49">
        <f t="shared" si="130"/>
        <v>4.8973533691786448E-10</v>
      </c>
      <c r="K657" s="49">
        <f t="shared" si="130"/>
        <v>2.7184375447825935E-9</v>
      </c>
      <c r="L657" s="49">
        <f t="shared" si="131"/>
        <v>1.3449199970845885E-8</v>
      </c>
      <c r="M657" s="49">
        <f t="shared" si="131"/>
        <v>5.9902433407540173E-8</v>
      </c>
      <c r="N657" s="49">
        <f t="shared" si="131"/>
        <v>2.4219067472274604E-7</v>
      </c>
      <c r="O657" s="49">
        <f t="shared" si="131"/>
        <v>8.9506609843228164E-7</v>
      </c>
      <c r="P657" s="49">
        <f t="shared" si="131"/>
        <v>3.0416718272764682E-6</v>
      </c>
      <c r="Q657" s="49">
        <f t="shared" si="131"/>
        <v>9.5532854522137816E-6</v>
      </c>
      <c r="R657" s="49">
        <f t="shared" si="131"/>
        <v>2.7855983451680406E-5</v>
      </c>
      <c r="S657" s="49">
        <f t="shared" si="131"/>
        <v>7.5704824866501281E-5</v>
      </c>
      <c r="T657" s="49">
        <f t="shared" si="131"/>
        <v>1.9243989869065602E-4</v>
      </c>
      <c r="U657" s="49">
        <f t="shared" si="131"/>
        <v>4.5899338234703201E-4</v>
      </c>
      <c r="V657" s="49">
        <f t="shared" si="131"/>
        <v>1.0301569999194439E-3</v>
      </c>
      <c r="W657" s="47">
        <v>0.34599999999999997</v>
      </c>
    </row>
    <row r="658" spans="2:23" x14ac:dyDescent="0.25">
      <c r="B658" s="49">
        <f t="shared" si="130"/>
        <v>4.1999255751298752E-19</v>
      </c>
      <c r="C658" s="49">
        <f t="shared" si="130"/>
        <v>2.2544443038338884E-17</v>
      </c>
      <c r="D658" s="49">
        <f t="shared" si="130"/>
        <v>5.994530098499806E-16</v>
      </c>
      <c r="E658" s="49">
        <f t="shared" si="130"/>
        <v>1.0526944052675909E-14</v>
      </c>
      <c r="F658" s="49">
        <f t="shared" si="130"/>
        <v>1.3734390457311772E-13</v>
      </c>
      <c r="G658" s="49">
        <f t="shared" si="130"/>
        <v>1.4199788270151011E-12</v>
      </c>
      <c r="H658" s="49">
        <f t="shared" si="130"/>
        <v>1.2117873191474932E-11</v>
      </c>
      <c r="I658" s="49">
        <f t="shared" si="130"/>
        <v>8.7792346516384363E-11</v>
      </c>
      <c r="J658" s="49">
        <f t="shared" si="130"/>
        <v>5.5119877622827464E-10</v>
      </c>
      <c r="K658" s="49">
        <f t="shared" si="130"/>
        <v>3.046514241293188E-9</v>
      </c>
      <c r="L658" s="49">
        <f t="shared" si="131"/>
        <v>1.5007950599071962E-8</v>
      </c>
      <c r="M658" s="49">
        <f t="shared" si="131"/>
        <v>6.6560249869779526E-8</v>
      </c>
      <c r="N658" s="49">
        <f t="shared" si="131"/>
        <v>2.6796517224168168E-7</v>
      </c>
      <c r="O658" s="49">
        <f t="shared" si="131"/>
        <v>9.8612495177344903E-7</v>
      </c>
      <c r="P658" s="49">
        <f t="shared" si="131"/>
        <v>3.3369611673005297E-6</v>
      </c>
      <c r="Q658" s="49">
        <f t="shared" si="131"/>
        <v>1.0436629158867809E-5</v>
      </c>
      <c r="R658" s="49">
        <f t="shared" si="131"/>
        <v>3.0304158194598032E-5</v>
      </c>
      <c r="S658" s="49">
        <f t="shared" si="131"/>
        <v>8.2014748186930031E-5</v>
      </c>
      <c r="T658" s="49">
        <f t="shared" si="131"/>
        <v>2.076144910566024E-4</v>
      </c>
      <c r="U658" s="49">
        <f t="shared" si="131"/>
        <v>4.9314404720135214E-4</v>
      </c>
      <c r="V658" s="49">
        <f t="shared" si="131"/>
        <v>1.1022692377661177E-3</v>
      </c>
      <c r="W658" s="47">
        <v>0.34499999999999997</v>
      </c>
    </row>
    <row r="659" spans="2:23" x14ac:dyDescent="0.25">
      <c r="B659" s="49">
        <f t="shared" si="130"/>
        <v>4.8921483521209678E-19</v>
      </c>
      <c r="C659" s="49">
        <f t="shared" si="130"/>
        <v>2.6146295462718852E-17</v>
      </c>
      <c r="D659" s="49">
        <f t="shared" si="130"/>
        <v>6.9221411969823971E-16</v>
      </c>
      <c r="E659" s="49">
        <f t="shared" si="130"/>
        <v>1.2103318778808587E-14</v>
      </c>
      <c r="F659" s="49">
        <f t="shared" si="130"/>
        <v>1.57228321418107E-13</v>
      </c>
      <c r="G659" s="49">
        <f t="shared" si="130"/>
        <v>1.6185461222202957E-12</v>
      </c>
      <c r="H659" s="49">
        <f t="shared" si="130"/>
        <v>1.3752899292566806E-11</v>
      </c>
      <c r="I659" s="49">
        <f t="shared" si="130"/>
        <v>9.9209269508454711E-11</v>
      </c>
      <c r="J659" s="49">
        <f t="shared" si="130"/>
        <v>6.2020455980442269E-10</v>
      </c>
      <c r="K659" s="49">
        <f t="shared" si="130"/>
        <v>3.4132236567601723E-9</v>
      </c>
      <c r="L659" s="49">
        <f t="shared" si="131"/>
        <v>1.6742558671255606E-8</v>
      </c>
      <c r="M659" s="49">
        <f t="shared" si="131"/>
        <v>7.3936482143954397E-8</v>
      </c>
      <c r="N659" s="49">
        <f t="shared" si="131"/>
        <v>2.9639478971202635E-7</v>
      </c>
      <c r="O659" s="49">
        <f t="shared" si="131"/>
        <v>1.0861205836823296E-6</v>
      </c>
      <c r="P659" s="49">
        <f t="shared" si="131"/>
        <v>3.6597991792328741E-6</v>
      </c>
      <c r="Q659" s="49">
        <f t="shared" si="131"/>
        <v>1.1398118905044853E-5</v>
      </c>
      <c r="R659" s="49">
        <f t="shared" si="131"/>
        <v>3.2957146853277466E-5</v>
      </c>
      <c r="S659" s="49">
        <f t="shared" si="131"/>
        <v>8.8822365030343284E-5</v>
      </c>
      <c r="T659" s="49">
        <f t="shared" si="131"/>
        <v>2.2391368389445589E-4</v>
      </c>
      <c r="U659" s="49">
        <f t="shared" si="131"/>
        <v>5.2966366883273517E-4</v>
      </c>
      <c r="V659" s="49">
        <f t="shared" si="131"/>
        <v>1.1790432293709964E-3</v>
      </c>
      <c r="W659" s="47">
        <v>0.34399999999999997</v>
      </c>
    </row>
    <row r="660" spans="2:23" x14ac:dyDescent="0.25">
      <c r="B660" s="49">
        <f t="shared" si="130"/>
        <v>5.6964149919713633E-19</v>
      </c>
      <c r="C660" s="49">
        <f t="shared" si="130"/>
        <v>3.0312650967603533E-17</v>
      </c>
      <c r="D660" s="49">
        <f t="shared" si="130"/>
        <v>7.9903904165571662E-16</v>
      </c>
      <c r="E660" s="49">
        <f t="shared" si="130"/>
        <v>1.3910669132089038E-14</v>
      </c>
      <c r="F660" s="49">
        <f t="shared" si="130"/>
        <v>1.7992550547765057E-13</v>
      </c>
      <c r="G660" s="49">
        <f t="shared" si="130"/>
        <v>1.844200142255779E-12</v>
      </c>
      <c r="H660" s="49">
        <f t="shared" si="130"/>
        <v>1.560274828575278E-11</v>
      </c>
      <c r="I660" s="49">
        <f t="shared" si="130"/>
        <v>1.1206914875265066E-10</v>
      </c>
      <c r="J660" s="49">
        <f t="shared" si="130"/>
        <v>6.975882685899409E-10</v>
      </c>
      <c r="K660" s="49">
        <f t="shared" si="130"/>
        <v>3.8226373254431764E-9</v>
      </c>
      <c r="L660" s="49">
        <f t="shared" si="131"/>
        <v>1.8670606783993135E-8</v>
      </c>
      <c r="M660" s="49">
        <f t="shared" si="131"/>
        <v>8.2099059565839054E-8</v>
      </c>
      <c r="N660" s="49">
        <f t="shared" si="131"/>
        <v>3.2771610345523269E-7</v>
      </c>
      <c r="O660" s="49">
        <f t="shared" si="131"/>
        <v>1.1958002714785519E-6</v>
      </c>
      <c r="P660" s="49">
        <f t="shared" si="131"/>
        <v>4.0123372810591328E-6</v>
      </c>
      <c r="Q660" s="49">
        <f t="shared" si="131"/>
        <v>1.244342209189142E-5</v>
      </c>
      <c r="R660" s="49">
        <f t="shared" si="131"/>
        <v>3.5828649554502101E-5</v>
      </c>
      <c r="S660" s="49">
        <f t="shared" si="131"/>
        <v>9.6158125748168561E-5</v>
      </c>
      <c r="T660" s="49">
        <f t="shared" si="131"/>
        <v>2.4139976007580725E-4</v>
      </c>
      <c r="U660" s="49">
        <f t="shared" si="131"/>
        <v>5.6866942948539836E-4</v>
      </c>
      <c r="V660" s="49">
        <f t="shared" si="131"/>
        <v>1.2606813156627657E-3</v>
      </c>
      <c r="W660" s="47">
        <v>0.34300000000000003</v>
      </c>
    </row>
    <row r="661" spans="2:23" x14ac:dyDescent="0.25">
      <c r="B661" s="49">
        <f t="shared" si="130"/>
        <v>6.6322084940219623E-19</v>
      </c>
      <c r="C661" s="49">
        <f t="shared" si="130"/>
        <v>3.5138900626205814E-17</v>
      </c>
      <c r="D661" s="49">
        <f t="shared" si="130"/>
        <v>9.2223587186079895E-16</v>
      </c>
      <c r="E661" s="49">
        <f t="shared" si="130"/>
        <v>1.598578709099186E-14</v>
      </c>
      <c r="F661" s="49">
        <f t="shared" si="130"/>
        <v>2.0587004172388052E-13</v>
      </c>
      <c r="G661" s="49">
        <f t="shared" si="130"/>
        <v>2.1009974702201031E-12</v>
      </c>
      <c r="H661" s="49">
        <f t="shared" si="130"/>
        <v>1.7698583808318704E-11</v>
      </c>
      <c r="I661" s="49">
        <f t="shared" si="130"/>
        <v>1.2657460203921649E-10</v>
      </c>
      <c r="J661" s="49">
        <f t="shared" si="130"/>
        <v>7.8448780316170016E-10</v>
      </c>
      <c r="K661" s="49">
        <f t="shared" si="130"/>
        <v>4.2803613887312552E-9</v>
      </c>
      <c r="L661" s="49">
        <f t="shared" si="131"/>
        <v>2.0816621873797784E-8</v>
      </c>
      <c r="M661" s="49">
        <f t="shared" si="131"/>
        <v>9.1144208378952587E-8</v>
      </c>
      <c r="N661" s="49">
        <f t="shared" si="131"/>
        <v>3.6227038536607249E-7</v>
      </c>
      <c r="O661" s="49">
        <f t="shared" si="131"/>
        <v>1.3162654721018702E-6</v>
      </c>
      <c r="P661" s="49">
        <f t="shared" si="131"/>
        <v>4.3978289225682449E-6</v>
      </c>
      <c r="Q661" s="49">
        <f t="shared" si="131"/>
        <v>1.3581376023741884E-5</v>
      </c>
      <c r="R661" s="49">
        <f t="shared" si="131"/>
        <v>3.8940832644537137E-5</v>
      </c>
      <c r="S661" s="49">
        <f t="shared" si="131"/>
        <v>1.0407355680321344E-4</v>
      </c>
      <c r="T661" s="49">
        <f t="shared" si="131"/>
        <v>2.6018407171991023E-4</v>
      </c>
      <c r="U661" s="49">
        <f t="shared" si="131"/>
        <v>6.1038567129934236E-4</v>
      </c>
      <c r="V661" s="49">
        <f t="shared" si="131"/>
        <v>1.3476059249723166E-3</v>
      </c>
      <c r="W661" s="47">
        <v>0.34200000000000003</v>
      </c>
    </row>
    <row r="662" spans="2:23" x14ac:dyDescent="0.25">
      <c r="B662" s="49">
        <f t="shared" si="130"/>
        <v>7.7199484482680917E-19</v>
      </c>
      <c r="C662" s="49">
        <f t="shared" si="130"/>
        <v>4.0723922375351018E-17</v>
      </c>
      <c r="D662" s="49">
        <f t="shared" si="130"/>
        <v>1.0641692852065526E-15</v>
      </c>
      <c r="E662" s="49">
        <f t="shared" si="130"/>
        <v>1.8365902033078245E-14</v>
      </c>
      <c r="F662" s="49">
        <f t="shared" si="130"/>
        <v>2.3549590963307547E-13</v>
      </c>
      <c r="G662" s="49">
        <f t="shared" si="130"/>
        <v>2.3929321561799576E-12</v>
      </c>
      <c r="H662" s="49">
        <f t="shared" si="130"/>
        <v>2.0070626070657649E-11</v>
      </c>
      <c r="I662" s="49">
        <f t="shared" si="130"/>
        <v>1.4291891079057804E-10</v>
      </c>
      <c r="J662" s="49">
        <f t="shared" si="130"/>
        <v>8.8196942149649381E-10</v>
      </c>
      <c r="K662" s="49">
        <f t="shared" si="130"/>
        <v>4.7915475069115015E-9</v>
      </c>
      <c r="L662" s="49">
        <f t="shared" si="131"/>
        <v>2.32026639892834E-8</v>
      </c>
      <c r="M662" s="49">
        <f t="shared" si="131"/>
        <v>1.0115644434507063E-7</v>
      </c>
      <c r="N662" s="49">
        <f t="shared" si="131"/>
        <v>4.0034953648548579E-7</v>
      </c>
      <c r="O662" s="49">
        <f t="shared" si="131"/>
        <v>1.4484306425285415E-6</v>
      </c>
      <c r="P662" s="49">
        <f t="shared" si="131"/>
        <v>4.8188854491828666E-6</v>
      </c>
      <c r="Q662" s="49">
        <f t="shared" si="131"/>
        <v>1.4818804607948225E-5</v>
      </c>
      <c r="R662" s="49">
        <f t="shared" si="131"/>
        <v>4.2310062395451253E-5</v>
      </c>
      <c r="S662" s="49">
        <f t="shared" si="131"/>
        <v>1.1260475602219723E-4</v>
      </c>
      <c r="T662" s="49">
        <f t="shared" si="131"/>
        <v>2.8033990802951746E-4</v>
      </c>
      <c r="U662" s="49">
        <f t="shared" si="131"/>
        <v>6.5494931963897799E-4</v>
      </c>
      <c r="V662" s="49">
        <f t="shared" si="131"/>
        <v>1.4400519694893548E-3</v>
      </c>
      <c r="W662" s="47">
        <v>0.34100000000000003</v>
      </c>
    </row>
    <row r="663" spans="2:23" x14ac:dyDescent="0.25">
      <c r="B663" s="49">
        <f t="shared" ref="B663:K672" si="132">_xlfn.HYPGEOM.DIST(B$2,comau,tongtheN*$W663,tongtheN,TRUE)</f>
        <v>8.9840180178877032E-19</v>
      </c>
      <c r="C663" s="49">
        <f t="shared" si="132"/>
        <v>4.7185492628775886E-17</v>
      </c>
      <c r="D663" s="49">
        <f t="shared" si="132"/>
        <v>1.227649483287765E-15</v>
      </c>
      <c r="E663" s="49">
        <f t="shared" si="132"/>
        <v>2.1095167277582995E-14</v>
      </c>
      <c r="F663" s="49">
        <f t="shared" si="132"/>
        <v>2.6931689073754567E-13</v>
      </c>
      <c r="G663" s="49">
        <f t="shared" si="132"/>
        <v>2.724725846947663E-12</v>
      </c>
      <c r="H663" s="49">
        <f t="shared" si="132"/>
        <v>2.2754562052981124E-11</v>
      </c>
      <c r="I663" s="49">
        <f t="shared" si="132"/>
        <v>1.6133017425891832E-10</v>
      </c>
      <c r="J663" s="49">
        <f t="shared" si="132"/>
        <v>9.9129129613459141E-10</v>
      </c>
      <c r="K663" s="49">
        <f t="shared" si="132"/>
        <v>5.3622774994230244E-9</v>
      </c>
      <c r="L663" s="49">
        <f t="shared" ref="L663:V672" si="133">_xlfn.HYPGEOM.DIST(L$2,comau,tongtheN*$W663,tongtheN,TRUE)</f>
        <v>2.5854807700833727E-8</v>
      </c>
      <c r="M663" s="49">
        <f t="shared" si="133"/>
        <v>1.122358720695933E-7</v>
      </c>
      <c r="N663" s="49">
        <f t="shared" si="133"/>
        <v>4.4230039126453217E-7</v>
      </c>
      <c r="O663" s="49">
        <f t="shared" si="133"/>
        <v>1.5933872044180279E-6</v>
      </c>
      <c r="P663" s="49">
        <f t="shared" si="133"/>
        <v>5.278642677731636E-6</v>
      </c>
      <c r="Q663" s="49">
        <f t="shared" si="133"/>
        <v>1.6163969764606316E-5</v>
      </c>
      <c r="R663" s="49">
        <f t="shared" si="133"/>
        <v>4.5956370772162029E-5</v>
      </c>
      <c r="S663" s="49">
        <f t="shared" si="133"/>
        <v>1.2179654730462191E-4</v>
      </c>
      <c r="T663" s="49">
        <f t="shared" si="133"/>
        <v>3.0196003277816125E-4</v>
      </c>
      <c r="U663" s="49">
        <f t="shared" si="133"/>
        <v>7.0253819190129114E-4</v>
      </c>
      <c r="V663" s="49">
        <f t="shared" si="133"/>
        <v>1.5383354007680056E-3</v>
      </c>
      <c r="W663" s="47">
        <v>0.34</v>
      </c>
    </row>
    <row r="664" spans="2:23" x14ac:dyDescent="0.25">
      <c r="B664" s="49">
        <f t="shared" si="132"/>
        <v>1.0452667011609831E-18</v>
      </c>
      <c r="C664" s="49">
        <f t="shared" si="132"/>
        <v>5.4659433627225917E-17</v>
      </c>
      <c r="D664" s="49">
        <f t="shared" si="132"/>
        <v>1.4159022243680469E-15</v>
      </c>
      <c r="E664" s="49">
        <f t="shared" si="132"/>
        <v>2.4224029621525402E-14</v>
      </c>
      <c r="F664" s="49">
        <f t="shared" si="132"/>
        <v>3.0791726111317506E-13</v>
      </c>
      <c r="G664" s="49">
        <f t="shared" si="132"/>
        <v>3.1017228965828986E-12</v>
      </c>
      <c r="H664" s="49">
        <f t="shared" si="132"/>
        <v>2.5790595407673451E-11</v>
      </c>
      <c r="I664" s="49">
        <f t="shared" si="132"/>
        <v>1.8206414761653484E-10</v>
      </c>
      <c r="J664" s="49">
        <f t="shared" si="132"/>
        <v>1.1138574535887449E-9</v>
      </c>
      <c r="K664" s="49">
        <f t="shared" si="132"/>
        <v>5.9993058390804991E-9</v>
      </c>
      <c r="L664" s="49">
        <f t="shared" si="133"/>
        <v>2.8801872382260018E-8</v>
      </c>
      <c r="M664" s="49">
        <f t="shared" si="133"/>
        <v>1.2449259869111935E-7</v>
      </c>
      <c r="N664" s="49">
        <f t="shared" si="133"/>
        <v>4.8850257909493884E-7</v>
      </c>
      <c r="O664" s="49">
        <f t="shared" si="133"/>
        <v>1.7523238939108682E-6</v>
      </c>
      <c r="P664" s="49">
        <f t="shared" si="133"/>
        <v>5.7804990061477318E-6</v>
      </c>
      <c r="Q664" s="49">
        <f t="shared" si="133"/>
        <v>1.7625780017833803E-5</v>
      </c>
      <c r="R664" s="49">
        <f t="shared" si="133"/>
        <v>4.9901246665271368E-5</v>
      </c>
      <c r="S664" s="49">
        <f t="shared" si="133"/>
        <v>1.3169676305082635E-4</v>
      </c>
      <c r="T664" s="49">
        <f t="shared" si="133"/>
        <v>3.2514290571355125E-4</v>
      </c>
      <c r="U664" s="49">
        <f t="shared" si="133"/>
        <v>7.5333998332602434E-4</v>
      </c>
      <c r="V664" s="49">
        <f t="shared" si="133"/>
        <v>1.6427878140257148E-3</v>
      </c>
      <c r="W664" s="47">
        <v>0.33900000000000002</v>
      </c>
    </row>
    <row r="665" spans="2:23" x14ac:dyDescent="0.25">
      <c r="B665" s="49">
        <f t="shared" si="132"/>
        <v>1.2158617752350818E-18</v>
      </c>
      <c r="C665" s="49">
        <f t="shared" si="132"/>
        <v>6.3302342345616283E-17</v>
      </c>
      <c r="D665" s="49">
        <f t="shared" si="132"/>
        <v>1.6326293922924469E-15</v>
      </c>
      <c r="E665" s="49">
        <f t="shared" si="132"/>
        <v>2.7810112231471611E-14</v>
      </c>
      <c r="F665" s="49">
        <f t="shared" si="132"/>
        <v>3.5196129527690719E-13</v>
      </c>
      <c r="G665" s="49">
        <f t="shared" si="132"/>
        <v>3.5299709089380866E-12</v>
      </c>
      <c r="H665" s="49">
        <f t="shared" si="132"/>
        <v>2.9224005886018327E-11</v>
      </c>
      <c r="I665" s="49">
        <f t="shared" si="132"/>
        <v>2.054075153053535E-10</v>
      </c>
      <c r="J665" s="49">
        <f t="shared" si="132"/>
        <v>1.251234232812959E-9</v>
      </c>
      <c r="K665" s="49">
        <f t="shared" si="132"/>
        <v>6.7101318267769482E-9</v>
      </c>
      <c r="L665" s="49">
        <f t="shared" si="133"/>
        <v>3.2075701415104354E-8</v>
      </c>
      <c r="M665" s="49">
        <f t="shared" si="133"/>
        <v>1.3804769512350998E-7</v>
      </c>
      <c r="N665" s="49">
        <f t="shared" si="133"/>
        <v>5.393714897094318E-7</v>
      </c>
      <c r="O665" s="49">
        <f t="shared" si="133"/>
        <v>1.9265350015423788E-6</v>
      </c>
      <c r="P665" s="49">
        <f t="shared" si="133"/>
        <v>6.3281361129434653E-6</v>
      </c>
      <c r="Q665" s="49">
        <f t="shared" si="133"/>
        <v>1.9213837612534041E-5</v>
      </c>
      <c r="R665" s="49">
        <f t="shared" si="133"/>
        <v>5.4167733136361791E-5</v>
      </c>
      <c r="S665" s="49">
        <f t="shared" si="133"/>
        <v>1.4235642591707196E-4</v>
      </c>
      <c r="T665" s="49">
        <f t="shared" si="133"/>
        <v>3.4999298894476194E-4</v>
      </c>
      <c r="U665" s="49">
        <f t="shared" si="133"/>
        <v>8.075527288294303E-4</v>
      </c>
      <c r="V665" s="49">
        <f t="shared" si="133"/>
        <v>1.753757059945056E-3</v>
      </c>
      <c r="W665" s="47">
        <v>0.33800000000000002</v>
      </c>
    </row>
    <row r="666" spans="2:23" x14ac:dyDescent="0.25">
      <c r="B666" s="49">
        <f t="shared" si="132"/>
        <v>1.4139764740131596E-18</v>
      </c>
      <c r="C666" s="49">
        <f t="shared" si="132"/>
        <v>7.3294726603921869E-17</v>
      </c>
      <c r="D666" s="49">
        <f t="shared" si="132"/>
        <v>1.8820782643616521E-15</v>
      </c>
      <c r="E666" s="49">
        <f t="shared" si="132"/>
        <v>3.1919219385560866E-14</v>
      </c>
      <c r="F666" s="49">
        <f t="shared" si="132"/>
        <v>4.0220402830071812E-13</v>
      </c>
      <c r="G666" s="49">
        <f t="shared" si="132"/>
        <v>4.0163114886589163E-12</v>
      </c>
      <c r="H666" s="49">
        <f t="shared" si="132"/>
        <v>3.3105776498140592E-11</v>
      </c>
      <c r="I666" s="49">
        <f t="shared" si="132"/>
        <v>2.3168154203889064E-10</v>
      </c>
      <c r="J666" s="49">
        <f t="shared" si="132"/>
        <v>1.4051685479130828E-9</v>
      </c>
      <c r="K666" s="49">
        <f t="shared" si="132"/>
        <v>7.5030792594074911E-9</v>
      </c>
      <c r="L666" s="49">
        <f t="shared" si="133"/>
        <v>3.57114687401689E-8</v>
      </c>
      <c r="M666" s="49">
        <f t="shared" si="133"/>
        <v>1.5303424571694259E-7</v>
      </c>
      <c r="N666" s="49">
        <f t="shared" si="133"/>
        <v>5.9536149333007066E-7</v>
      </c>
      <c r="O666" s="49">
        <f t="shared" si="133"/>
        <v>2.1174292687234349E-6</v>
      </c>
      <c r="P666" s="49">
        <f t="shared" si="133"/>
        <v>6.9255411731430937E-6</v>
      </c>
      <c r="Q666" s="49">
        <f t="shared" si="133"/>
        <v>2.0938488768091913E-5</v>
      </c>
      <c r="R666" s="49">
        <f t="shared" si="133"/>
        <v>5.8780530452403563E-5</v>
      </c>
      <c r="S666" s="49">
        <f t="shared" si="133"/>
        <v>1.5382994001471968E-4</v>
      </c>
      <c r="T666" s="49">
        <f t="shared" si="133"/>
        <v>3.7662106668552201E-4</v>
      </c>
      <c r="U666" s="49">
        <f t="shared" si="133"/>
        <v>8.6538528050144616E-4</v>
      </c>
      <c r="V666" s="49">
        <f t="shared" si="133"/>
        <v>1.8716078698339193E-3</v>
      </c>
      <c r="W666" s="47">
        <v>0.33700000000000002</v>
      </c>
    </row>
    <row r="667" spans="2:23" x14ac:dyDescent="0.25">
      <c r="B667" s="49">
        <f t="shared" si="132"/>
        <v>1.6439982453628653E-18</v>
      </c>
      <c r="C667" s="49">
        <f t="shared" si="132"/>
        <v>8.4844608327479367E-17</v>
      </c>
      <c r="D667" s="49">
        <f t="shared" si="132"/>
        <v>2.1691207088427283E-15</v>
      </c>
      <c r="E667" s="49">
        <f t="shared" si="132"/>
        <v>3.6626479602183018E-14</v>
      </c>
      <c r="F667" s="49">
        <f t="shared" si="132"/>
        <v>4.595034396057307E-13</v>
      </c>
      <c r="G667" s="49">
        <f t="shared" si="132"/>
        <v>4.5684824673504314E-12</v>
      </c>
      <c r="H667" s="49">
        <f t="shared" si="132"/>
        <v>3.7493296412455809E-11</v>
      </c>
      <c r="I667" s="49">
        <f t="shared" si="132"/>
        <v>2.6124614385208527E-10</v>
      </c>
      <c r="J667" s="49">
        <f t="shared" si="132"/>
        <v>1.5776081467829721E-9</v>
      </c>
      <c r="K667" s="49">
        <f t="shared" si="132"/>
        <v>8.3873843412537431E-9</v>
      </c>
      <c r="L667" s="49">
        <f t="shared" si="133"/>
        <v>3.9748015323651826E-8</v>
      </c>
      <c r="M667" s="49">
        <f t="shared" si="133"/>
        <v>1.6959849407274695E-7</v>
      </c>
      <c r="N667" s="49">
        <f t="shared" si="133"/>
        <v>6.5696943616525349E-7</v>
      </c>
      <c r="O667" s="49">
        <f t="shared" si="133"/>
        <v>2.3265394893553944E-6</v>
      </c>
      <c r="P667" s="49">
        <f t="shared" si="133"/>
        <v>7.5770306917992807E-6</v>
      </c>
      <c r="Q667" s="49">
        <f t="shared" si="133"/>
        <v>2.281087725354166E-5</v>
      </c>
      <c r="R667" s="49">
        <f t="shared" si="133"/>
        <v>6.3766105199389333E-5</v>
      </c>
      <c r="S667" s="49">
        <f t="shared" si="133"/>
        <v>1.6617529193075934E-4</v>
      </c>
      <c r="T667" s="49">
        <f t="shared" si="133"/>
        <v>4.0514457871554274E-4</v>
      </c>
      <c r="U667" s="49">
        <f t="shared" si="133"/>
        <v>9.2705780089206904E-4</v>
      </c>
      <c r="V667" s="49">
        <f t="shared" si="133"/>
        <v>1.9967224937113386E-3</v>
      </c>
      <c r="W667" s="47">
        <v>0.33600000000000002</v>
      </c>
    </row>
    <row r="668" spans="2:23" x14ac:dyDescent="0.25">
      <c r="B668" s="49">
        <f t="shared" si="132"/>
        <v>1.911005780164169E-18</v>
      </c>
      <c r="C668" s="49">
        <f t="shared" si="132"/>
        <v>9.8191662606761916E-17</v>
      </c>
      <c r="D668" s="49">
        <f t="shared" si="132"/>
        <v>2.4993437142371212E-15</v>
      </c>
      <c r="E668" s="49">
        <f t="shared" si="132"/>
        <v>4.2017645897263206E-14</v>
      </c>
      <c r="F668" s="49">
        <f t="shared" si="132"/>
        <v>5.2483424272437432E-13</v>
      </c>
      <c r="G668" s="49">
        <f t="shared" si="132"/>
        <v>5.1952330253309837E-12</v>
      </c>
      <c r="H668" s="49">
        <f t="shared" si="132"/>
        <v>4.2451148523381701E-11</v>
      </c>
      <c r="I668" s="49">
        <f t="shared" si="132"/>
        <v>2.94504426215428E-10</v>
      </c>
      <c r="J668" s="49">
        <f t="shared" si="132"/>
        <v>1.770724077025903E-9</v>
      </c>
      <c r="K668" s="49">
        <f t="shared" si="132"/>
        <v>9.373292661206071E-9</v>
      </c>
      <c r="L668" s="49">
        <f t="shared" si="133"/>
        <v>4.422821833487983E-8</v>
      </c>
      <c r="M668" s="49">
        <f t="shared" si="133"/>
        <v>1.8790109338444425E-7</v>
      </c>
      <c r="N668" s="49">
        <f t="shared" si="133"/>
        <v>7.247384334021651E-7</v>
      </c>
      <c r="O668" s="49">
        <f t="shared" si="133"/>
        <v>2.555532868407149E-6</v>
      </c>
      <c r="P668" s="49">
        <f t="shared" si="133"/>
        <v>8.2872760621203533E-6</v>
      </c>
      <c r="Q668" s="49">
        <f t="shared" si="133"/>
        <v>2.4843001477671846E-5</v>
      </c>
      <c r="R668" s="49">
        <f t="shared" si="133"/>
        <v>6.9152805775641365E-5</v>
      </c>
      <c r="S668" s="49">
        <f t="shared" si="133"/>
        <v>1.7945426195369943E-4</v>
      </c>
      <c r="T668" s="49">
        <f t="shared" si="133"/>
        <v>4.3568796791529178E-4</v>
      </c>
      <c r="U668" s="49">
        <f t="shared" si="133"/>
        <v>9.9280227218137584E-4</v>
      </c>
      <c r="V668" s="49">
        <f t="shared" si="133"/>
        <v>2.1295013508232132E-3</v>
      </c>
      <c r="W668" s="47">
        <v>0.33500000000000002</v>
      </c>
    </row>
    <row r="669" spans="2:23" x14ac:dyDescent="0.25">
      <c r="B669" s="49">
        <f t="shared" si="132"/>
        <v>2.220876622599148E-18</v>
      </c>
      <c r="C669" s="49">
        <f t="shared" si="132"/>
        <v>1.1361197115730039E-16</v>
      </c>
      <c r="D669" s="49">
        <f t="shared" si="132"/>
        <v>2.8791528473802388E-15</v>
      </c>
      <c r="E669" s="49">
        <f t="shared" si="132"/>
        <v>4.8190574406562778E-14</v>
      </c>
      <c r="F669" s="49">
        <f t="shared" si="132"/>
        <v>5.9930348874112077E-13</v>
      </c>
      <c r="G669" s="49">
        <f t="shared" si="132"/>
        <v>5.9064533013211206E-12</v>
      </c>
      <c r="H669" s="49">
        <f t="shared" si="132"/>
        <v>4.8051991642007661E-11</v>
      </c>
      <c r="I669" s="49">
        <f t="shared" si="132"/>
        <v>3.3190774133857356E-10</v>
      </c>
      <c r="J669" s="49">
        <f t="shared" si="132"/>
        <v>1.9869355921416696E-9</v>
      </c>
      <c r="K669" s="49">
        <f t="shared" si="132"/>
        <v>1.0472166136949228E-8</v>
      </c>
      <c r="L669" s="49">
        <f t="shared" si="133"/>
        <v>4.9199396081617676E-8</v>
      </c>
      <c r="M669" s="49">
        <f t="shared" si="133"/>
        <v>2.0811847036395004E-7</v>
      </c>
      <c r="N669" s="49">
        <f t="shared" si="133"/>
        <v>7.9926198349333916E-7</v>
      </c>
      <c r="O669" s="49">
        <f t="shared" si="133"/>
        <v>2.8062221927339078E-6</v>
      </c>
      <c r="P669" s="49">
        <f t="shared" si="133"/>
        <v>9.0613309614218088E-6</v>
      </c>
      <c r="Q669" s="49">
        <f t="shared" si="133"/>
        <v>2.7047775296733718E-5</v>
      </c>
      <c r="R669" s="49">
        <f t="shared" si="133"/>
        <v>7.4970984575712418E-5</v>
      </c>
      <c r="S669" s="49">
        <f t="shared" si="133"/>
        <v>1.9373264589497643E-4</v>
      </c>
      <c r="T669" s="49">
        <f t="shared" si="133"/>
        <v>4.6838304222130794E-4</v>
      </c>
      <c r="U669" s="49">
        <f t="shared" si="133"/>
        <v>1.0628630212928408E-3</v>
      </c>
      <c r="V669" s="49">
        <f t="shared" si="133"/>
        <v>2.270363692022782E-3</v>
      </c>
      <c r="W669" s="47">
        <v>0.33400000000000002</v>
      </c>
    </row>
    <row r="670" spans="2:23" x14ac:dyDescent="0.25">
      <c r="B670" s="49">
        <f t="shared" si="132"/>
        <v>2.5804113318554562E-18</v>
      </c>
      <c r="C670" s="49">
        <f t="shared" si="132"/>
        <v>1.3142348015339212E-16</v>
      </c>
      <c r="D670" s="49">
        <f t="shared" si="132"/>
        <v>3.3158904590836728E-15</v>
      </c>
      <c r="E670" s="49">
        <f t="shared" si="132"/>
        <v>5.5256905430065582E-14</v>
      </c>
      <c r="F670" s="49">
        <f t="shared" si="132"/>
        <v>6.8416821746207341E-13</v>
      </c>
      <c r="G670" s="49">
        <f t="shared" si="132"/>
        <v>6.7133202746661285E-12</v>
      </c>
      <c r="H670" s="49">
        <f t="shared" si="132"/>
        <v>5.4377548404979301E-11</v>
      </c>
      <c r="I670" s="49">
        <f t="shared" si="132"/>
        <v>3.7396132243480412E-10</v>
      </c>
      <c r="J670" s="49">
        <f t="shared" si="132"/>
        <v>2.2289377547082029E-9</v>
      </c>
      <c r="K670" s="49">
        <f t="shared" si="132"/>
        <v>1.1696600913188095E-8</v>
      </c>
      <c r="L670" s="49">
        <f t="shared" si="133"/>
        <v>5.4713752018830168E-8</v>
      </c>
      <c r="M670" s="49">
        <f t="shared" si="133"/>
        <v>2.3044431255062315E-7</v>
      </c>
      <c r="N670" s="49">
        <f t="shared" si="133"/>
        <v>8.8118842929905577E-7</v>
      </c>
      <c r="O670" s="49">
        <f t="shared" si="133"/>
        <v>3.0805778730684147E-6</v>
      </c>
      <c r="P670" s="49">
        <f t="shared" si="133"/>
        <v>9.9046607045811679E-6</v>
      </c>
      <c r="Q670" s="49">
        <f t="shared" si="133"/>
        <v>2.9439092751871437E-5</v>
      </c>
      <c r="R670" s="49">
        <f t="shared" si="133"/>
        <v>8.1253127186191269E-5</v>
      </c>
      <c r="S670" s="49">
        <f t="shared" si="133"/>
        <v>2.0908048790141027E-4</v>
      </c>
      <c r="T670" s="49">
        <f t="shared" si="133"/>
        <v>5.0336935133955081E-4</v>
      </c>
      <c r="U670" s="49">
        <f t="shared" si="133"/>
        <v>1.1374972609729383E-3</v>
      </c>
      <c r="V670" s="49">
        <f t="shared" si="133"/>
        <v>2.4197482733803012E-3</v>
      </c>
      <c r="W670" s="47">
        <v>0.33300000000000002</v>
      </c>
    </row>
    <row r="671" spans="2:23" x14ac:dyDescent="0.25">
      <c r="B671" s="49">
        <f t="shared" si="132"/>
        <v>2.9974767101822006E-18</v>
      </c>
      <c r="C671" s="49">
        <f t="shared" si="132"/>
        <v>1.5199226540496761E-16</v>
      </c>
      <c r="D671" s="49">
        <f t="shared" si="132"/>
        <v>3.8179707079417411E-15</v>
      </c>
      <c r="E671" s="49">
        <f t="shared" si="132"/>
        <v>6.3343974143934339E-14</v>
      </c>
      <c r="F671" s="49">
        <f t="shared" si="132"/>
        <v>7.8085541997460591E-13</v>
      </c>
      <c r="G671" s="49">
        <f t="shared" si="132"/>
        <v>7.6284619196028552E-12</v>
      </c>
      <c r="H671" s="49">
        <f t="shared" si="132"/>
        <v>6.1519711264554053E-11</v>
      </c>
      <c r="I671" s="49">
        <f t="shared" si="132"/>
        <v>4.2123055895593487E-10</v>
      </c>
      <c r="J671" s="49">
        <f t="shared" si="132"/>
        <v>2.4997320193626171E-9</v>
      </c>
      <c r="K671" s="49">
        <f t="shared" si="132"/>
        <v>1.3060557294759E-8</v>
      </c>
      <c r="L671" s="49">
        <f t="shared" si="133"/>
        <v>6.0828861439239847E-8</v>
      </c>
      <c r="M671" s="49">
        <f t="shared" si="133"/>
        <v>2.5509118959543395E-7</v>
      </c>
      <c r="N671" s="49">
        <f t="shared" si="133"/>
        <v>9.7122579352855913E-7</v>
      </c>
      <c r="O671" s="49">
        <f t="shared" si="133"/>
        <v>3.3807409199755253E-6</v>
      </c>
      <c r="P671" s="49">
        <f t="shared" si="133"/>
        <v>1.0823173681433843E-5</v>
      </c>
      <c r="Q671" s="49">
        <f t="shared" si="133"/>
        <v>3.2031896958156904E-5</v>
      </c>
      <c r="R671" s="49">
        <f t="shared" si="133"/>
        <v>8.8033988925191074E-5</v>
      </c>
      <c r="S671" s="49">
        <f t="shared" si="133"/>
        <v>2.2557232465902205E-4</v>
      </c>
      <c r="T671" s="49">
        <f t="shared" si="133"/>
        <v>5.407945785424192E-4</v>
      </c>
      <c r="U671" s="49">
        <f t="shared" si="133"/>
        <v>1.2169756468192472E-3</v>
      </c>
      <c r="V671" s="49">
        <f t="shared" si="133"/>
        <v>2.5781140403126276E-3</v>
      </c>
      <c r="W671" s="47">
        <v>0.33200000000000002</v>
      </c>
    </row>
    <row r="672" spans="2:23" x14ac:dyDescent="0.25">
      <c r="B672" s="49">
        <f t="shared" si="132"/>
        <v>3.481170989709237E-18</v>
      </c>
      <c r="C672" s="49">
        <f t="shared" si="132"/>
        <v>1.7573972269358513E-16</v>
      </c>
      <c r="D672" s="49">
        <f t="shared" si="132"/>
        <v>4.3950337591756941E-15</v>
      </c>
      <c r="E672" s="49">
        <f t="shared" si="132"/>
        <v>7.2596981829157595E-14</v>
      </c>
      <c r="F672" s="49">
        <f t="shared" si="132"/>
        <v>8.9098460953894043E-13</v>
      </c>
      <c r="G672" s="49">
        <f t="shared" si="132"/>
        <v>8.6661418712671721E-12</v>
      </c>
      <c r="H672" s="49">
        <f t="shared" si="132"/>
        <v>6.9581780331333256E-11</v>
      </c>
      <c r="I672" s="49">
        <f t="shared" si="132"/>
        <v>4.7434798369707425E-10</v>
      </c>
      <c r="J672" s="49">
        <f t="shared" si="132"/>
        <v>2.8026601070113532E-9</v>
      </c>
      <c r="K672" s="49">
        <f t="shared" si="132"/>
        <v>1.4579502897732929E-8</v>
      </c>
      <c r="L672" s="49">
        <f t="shared" si="133"/>
        <v>6.7608204770755755E-8</v>
      </c>
      <c r="M672" s="49">
        <f t="shared" si="133"/>
        <v>2.8229231996687981E-7</v>
      </c>
      <c r="N672" s="49">
        <f t="shared" si="133"/>
        <v>1.0701470179289416E-6</v>
      </c>
      <c r="O672" s="49">
        <f t="shared" si="133"/>
        <v>3.709036920635412E-6</v>
      </c>
      <c r="P672" s="49">
        <f t="shared" si="133"/>
        <v>1.1823255011601664E-5</v>
      </c>
      <c r="Q672" s="49">
        <f t="shared" si="133"/>
        <v>3.4842253377094699E-5</v>
      </c>
      <c r="R672" s="49">
        <f t="shared" si="133"/>
        <v>9.5350739067618588E-5</v>
      </c>
      <c r="S672" s="49">
        <f t="shared" si="133"/>
        <v>2.4328744139252137E-4</v>
      </c>
      <c r="T672" s="49">
        <f t="shared" si="133"/>
        <v>5.8081494786148616E-4</v>
      </c>
      <c r="U672" s="49">
        <f t="shared" si="133"/>
        <v>1.3015828501966617E-3</v>
      </c>
      <c r="V672" s="49">
        <f t="shared" si="133"/>
        <v>2.7459408214449577E-3</v>
      </c>
      <c r="W672" s="47">
        <v>0.33100000000000002</v>
      </c>
    </row>
    <row r="673" spans="2:23" x14ac:dyDescent="0.25">
      <c r="B673" s="49">
        <f t="shared" ref="B673:K682" si="134">_xlfn.HYPGEOM.DIST(B$2,comau,tongtheN*$W673,tongtheN,TRUE)</f>
        <v>4.0420143038672438E-18</v>
      </c>
      <c r="C673" s="49">
        <f t="shared" si="134"/>
        <v>2.0315081804107593E-16</v>
      </c>
      <c r="D673" s="49">
        <f t="shared" si="134"/>
        <v>5.0581218405922925E-15</v>
      </c>
      <c r="E673" s="49">
        <f t="shared" si="134"/>
        <v>8.3181462537519251E-14</v>
      </c>
      <c r="F673" s="49">
        <f t="shared" si="134"/>
        <v>1.0163933351486216E-12</v>
      </c>
      <c r="G673" s="49">
        <f t="shared" si="134"/>
        <v>9.8424671114841436E-12</v>
      </c>
      <c r="H673" s="49">
        <f t="shared" si="134"/>
        <v>7.8679848405793906E-11</v>
      </c>
      <c r="I673" s="49">
        <f t="shared" si="134"/>
        <v>5.3402105027834483E-10</v>
      </c>
      <c r="J673" s="49">
        <f t="shared" si="134"/>
        <v>3.1414415131049537E-9</v>
      </c>
      <c r="K673" s="49">
        <f t="shared" si="134"/>
        <v>1.6270570313094459E-8</v>
      </c>
      <c r="L673" s="49">
        <f t="shared" ref="L673:V682" si="135">_xlfn.HYPGEOM.DIST(L$2,comau,tongtheN*$W673,tongtheN,TRUE)</f>
        <v>7.512175174881986E-8</v>
      </c>
      <c r="M673" s="49">
        <f t="shared" si="135"/>
        <v>3.1230349544319372E-7</v>
      </c>
      <c r="N673" s="49">
        <f t="shared" si="135"/>
        <v>1.1787956378084292E-6</v>
      </c>
      <c r="O673" s="49">
        <f t="shared" si="135"/>
        <v>4.0679910876261685E-6</v>
      </c>
      <c r="P673" s="49">
        <f t="shared" si="135"/>
        <v>1.2911802557604426E-5</v>
      </c>
      <c r="Q673" s="49">
        <f t="shared" si="135"/>
        <v>3.7887427714706492E-5</v>
      </c>
      <c r="R673" s="49">
        <f t="shared" si="135"/>
        <v>1.0324311310860769E-4</v>
      </c>
      <c r="S673" s="49">
        <f t="shared" si="135"/>
        <v>2.6231014006767987E-4</v>
      </c>
      <c r="T673" s="49">
        <f t="shared" si="135"/>
        <v>6.2359564697231026E-4</v>
      </c>
      <c r="U673" s="49">
        <f t="shared" si="135"/>
        <v>1.3916181469347791E-3</v>
      </c>
      <c r="V673" s="49">
        <f t="shared" si="135"/>
        <v>2.9237300313367663E-3</v>
      </c>
      <c r="W673" s="47">
        <v>0.33</v>
      </c>
    </row>
    <row r="674" spans="2:23" x14ac:dyDescent="0.25">
      <c r="B674" s="49">
        <f t="shared" si="134"/>
        <v>4.6921682668224504E-18</v>
      </c>
      <c r="C674" s="49">
        <f t="shared" si="134"/>
        <v>2.3478355204867448E-16</v>
      </c>
      <c r="D674" s="49">
        <f t="shared" si="134"/>
        <v>5.8198802070957496E-15</v>
      </c>
      <c r="E674" s="49">
        <f t="shared" si="134"/>
        <v>9.5286084714878325E-14</v>
      </c>
      <c r="F674" s="49">
        <f t="shared" si="134"/>
        <v>1.1591660141037383E-12</v>
      </c>
      <c r="G674" s="49">
        <f t="shared" si="134"/>
        <v>1.1175621482120546E-11</v>
      </c>
      <c r="H674" s="49">
        <f t="shared" si="134"/>
        <v>8.8944350272096225E-11</v>
      </c>
      <c r="I674" s="49">
        <f t="shared" si="134"/>
        <v>6.0104078790752797E-10</v>
      </c>
      <c r="J674" s="49">
        <f t="shared" si="134"/>
        <v>3.5202150272668539E-9</v>
      </c>
      <c r="K674" s="49">
        <f t="shared" si="134"/>
        <v>1.8152730699067972E-8</v>
      </c>
      <c r="L674" s="49">
        <f t="shared" si="135"/>
        <v>8.344660110278062E-8</v>
      </c>
      <c r="M674" s="49">
        <f t="shared" si="135"/>
        <v>3.4540517674146066E-7</v>
      </c>
      <c r="N674" s="49">
        <f t="shared" si="135"/>
        <v>1.2980919257575271E-6</v>
      </c>
      <c r="O674" s="49">
        <f t="shared" si="135"/>
        <v>4.4603444554127984E-6</v>
      </c>
      <c r="P674" s="49">
        <f t="shared" si="135"/>
        <v>1.4096265444771959E-5</v>
      </c>
      <c r="Q674" s="49">
        <f t="shared" si="135"/>
        <v>4.118596869781791E-5</v>
      </c>
      <c r="R674" s="49">
        <f t="shared" si="135"/>
        <v>1.117535734276089E-4</v>
      </c>
      <c r="S674" s="49">
        <f t="shared" si="135"/>
        <v>2.8273002020594626E-4</v>
      </c>
      <c r="T674" s="49">
        <f t="shared" si="135"/>
        <v>6.6931126604988884E-4</v>
      </c>
      <c r="U674" s="49">
        <f t="shared" si="135"/>
        <v>1.4873960216499026E-3</v>
      </c>
      <c r="V674" s="49">
        <f t="shared" si="135"/>
        <v>3.1120053811207497E-3</v>
      </c>
      <c r="W674" s="47">
        <v>0.32900000000000001</v>
      </c>
    </row>
    <row r="675" spans="2:23" x14ac:dyDescent="0.25">
      <c r="B675" s="49">
        <f t="shared" si="134"/>
        <v>5.4456890554408265E-18</v>
      </c>
      <c r="C675" s="49">
        <f t="shared" si="134"/>
        <v>2.7127981455218893E-16</v>
      </c>
      <c r="D675" s="49">
        <f t="shared" si="134"/>
        <v>6.694786484620019E-15</v>
      </c>
      <c r="E675" s="49">
        <f t="shared" si="134"/>
        <v>1.0912583249581116E-13</v>
      </c>
      <c r="F675" s="49">
        <f t="shared" si="134"/>
        <v>1.3216665071160746E-12</v>
      </c>
      <c r="G675" s="49">
        <f t="shared" si="134"/>
        <v>1.2686128168475741E-11</v>
      </c>
      <c r="H675" s="49">
        <f t="shared" si="134"/>
        <v>1.0052179525646041E-10</v>
      </c>
      <c r="I675" s="49">
        <f t="shared" si="134"/>
        <v>6.7629142959316539E-10</v>
      </c>
      <c r="J675" s="49">
        <f t="shared" si="134"/>
        <v>3.943584679340177E-9</v>
      </c>
      <c r="K675" s="49">
        <f t="shared" si="134"/>
        <v>2.0246984850491357E-8</v>
      </c>
      <c r="L675" s="49">
        <f t="shared" si="135"/>
        <v>9.2667680796899751E-8</v>
      </c>
      <c r="M675" s="49">
        <f t="shared" si="135"/>
        <v>3.819047746927945E-7</v>
      </c>
      <c r="N675" s="49">
        <f t="shared" si="135"/>
        <v>1.429039540856088E-6</v>
      </c>
      <c r="O675" s="49">
        <f t="shared" si="135"/>
        <v>4.8890713050365553E-6</v>
      </c>
      <c r="P675" s="49">
        <f t="shared" si="135"/>
        <v>1.5384685244453709E-5</v>
      </c>
      <c r="Q675" s="49">
        <f t="shared" si="135"/>
        <v>4.4757795991867172E-5</v>
      </c>
      <c r="R675" s="49">
        <f t="shared" si="135"/>
        <v>1.209274787255324E-4</v>
      </c>
      <c r="S675" s="49">
        <f t="shared" si="135"/>
        <v>3.0464227272167227E-4</v>
      </c>
      <c r="T675" s="49">
        <f t="shared" si="135"/>
        <v>7.1814625285294379E-4</v>
      </c>
      <c r="U675" s="49">
        <f t="shared" si="135"/>
        <v>1.5892467874825556E-3</v>
      </c>
      <c r="V675" s="49">
        <f t="shared" si="135"/>
        <v>3.3113135960154447E-3</v>
      </c>
      <c r="W675" s="47">
        <v>0.32800000000000001</v>
      </c>
    </row>
    <row r="676" spans="2:23" x14ac:dyDescent="0.25">
      <c r="B676" s="49">
        <f t="shared" si="134"/>
        <v>6.318819043652554E-18</v>
      </c>
      <c r="C676" s="49">
        <f t="shared" si="134"/>
        <v>3.1337783107326397E-16</v>
      </c>
      <c r="D676" s="49">
        <f t="shared" si="134"/>
        <v>7.6994123405106752E-15</v>
      </c>
      <c r="E676" s="49">
        <f t="shared" si="134"/>
        <v>1.2494561724812974E-13</v>
      </c>
      <c r="F676" s="49">
        <f t="shared" si="134"/>
        <v>1.5065749124318367E-12</v>
      </c>
      <c r="G676" s="49">
        <f t="shared" si="134"/>
        <v>1.4397144668814544E-11</v>
      </c>
      <c r="H676" s="49">
        <f t="shared" si="134"/>
        <v>1.1357670419279031E-10</v>
      </c>
      <c r="I676" s="49">
        <f t="shared" si="134"/>
        <v>7.6076112019802331E-10</v>
      </c>
      <c r="J676" s="49">
        <f t="shared" si="134"/>
        <v>4.4166705683254097E-9</v>
      </c>
      <c r="K676" s="49">
        <f t="shared" si="134"/>
        <v>2.2576573437739908E-8</v>
      </c>
      <c r="L676" s="49">
        <f t="shared" si="135"/>
        <v>1.0287851430060855E-7</v>
      </c>
      <c r="M676" s="49">
        <f t="shared" si="135"/>
        <v>4.2213913250848687E-7</v>
      </c>
      <c r="N676" s="49">
        <f t="shared" si="135"/>
        <v>1.5727327222321714E-6</v>
      </c>
      <c r="O676" s="49">
        <f t="shared" si="135"/>
        <v>5.3573979025341737E-6</v>
      </c>
      <c r="P676" s="49">
        <f t="shared" si="135"/>
        <v>1.6785739985322956E-5</v>
      </c>
      <c r="Q676" s="49">
        <f t="shared" si="135"/>
        <v>4.8624293534483592E-5</v>
      </c>
      <c r="R676" s="49">
        <f t="shared" si="135"/>
        <v>1.3081326261705557E-4</v>
      </c>
      <c r="S676" s="49">
        <f t="shared" si="135"/>
        <v>3.2814798719198185E-4</v>
      </c>
      <c r="T676" s="49">
        <f t="shared" si="135"/>
        <v>7.702953842730029E-4</v>
      </c>
      <c r="U676" s="49">
        <f t="shared" si="135"/>
        <v>1.6975172209850852E-3</v>
      </c>
      <c r="V676" s="49">
        <f t="shared" si="135"/>
        <v>3.522225138583765E-3</v>
      </c>
      <c r="W676" s="47">
        <v>0.32700000000000001</v>
      </c>
    </row>
    <row r="677" spans="2:23" x14ac:dyDescent="0.25">
      <c r="B677" s="49">
        <f t="shared" si="134"/>
        <v>7.3303227909703889E-18</v>
      </c>
      <c r="C677" s="49">
        <f t="shared" si="134"/>
        <v>3.6192643134377845E-16</v>
      </c>
      <c r="D677" s="49">
        <f t="shared" si="134"/>
        <v>8.8527219678364358E-15</v>
      </c>
      <c r="E677" s="49">
        <f t="shared" si="134"/>
        <v>1.4302437656534771E-13</v>
      </c>
      <c r="F677" s="49">
        <f t="shared" si="134"/>
        <v>1.7169291149083026E-12</v>
      </c>
      <c r="G677" s="49">
        <f t="shared" si="134"/>
        <v>1.6334794183133909E-11</v>
      </c>
      <c r="H677" s="49">
        <f t="shared" si="134"/>
        <v>1.2829377431304342E-10</v>
      </c>
      <c r="I677" s="49">
        <f t="shared" si="134"/>
        <v>8.5555382199345034E-10</v>
      </c>
      <c r="J677" s="49">
        <f t="shared" si="134"/>
        <v>4.9451650760552615E-9</v>
      </c>
      <c r="K677" s="49">
        <f t="shared" si="134"/>
        <v>2.5167208264547332E-8</v>
      </c>
      <c r="L677" s="49">
        <f t="shared" si="135"/>
        <v>1.141820588317974E-7</v>
      </c>
      <c r="M677" s="49">
        <f t="shared" si="135"/>
        <v>4.6647722590027339E-7</v>
      </c>
      <c r="N677" s="49">
        <f t="shared" si="135"/>
        <v>1.7303640685815024E-6</v>
      </c>
      <c r="O677" s="49">
        <f t="shared" si="135"/>
        <v>5.8688226419234699E-6</v>
      </c>
      <c r="P677" s="49">
        <f t="shared" si="135"/>
        <v>1.8308791166193074E-5</v>
      </c>
      <c r="Q677" s="49">
        <f t="shared" si="135"/>
        <v>5.2808408570231304E-5</v>
      </c>
      <c r="R677" s="49">
        <f t="shared" si="135"/>
        <v>1.4146262176952462E-4</v>
      </c>
      <c r="S677" s="49">
        <f t="shared" si="135"/>
        <v>3.5335447296802537E-4</v>
      </c>
      <c r="T677" s="49">
        <f t="shared" si="135"/>
        <v>8.2596425455873856E-4</v>
      </c>
      <c r="U677" s="49">
        <f t="shared" si="135"/>
        <v>1.8125712118345805E-3</v>
      </c>
      <c r="V677" s="49">
        <f t="shared" si="135"/>
        <v>3.7453349365158075E-3</v>
      </c>
      <c r="W677" s="47">
        <v>0.32600000000000001</v>
      </c>
    </row>
    <row r="678" spans="2:23" x14ac:dyDescent="0.25">
      <c r="B678" s="49">
        <f t="shared" si="134"/>
        <v>8.5018740493762783E-18</v>
      </c>
      <c r="C678" s="49">
        <f t="shared" si="134"/>
        <v>4.1790140303585368E-16</v>
      </c>
      <c r="D678" s="49">
        <f t="shared" si="134"/>
        <v>1.0176412484385571E-14</v>
      </c>
      <c r="E678" s="49">
        <f t="shared" si="134"/>
        <v>1.6367972537535896E-13</v>
      </c>
      <c r="F678" s="49">
        <f t="shared" si="134"/>
        <v>1.9561716926954034E-12</v>
      </c>
      <c r="G678" s="49">
        <f t="shared" si="134"/>
        <v>1.8528537819474897E-11</v>
      </c>
      <c r="H678" s="49">
        <f t="shared" si="134"/>
        <v>1.4488029821373988E-10</v>
      </c>
      <c r="I678" s="49">
        <f t="shared" si="134"/>
        <v>9.6190254779846122E-10</v>
      </c>
      <c r="J678" s="49">
        <f t="shared" si="134"/>
        <v>5.5353950171520141E-9</v>
      </c>
      <c r="K678" s="49">
        <f t="shared" si="134"/>
        <v>2.8047326564735621E-8</v>
      </c>
      <c r="L678" s="49">
        <f t="shared" si="135"/>
        <v>1.2669162202371339E-7</v>
      </c>
      <c r="M678" s="49">
        <f t="shared" si="135"/>
        <v>5.1532309912363823E-7</v>
      </c>
      <c r="N678" s="49">
        <f t="shared" si="135"/>
        <v>1.9032329481691948E-6</v>
      </c>
      <c r="O678" s="49">
        <f t="shared" si="135"/>
        <v>6.4271376891668135E-6</v>
      </c>
      <c r="P678" s="49">
        <f t="shared" si="135"/>
        <v>1.9963933952701812E-5</v>
      </c>
      <c r="Q678" s="49">
        <f t="shared" si="135"/>
        <v>5.7334756683174944E-5</v>
      </c>
      <c r="R678" s="49">
        <f t="shared" si="135"/>
        <v>1.5293071398894941E-4</v>
      </c>
      <c r="S678" s="49">
        <f t="shared" si="135"/>
        <v>3.8037559453339107E-4</v>
      </c>
      <c r="T678" s="49">
        <f t="shared" si="135"/>
        <v>8.853697803986397E-4</v>
      </c>
      <c r="U678" s="49">
        <f t="shared" si="135"/>
        <v>1.9347904269826481E-3</v>
      </c>
      <c r="V678" s="49">
        <f t="shared" si="135"/>
        <v>3.9812631136191953E-3</v>
      </c>
      <c r="W678" s="47">
        <v>0.32500000000000001</v>
      </c>
    </row>
    <row r="679" spans="2:23" x14ac:dyDescent="0.25">
      <c r="B679" s="49">
        <f t="shared" si="134"/>
        <v>9.8585014418688619E-18</v>
      </c>
      <c r="C679" s="49">
        <f t="shared" si="134"/>
        <v>4.8242423130765241E-16</v>
      </c>
      <c r="D679" s="49">
        <f t="shared" si="134"/>
        <v>1.1695302042854597E-14</v>
      </c>
      <c r="E679" s="49">
        <f t="shared" si="134"/>
        <v>1.8727323226159296E-13</v>
      </c>
      <c r="F679" s="49">
        <f t="shared" si="134"/>
        <v>2.2282028590171534E-12</v>
      </c>
      <c r="G679" s="49">
        <f t="shared" si="134"/>
        <v>2.1011592535014422E-11</v>
      </c>
      <c r="H679" s="49">
        <f t="shared" si="134"/>
        <v>1.6356886597041003E-10</v>
      </c>
      <c r="I679" s="49">
        <f t="shared" si="134"/>
        <v>1.0811840654792124E-9</v>
      </c>
      <c r="J679" s="49">
        <f t="shared" si="134"/>
        <v>6.1943903312329861E-9</v>
      </c>
      <c r="K679" s="49">
        <f t="shared" si="134"/>
        <v>3.1248370543468729E-8</v>
      </c>
      <c r="L679" s="49">
        <f t="shared" si="135"/>
        <v>1.4053186401331474E-7</v>
      </c>
      <c r="M679" s="49">
        <f t="shared" si="135"/>
        <v>5.6911905641223777E-7</v>
      </c>
      <c r="N679" s="49">
        <f t="shared" si="135"/>
        <v>2.0927545869305465E-6</v>
      </c>
      <c r="O679" s="49">
        <f t="shared" si="135"/>
        <v>7.0364522293860595E-6</v>
      </c>
      <c r="P679" s="49">
        <f t="shared" si="135"/>
        <v>2.176205074949979E-5</v>
      </c>
      <c r="Q679" s="49">
        <f t="shared" si="135"/>
        <v>6.2229733135410023E-5</v>
      </c>
      <c r="R679" s="49">
        <f t="shared" si="135"/>
        <v>1.6527636666212997E-4</v>
      </c>
      <c r="S679" s="49">
        <f t="shared" si="135"/>
        <v>4.0933212151118815E-4</v>
      </c>
      <c r="T679" s="49">
        <f t="shared" si="135"/>
        <v>9.4874072301422553E-4</v>
      </c>
      <c r="U679" s="49">
        <f t="shared" si="135"/>
        <v>2.0645749887880419E-3</v>
      </c>
      <c r="V679" s="49">
        <f t="shared" si="135"/>
        <v>4.2306557226021793E-3</v>
      </c>
      <c r="W679" s="47">
        <v>0.32400000000000001</v>
      </c>
    </row>
    <row r="680" spans="2:23" x14ac:dyDescent="0.25">
      <c r="B680" s="49">
        <f t="shared" si="134"/>
        <v>1.1429101600051348E-17</v>
      </c>
      <c r="C680" s="49">
        <f t="shared" si="134"/>
        <v>5.5678356751600401E-16</v>
      </c>
      <c r="D680" s="49">
        <f t="shared" si="134"/>
        <v>1.3437772237875845E-14</v>
      </c>
      <c r="E680" s="49">
        <f t="shared" si="134"/>
        <v>2.1421640359920324E-13</v>
      </c>
      <c r="F680" s="49">
        <f t="shared" si="134"/>
        <v>2.5374402004893931E-12</v>
      </c>
      <c r="G680" s="49">
        <f t="shared" si="134"/>
        <v>2.382140030779574E-11</v>
      </c>
      <c r="H680" s="49">
        <f t="shared" si="134"/>
        <v>1.8462038270896588E-10</v>
      </c>
      <c r="I680" s="49">
        <f t="shared" si="134"/>
        <v>1.2149352326664843E-9</v>
      </c>
      <c r="J680" s="49">
        <f t="shared" si="134"/>
        <v>6.9299599828969195E-9</v>
      </c>
      <c r="K680" s="49">
        <f t="shared" si="134"/>
        <v>3.4805094570460209E-8</v>
      </c>
      <c r="L680" s="49">
        <f t="shared" si="135"/>
        <v>1.5583989253964239E-7</v>
      </c>
      <c r="M680" s="49">
        <f t="shared" si="135"/>
        <v>6.2834912976961964E-7</v>
      </c>
      <c r="N680" s="49">
        <f t="shared" si="135"/>
        <v>2.3004698855708847E-6</v>
      </c>
      <c r="O680" s="49">
        <f t="shared" si="135"/>
        <v>7.7012174257579819E-6</v>
      </c>
      <c r="P680" s="49">
        <f t="shared" si="135"/>
        <v>2.3714868349159803E-5</v>
      </c>
      <c r="Q680" s="49">
        <f t="shared" si="135"/>
        <v>6.7521630831249779E-5</v>
      </c>
      <c r="R680" s="49">
        <f t="shared" si="135"/>
        <v>1.7856229597209297E-4</v>
      </c>
      <c r="S680" s="49">
        <f t="shared" si="135"/>
        <v>4.4035209371532936E-4</v>
      </c>
      <c r="T680" s="49">
        <f t="shared" si="135"/>
        <v>1.0163182273828313E-3</v>
      </c>
      <c r="U680" s="49">
        <f t="shared" si="135"/>
        <v>2.2023441666069992E-3</v>
      </c>
      <c r="V680" s="49">
        <f t="shared" si="135"/>
        <v>4.4941854781336311E-3</v>
      </c>
      <c r="W680" s="47">
        <v>0.32300000000000001</v>
      </c>
    </row>
    <row r="681" spans="2:23" x14ac:dyDescent="0.25">
      <c r="B681" s="49">
        <f t="shared" si="134"/>
        <v>1.3247029848186549E-17</v>
      </c>
      <c r="C681" s="49">
        <f t="shared" si="134"/>
        <v>6.4245981917964661E-16</v>
      </c>
      <c r="D681" s="49">
        <f t="shared" si="134"/>
        <v>1.5436272290386856E-14</v>
      </c>
      <c r="E681" s="49">
        <f t="shared" si="134"/>
        <v>2.449774688286711E-13</v>
      </c>
      <c r="F681" s="49">
        <f t="shared" si="134"/>
        <v>2.8888860675337619E-12</v>
      </c>
      <c r="G681" s="49">
        <f t="shared" si="134"/>
        <v>2.7000154679995366E-11</v>
      </c>
      <c r="H681" s="49">
        <f t="shared" si="134"/>
        <v>2.0832743753012145E-10</v>
      </c>
      <c r="I681" s="49">
        <f t="shared" si="134"/>
        <v>1.3648711371596725E-9</v>
      </c>
      <c r="J681" s="49">
        <f t="shared" si="134"/>
        <v>7.7507758002021537E-9</v>
      </c>
      <c r="K681" s="49">
        <f t="shared" si="134"/>
        <v>3.8755902651865877E-8</v>
      </c>
      <c r="L681" s="49">
        <f t="shared" si="135"/>
        <v>1.7276645927809809E-7</v>
      </c>
      <c r="M681" s="49">
        <f t="shared" si="135"/>
        <v>6.9354284568812406E-7</v>
      </c>
      <c r="N681" s="49">
        <f t="shared" si="135"/>
        <v>2.5280560200485537E-6</v>
      </c>
      <c r="O681" s="49">
        <f t="shared" si="135"/>
        <v>8.4262532049737967E-6</v>
      </c>
      <c r="P681" s="49">
        <f t="shared" si="135"/>
        <v>2.5835018868957248E-5</v>
      </c>
      <c r="Q681" s="49">
        <f t="shared" si="135"/>
        <v>7.3240765238443775E-5</v>
      </c>
      <c r="R681" s="49">
        <f t="shared" si="135"/>
        <v>1.9285533731145489E-4</v>
      </c>
      <c r="S681" s="49">
        <f t="shared" si="135"/>
        <v>4.7357120163390298E-4</v>
      </c>
      <c r="T681" s="49">
        <f t="shared" si="135"/>
        <v>1.0883563786725056E-3</v>
      </c>
      <c r="U681" s="49">
        <f t="shared" si="135"/>
        <v>2.3485370812427807E-3</v>
      </c>
      <c r="V681" s="49">
        <f t="shared" si="135"/>
        <v>4.772552488560693E-3</v>
      </c>
      <c r="W681" s="47">
        <v>0.32200000000000001</v>
      </c>
    </row>
    <row r="682" spans="2:23" x14ac:dyDescent="0.25">
      <c r="B682" s="49">
        <f t="shared" si="134"/>
        <v>1.5350780011185355E-17</v>
      </c>
      <c r="C682" s="49">
        <f t="shared" si="134"/>
        <v>7.4115330882957597E-16</v>
      </c>
      <c r="D682" s="49">
        <f t="shared" si="134"/>
        <v>1.7727893504344725E-14</v>
      </c>
      <c r="E682" s="49">
        <f t="shared" si="134"/>
        <v>2.8008907227482277E-13</v>
      </c>
      <c r="F682" s="49">
        <f t="shared" si="134"/>
        <v>3.2882035779568816E-12</v>
      </c>
      <c r="G682" s="49">
        <f t="shared" si="134"/>
        <v>3.0595391532504051E-11</v>
      </c>
      <c r="H682" s="49">
        <f t="shared" si="134"/>
        <v>2.3501806365684867E-10</v>
      </c>
      <c r="I682" s="49">
        <f t="shared" si="134"/>
        <v>1.5329052367718221E-9</v>
      </c>
      <c r="J682" s="49">
        <f t="shared" si="134"/>
        <v>8.6664650536406335E-9</v>
      </c>
      <c r="K682" s="49">
        <f t="shared" si="134"/>
        <v>4.3143219045842599E-8</v>
      </c>
      <c r="L682" s="49">
        <f t="shared" si="135"/>
        <v>1.9147726632376167E-7</v>
      </c>
      <c r="M682" s="49">
        <f t="shared" si="135"/>
        <v>7.6527931508018896E-7</v>
      </c>
      <c r="N682" s="49">
        <f t="shared" si="135"/>
        <v>2.7773378835171475E-6</v>
      </c>
      <c r="O682" s="49">
        <f t="shared" si="135"/>
        <v>9.2167769909178264E-6</v>
      </c>
      <c r="P682" s="49">
        <f t="shared" si="135"/>
        <v>2.8136104696909064E-5</v>
      </c>
      <c r="Q682" s="49">
        <f t="shared" si="135"/>
        <v>7.9419606609549382E-5</v>
      </c>
      <c r="R682" s="49">
        <f t="shared" si="135"/>
        <v>2.082266873253113E-4</v>
      </c>
      <c r="S682" s="49">
        <f t="shared" si="135"/>
        <v>5.0913318272311576E-4</v>
      </c>
      <c r="T682" s="49">
        <f t="shared" si="135"/>
        <v>1.1651227759317401E-3</v>
      </c>
      <c r="U682" s="49">
        <f t="shared" si="135"/>
        <v>2.5036134215786704E-3</v>
      </c>
      <c r="V682" s="49">
        <f t="shared" si="135"/>
        <v>5.0664849845607259E-3</v>
      </c>
      <c r="W682" s="47">
        <v>0.32100000000000001</v>
      </c>
    </row>
    <row r="683" spans="2:23" x14ac:dyDescent="0.25">
      <c r="B683" s="49">
        <f t="shared" ref="B683:K692" si="136">_xlfn.HYPGEOM.DIST(B$2,comau,tongtheN*$W683,tongtheN,TRUE)</f>
        <v>1.7784766631405482E-17</v>
      </c>
      <c r="C683" s="49">
        <f t="shared" si="136"/>
        <v>8.5481651269614404E-16</v>
      </c>
      <c r="D683" s="49">
        <f t="shared" si="136"/>
        <v>2.0355023640668863E-14</v>
      </c>
      <c r="E683" s="49">
        <f t="shared" si="136"/>
        <v>3.2015699054085164E-13</v>
      </c>
      <c r="F683" s="49">
        <f t="shared" si="136"/>
        <v>3.7418023130069949E-12</v>
      </c>
      <c r="G683" s="49">
        <f t="shared" si="136"/>
        <v>3.4660651751504147E-11</v>
      </c>
      <c r="H683" s="49">
        <f t="shared" si="136"/>
        <v>2.65059934075469E-10</v>
      </c>
      <c r="I683" s="49">
        <f t="shared" si="136"/>
        <v>1.7211717124960491E-9</v>
      </c>
      <c r="J683" s="49">
        <f t="shared" si="136"/>
        <v>9.6877126555601384E-9</v>
      </c>
      <c r="K683" s="49">
        <f t="shared" si="136"/>
        <v>4.8013895145469457E-8</v>
      </c>
      <c r="L683" s="49">
        <f t="shared" ref="L683:V692" si="137">_xlfn.HYPGEOM.DIST(L$2,comau,tongtheN*$W683,tongtheN,TRUE)</f>
        <v>2.1215439247776258E-7</v>
      </c>
      <c r="M683" s="49">
        <f t="shared" si="137"/>
        <v>8.4419167254167606E-7</v>
      </c>
      <c r="N683" s="49">
        <f t="shared" si="137"/>
        <v>3.0503004317141227E-6</v>
      </c>
      <c r="O683" s="49">
        <f t="shared" si="137"/>
        <v>1.0078434515307155E-5</v>
      </c>
      <c r="P683" s="49">
        <f t="shared" si="137"/>
        <v>3.0632767679011378E-5</v>
      </c>
      <c r="Q683" s="49">
        <f t="shared" si="137"/>
        <v>8.6092919858347548E-5</v>
      </c>
      <c r="R683" s="49">
        <f t="shared" si="137"/>
        <v>2.247521580213041E-4</v>
      </c>
      <c r="S683" s="49">
        <f t="shared" si="137"/>
        <v>5.4719023387866299E-4</v>
      </c>
      <c r="T683" s="49">
        <f t="shared" si="137"/>
        <v>1.2468991230345154E-3</v>
      </c>
      <c r="U683" s="49">
        <f t="shared" si="137"/>
        <v>2.668054172637207E-3</v>
      </c>
      <c r="V683" s="49">
        <f t="shared" si="137"/>
        <v>5.3767400428954655E-3</v>
      </c>
      <c r="W683" s="47">
        <v>0.32</v>
      </c>
    </row>
    <row r="684" spans="2:23" x14ac:dyDescent="0.25">
      <c r="B684" s="49">
        <f t="shared" si="136"/>
        <v>2.0600224835266914E-17</v>
      </c>
      <c r="C684" s="49">
        <f t="shared" si="136"/>
        <v>9.8569096232552021E-16</v>
      </c>
      <c r="D684" s="49">
        <f t="shared" si="136"/>
        <v>2.3366092156321361E-14</v>
      </c>
      <c r="E684" s="49">
        <f t="shared" si="136"/>
        <v>3.658700098563774E-13</v>
      </c>
      <c r="F684" s="49">
        <f t="shared" si="136"/>
        <v>4.2569349176989926E-12</v>
      </c>
      <c r="G684" s="49">
        <f t="shared" si="136"/>
        <v>3.925622433984183E-11</v>
      </c>
      <c r="H684" s="49">
        <f t="shared" si="136"/>
        <v>2.988650418133759E-10</v>
      </c>
      <c r="I684" s="49">
        <f t="shared" si="136"/>
        <v>1.9320502710149998E-9</v>
      </c>
      <c r="J684" s="49">
        <f t="shared" si="136"/>
        <v>1.0826373945193362E-8</v>
      </c>
      <c r="K684" s="49">
        <f t="shared" si="136"/>
        <v>5.3419656033564025E-8</v>
      </c>
      <c r="L684" s="49">
        <f t="shared" si="137"/>
        <v>2.3499784978886855E-7</v>
      </c>
      <c r="M684" s="49">
        <f t="shared" si="137"/>
        <v>9.3097189302650098E-7</v>
      </c>
      <c r="N684" s="49">
        <f t="shared" si="137"/>
        <v>3.3491019979246887E-6</v>
      </c>
      <c r="O684" s="49">
        <f t="shared" si="137"/>
        <v>1.1017332841455709E-5</v>
      </c>
      <c r="P684" s="49">
        <f t="shared" si="137"/>
        <v>3.3340762790514708E-5</v>
      </c>
      <c r="Q684" s="49">
        <f t="shared" si="137"/>
        <v>9.3297912457927248E-5</v>
      </c>
      <c r="R684" s="49">
        <f t="shared" si="137"/>
        <v>2.4251244338992245E-4</v>
      </c>
      <c r="S684" s="49">
        <f t="shared" si="137"/>
        <v>5.8790344043807834E-4</v>
      </c>
      <c r="T684" s="49">
        <f t="shared" si="137"/>
        <v>1.3339818368342364E-3</v>
      </c>
      <c r="U684" s="49">
        <f t="shared" si="137"/>
        <v>2.842362354224828E-3</v>
      </c>
      <c r="V684" s="49">
        <f t="shared" si="137"/>
        <v>5.7041043033271895E-3</v>
      </c>
      <c r="W684" s="47">
        <v>0.31900000000000001</v>
      </c>
    </row>
    <row r="685" spans="2:23" x14ac:dyDescent="0.25">
      <c r="B685" s="49">
        <f t="shared" si="136"/>
        <v>2.3856245331309996E-17</v>
      </c>
      <c r="C685" s="49">
        <f t="shared" si="136"/>
        <v>1.1363494744032515E-15</v>
      </c>
      <c r="D685" s="49">
        <f t="shared" si="136"/>
        <v>2.6816418732660833E-14</v>
      </c>
      <c r="E685" s="49">
        <f t="shared" si="136"/>
        <v>4.1801111505078821E-13</v>
      </c>
      <c r="F685" s="49">
        <f t="shared" si="136"/>
        <v>4.8418059655886807E-12</v>
      </c>
      <c r="G685" s="49">
        <f t="shared" si="136"/>
        <v>4.4449979519322102E-11</v>
      </c>
      <c r="H685" s="49">
        <f t="shared" si="136"/>
        <v>3.3689491938850028E-10</v>
      </c>
      <c r="I685" s="49">
        <f t="shared" si="136"/>
        <v>2.1681936569278532E-9</v>
      </c>
      <c r="J685" s="49">
        <f t="shared" si="136"/>
        <v>1.2095599117541039E-8</v>
      </c>
      <c r="K685" s="49">
        <f t="shared" si="136"/>
        <v>5.9417590418629647E-8</v>
      </c>
      <c r="L685" s="49">
        <f t="shared" si="137"/>
        <v>2.6022728166207074E-7</v>
      </c>
      <c r="M685" s="49">
        <f t="shared" si="137"/>
        <v>1.026376016105502E-6</v>
      </c>
      <c r="N685" s="49">
        <f t="shared" si="137"/>
        <v>3.6760886480285973E-6</v>
      </c>
      <c r="O685" s="49">
        <f t="shared" si="137"/>
        <v>1.2040075745080155E-5</v>
      </c>
      <c r="P685" s="49">
        <f t="shared" si="137"/>
        <v>3.6277036545232496E-5</v>
      </c>
      <c r="Q685" s="49">
        <f t="shared" si="137"/>
        <v>1.0107439073885257E-4</v>
      </c>
      <c r="R685" s="49">
        <f t="shared" si="137"/>
        <v>2.6159339898243418E-4</v>
      </c>
      <c r="S685" s="49">
        <f t="shared" si="137"/>
        <v>6.3144322205156993E-4</v>
      </c>
      <c r="T685" s="49">
        <f t="shared" si="137"/>
        <v>1.4266826724312132E-3</v>
      </c>
      <c r="U685" s="49">
        <f t="shared" si="137"/>
        <v>3.0270637692310356E-3</v>
      </c>
      <c r="V685" s="49">
        <f t="shared" si="137"/>
        <v>6.04939467664725E-3</v>
      </c>
      <c r="W685" s="47">
        <v>0.318</v>
      </c>
    </row>
    <row r="686" spans="2:23" x14ac:dyDescent="0.25">
      <c r="B686" s="49">
        <f t="shared" si="136"/>
        <v>2.7620964587269717E-17</v>
      </c>
      <c r="C686" s="49">
        <f t="shared" si="136"/>
        <v>1.3097444676699445E-15</v>
      </c>
      <c r="D686" s="49">
        <f t="shared" si="136"/>
        <v>3.0769179189284493E-14</v>
      </c>
      <c r="E686" s="49">
        <f t="shared" si="136"/>
        <v>4.7747016129868765E-13</v>
      </c>
      <c r="F686" s="49">
        <f t="shared" si="136"/>
        <v>5.5056946143436898E-12</v>
      </c>
      <c r="G686" s="49">
        <f t="shared" si="136"/>
        <v>5.0318302475891149E-11</v>
      </c>
      <c r="H686" s="49">
        <f t="shared" si="136"/>
        <v>3.7966645793212022E-10</v>
      </c>
      <c r="I686" s="49">
        <f t="shared" si="136"/>
        <v>2.4325581618436543E-9</v>
      </c>
      <c r="J686" s="49">
        <f t="shared" si="136"/>
        <v>1.3509970456037143E-8</v>
      </c>
      <c r="K686" s="49">
        <f t="shared" si="136"/>
        <v>6.6070687991643639E-8</v>
      </c>
      <c r="L686" s="49">
        <f t="shared" si="137"/>
        <v>2.8808381477129247E-7</v>
      </c>
      <c r="M686" s="49">
        <f t="shared" si="137"/>
        <v>1.1312298102173493E-6</v>
      </c>
      <c r="N686" s="49">
        <f t="shared" si="137"/>
        <v>4.033809650770237E-6</v>
      </c>
      <c r="O686" s="49">
        <f t="shared" si="137"/>
        <v>1.315380160416808E-5</v>
      </c>
      <c r="P686" s="49">
        <f t="shared" si="137"/>
        <v>3.9459810408376917E-5</v>
      </c>
      <c r="Q686" s="49">
        <f t="shared" si="137"/>
        <v>1.0946492497734425E-4</v>
      </c>
      <c r="R686" s="49">
        <f t="shared" si="137"/>
        <v>2.8208633489733721E-4</v>
      </c>
      <c r="S686" s="49">
        <f t="shared" si="137"/>
        <v>6.779897957410664E-4</v>
      </c>
      <c r="T686" s="49">
        <f t="shared" si="137"/>
        <v>1.5253293654046395E-3</v>
      </c>
      <c r="U686" s="49">
        <f t="shared" si="137"/>
        <v>3.222707760561922E-3</v>
      </c>
      <c r="V686" s="49">
        <f t="shared" si="137"/>
        <v>6.4134590416529604E-3</v>
      </c>
      <c r="W686" s="47">
        <v>0.317</v>
      </c>
    </row>
    <row r="687" spans="2:23" x14ac:dyDescent="0.25">
      <c r="B687" s="49">
        <f t="shared" si="136"/>
        <v>3.1972933171730093E-17</v>
      </c>
      <c r="C687" s="49">
        <f t="shared" si="136"/>
        <v>1.5092632324061725E-15</v>
      </c>
      <c r="D687" s="49">
        <f t="shared" si="136"/>
        <v>3.5296504773038915E-14</v>
      </c>
      <c r="E687" s="49">
        <f t="shared" si="136"/>
        <v>5.4525822171450255E-13</v>
      </c>
      <c r="F687" s="49">
        <f t="shared" si="136"/>
        <v>6.2590927644875742E-12</v>
      </c>
      <c r="G687" s="49">
        <f t="shared" si="136"/>
        <v>5.6947139630294809E-11</v>
      </c>
      <c r="H687" s="49">
        <f t="shared" si="136"/>
        <v>4.2775839308597832E-10</v>
      </c>
      <c r="I687" s="49">
        <f t="shared" si="136"/>
        <v>2.7284374469174537E-9</v>
      </c>
      <c r="J687" s="49">
        <f t="shared" si="136"/>
        <v>1.5085653639938492E-8</v>
      </c>
      <c r="K687" s="49">
        <f t="shared" si="136"/>
        <v>7.3448428601736032E-8</v>
      </c>
      <c r="L687" s="49">
        <f t="shared" si="137"/>
        <v>3.1883207800883722E-7</v>
      </c>
      <c r="M687" s="49">
        <f t="shared" si="137"/>
        <v>1.2464349117027197E-6</v>
      </c>
      <c r="N687" s="49">
        <f t="shared" si="137"/>
        <v>4.4250341432839372E-6</v>
      </c>
      <c r="O687" s="49">
        <f t="shared" si="137"/>
        <v>1.436622395838588E-5</v>
      </c>
      <c r="P687" s="49">
        <f t="shared" si="137"/>
        <v>4.2908669490174151E-5</v>
      </c>
      <c r="Q687" s="49">
        <f t="shared" si="137"/>
        <v>1.1851502367498648E-4</v>
      </c>
      <c r="R687" s="49">
        <f t="shared" si="137"/>
        <v>3.0408832262852876E-4</v>
      </c>
      <c r="S687" s="49">
        <f t="shared" si="137"/>
        <v>7.2773365644629657E-4</v>
      </c>
      <c r="T687" s="49">
        <f t="shared" si="137"/>
        <v>1.6302662908036401E-3</v>
      </c>
      <c r="U687" s="49">
        <f t="shared" si="137"/>
        <v>3.429867975590372E-3</v>
      </c>
      <c r="V687" s="49">
        <f t="shared" si="137"/>
        <v>6.797176928800254E-3</v>
      </c>
      <c r="W687" s="47">
        <v>0.316</v>
      </c>
    </row>
    <row r="688" spans="2:23" x14ac:dyDescent="0.25">
      <c r="B688" s="49">
        <f t="shared" si="136"/>
        <v>3.7002688609129632E-17</v>
      </c>
      <c r="C688" s="49">
        <f t="shared" si="136"/>
        <v>1.7387911393168263E-15</v>
      </c>
      <c r="D688" s="49">
        <f t="shared" si="136"/>
        <v>4.0480732955571305E-14</v>
      </c>
      <c r="E688" s="49">
        <f t="shared" si="136"/>
        <v>6.2252382856041714E-13</v>
      </c>
      <c r="F688" s="49">
        <f t="shared" si="136"/>
        <v>7.1138606418946221E-12</v>
      </c>
      <c r="G688" s="49">
        <f t="shared" si="136"/>
        <v>6.4433170685984383E-11</v>
      </c>
      <c r="H688" s="49">
        <f t="shared" si="136"/>
        <v>4.8181853207179003E-10</v>
      </c>
      <c r="I688" s="49">
        <f t="shared" si="136"/>
        <v>3.0595000277391938E-9</v>
      </c>
      <c r="J688" s="49">
        <f t="shared" si="136"/>
        <v>1.6840564518539662E-8</v>
      </c>
      <c r="K688" s="49">
        <f t="shared" si="136"/>
        <v>8.1627428037035084E-8</v>
      </c>
      <c r="L688" s="49">
        <f t="shared" si="137"/>
        <v>3.5276240277490324E-7</v>
      </c>
      <c r="M688" s="49">
        <f t="shared" si="137"/>
        <v>1.3729754759560153E-6</v>
      </c>
      <c r="N688" s="49">
        <f t="shared" si="137"/>
        <v>4.8527690770715284E-6</v>
      </c>
      <c r="O688" s="49">
        <f t="shared" si="137"/>
        <v>1.5685674907312552E-5</v>
      </c>
      <c r="P688" s="49">
        <f t="shared" si="137"/>
        <v>4.6644656809557042E-5</v>
      </c>
      <c r="Q688" s="49">
        <f t="shared" si="137"/>
        <v>1.2827331744266635E-4</v>
      </c>
      <c r="R688" s="49">
        <f t="shared" si="137"/>
        <v>3.2770251622937096E-4</v>
      </c>
      <c r="S688" s="49">
        <f t="shared" si="137"/>
        <v>7.8087607533371204E-4</v>
      </c>
      <c r="T688" s="49">
        <f t="shared" si="137"/>
        <v>1.7418551386309019E-3</v>
      </c>
      <c r="U688" s="49">
        <f t="shared" si="137"/>
        <v>3.649143136907969E-3</v>
      </c>
      <c r="V688" s="49">
        <f t="shared" si="137"/>
        <v>7.201460188142877E-3</v>
      </c>
      <c r="W688" s="47">
        <v>0.315</v>
      </c>
    </row>
    <row r="689" spans="2:23" x14ac:dyDescent="0.25">
      <c r="B689" s="49">
        <f t="shared" si="136"/>
        <v>4.2814562946210615E-17</v>
      </c>
      <c r="C689" s="49">
        <f t="shared" si="136"/>
        <v>2.002783912774725E-15</v>
      </c>
      <c r="D689" s="49">
        <f t="shared" si="136"/>
        <v>4.6415830299224318E-14</v>
      </c>
      <c r="E689" s="49">
        <f t="shared" si="136"/>
        <v>7.1057135361666865E-13</v>
      </c>
      <c r="F689" s="49">
        <f t="shared" si="136"/>
        <v>8.0834019575823773E-12</v>
      </c>
      <c r="G689" s="49">
        <f t="shared" si="136"/>
        <v>7.2885121228920878E-11</v>
      </c>
      <c r="H689" s="49">
        <f t="shared" si="136"/>
        <v>5.4257180439815496E-10</v>
      </c>
      <c r="I689" s="49">
        <f t="shared" si="136"/>
        <v>3.4298308059997095E-9</v>
      </c>
      <c r="J689" s="49">
        <f t="shared" si="136"/>
        <v>1.8794552876510236E-8</v>
      </c>
      <c r="K689" s="49">
        <f t="shared" si="136"/>
        <v>9.069214561764352E-8</v>
      </c>
      <c r="L689" s="49">
        <f t="shared" si="137"/>
        <v>3.9019322006136543E-7</v>
      </c>
      <c r="M689" s="49">
        <f t="shared" si="137"/>
        <v>1.5119253807374087E-6</v>
      </c>
      <c r="N689" s="49">
        <f t="shared" si="137"/>
        <v>5.3202785350791326E-6</v>
      </c>
      <c r="O689" s="49">
        <f t="shared" si="137"/>
        <v>1.7121151525972597E-5</v>
      </c>
      <c r="P689" s="49">
        <f t="shared" si="137"/>
        <v>5.0690373429527722E-5</v>
      </c>
      <c r="Q689" s="49">
        <f t="shared" si="137"/>
        <v>1.3879175291251937E-4</v>
      </c>
      <c r="R689" s="49">
        <f t="shared" si="137"/>
        <v>3.5303848824679148E-4</v>
      </c>
      <c r="S689" s="49">
        <f t="shared" si="137"/>
        <v>8.3762961611802183E-4</v>
      </c>
      <c r="T689" s="49">
        <f t="shared" si="137"/>
        <v>1.8604756054884149E-3</v>
      </c>
      <c r="U689" s="49">
        <f t="shared" si="137"/>
        <v>3.8811578180616949E-3</v>
      </c>
      <c r="V689" s="49">
        <f t="shared" si="137"/>
        <v>7.6272536390587248E-3</v>
      </c>
      <c r="W689" s="47">
        <v>0.314</v>
      </c>
    </row>
    <row r="690" spans="2:23" x14ac:dyDescent="0.25">
      <c r="B690" s="49">
        <f t="shared" si="136"/>
        <v>4.9528759632713902E-17</v>
      </c>
      <c r="C690" s="49">
        <f t="shared" si="136"/>
        <v>2.3063502505744265E-15</v>
      </c>
      <c r="D690" s="49">
        <f t="shared" si="136"/>
        <v>5.3209010696895239E-14</v>
      </c>
      <c r="E690" s="49">
        <f t="shared" si="136"/>
        <v>8.1088180452598103E-13</v>
      </c>
      <c r="F690" s="49">
        <f t="shared" si="136"/>
        <v>9.1828610589486706E-12</v>
      </c>
      <c r="G690" s="49">
        <f t="shared" si="136"/>
        <v>8.2425232347303911E-11</v>
      </c>
      <c r="H690" s="49">
        <f t="shared" si="136"/>
        <v>6.1082922758384641E-10</v>
      </c>
      <c r="I690" s="49">
        <f t="shared" si="136"/>
        <v>3.8439770713511377E-9</v>
      </c>
      <c r="J690" s="49">
        <f t="shared" si="136"/>
        <v>2.0969604858813575E-8</v>
      </c>
      <c r="K690" s="49">
        <f t="shared" si="136"/>
        <v>1.0073565926307134E-7</v>
      </c>
      <c r="L690" s="49">
        <f t="shared" si="137"/>
        <v>4.3147367102044363E-7</v>
      </c>
      <c r="M690" s="49">
        <f t="shared" si="137"/>
        <v>1.664456024573417E-6</v>
      </c>
      <c r="N690" s="49">
        <f t="shared" si="137"/>
        <v>5.8311045162636659E-6</v>
      </c>
      <c r="O690" s="49">
        <f t="shared" si="137"/>
        <v>1.868236548568548E-5</v>
      </c>
      <c r="P690" s="49">
        <f t="shared" si="137"/>
        <v>5.5070084778320092E-5</v>
      </c>
      <c r="Q690" s="49">
        <f t="shared" si="137"/>
        <v>1.5012579711231228E-4</v>
      </c>
      <c r="R690" s="49">
        <f t="shared" si="137"/>
        <v>3.802125808777168E-4</v>
      </c>
      <c r="S690" s="49">
        <f t="shared" si="137"/>
        <v>8.982186696171793E-4</v>
      </c>
      <c r="T690" s="49">
        <f t="shared" si="137"/>
        <v>1.9865261019864459E-3</v>
      </c>
      <c r="U690" s="49">
        <f t="shared" si="137"/>
        <v>4.1265632228517715E-3</v>
      </c>
      <c r="V690" s="49">
        <f t="shared" si="137"/>
        <v>8.0755356991492749E-3</v>
      </c>
      <c r="W690" s="47">
        <v>0.313</v>
      </c>
    </row>
    <row r="691" spans="2:23" x14ac:dyDescent="0.25">
      <c r="B691" s="49">
        <f t="shared" si="136"/>
        <v>5.7283739358456757E-17</v>
      </c>
      <c r="C691" s="49">
        <f t="shared" si="136"/>
        <v>2.655346251191445E-15</v>
      </c>
      <c r="D691" s="49">
        <f t="shared" si="136"/>
        <v>6.0982575398066628E-14</v>
      </c>
      <c r="E691" s="49">
        <f t="shared" si="136"/>
        <v>9.2513634909197152E-13</v>
      </c>
      <c r="F691" s="49">
        <f t="shared" si="136"/>
        <v>1.0429344778045182E-11</v>
      </c>
      <c r="G691" s="49">
        <f t="shared" si="136"/>
        <v>9.3190905621596467E-11</v>
      </c>
      <c r="H691" s="49">
        <f t="shared" si="136"/>
        <v>6.8749788912464456E-10</v>
      </c>
      <c r="I691" s="49">
        <f t="shared" si="136"/>
        <v>4.3069994396824231E-9</v>
      </c>
      <c r="J691" s="49">
        <f t="shared" si="136"/>
        <v>2.3390065880842384E-8</v>
      </c>
      <c r="K691" s="49">
        <f t="shared" si="136"/>
        <v>1.1186051418951037E-7</v>
      </c>
      <c r="L691" s="49">
        <f t="shared" si="137"/>
        <v>4.7698644903687571E-7</v>
      </c>
      <c r="M691" s="49">
        <f t="shared" si="137"/>
        <v>1.8318447662461909E-6</v>
      </c>
      <c r="N691" s="49">
        <f t="shared" si="137"/>
        <v>6.3890892900920711E-6</v>
      </c>
      <c r="O691" s="49">
        <f t="shared" si="137"/>
        <v>2.0379796078182605E-5</v>
      </c>
      <c r="P691" s="49">
        <f t="shared" si="137"/>
        <v>5.9809833483253067E-5</v>
      </c>
      <c r="Q691" s="49">
        <f t="shared" si="137"/>
        <v>1.6233465274705769E-4</v>
      </c>
      <c r="R691" s="49">
        <f t="shared" si="137"/>
        <v>4.0934827279702588E-4</v>
      </c>
      <c r="S691" s="49">
        <f t="shared" si="137"/>
        <v>9.6288000672990987E-4</v>
      </c>
      <c r="T691" s="49">
        <f t="shared" si="137"/>
        <v>2.1204244754442544E-3</v>
      </c>
      <c r="U691" s="49">
        <f t="shared" si="137"/>
        <v>4.3860379666616671E-3</v>
      </c>
      <c r="V691" s="49">
        <f t="shared" si="137"/>
        <v>8.5473189895861855E-3</v>
      </c>
      <c r="W691" s="47">
        <v>0.312</v>
      </c>
    </row>
    <row r="692" spans="2:23" x14ac:dyDescent="0.25">
      <c r="B692" s="49">
        <f t="shared" si="136"/>
        <v>6.6238960253118441E-17</v>
      </c>
      <c r="C692" s="49">
        <f t="shared" si="136"/>
        <v>3.0564833129833376E-15</v>
      </c>
      <c r="D692" s="49">
        <f t="shared" si="136"/>
        <v>6.9876004747103747E-14</v>
      </c>
      <c r="E692" s="49">
        <f t="shared" si="136"/>
        <v>1.0552429190628731E-12</v>
      </c>
      <c r="F692" s="49">
        <f t="shared" si="136"/>
        <v>1.1842172008321076E-11</v>
      </c>
      <c r="G692" s="49">
        <f t="shared" si="136"/>
        <v>1.0533654392717996E-10</v>
      </c>
      <c r="H692" s="49">
        <f t="shared" si="136"/>
        <v>7.7359205680691129E-10</v>
      </c>
      <c r="I692" s="49">
        <f t="shared" si="136"/>
        <v>4.824528240990077E-9</v>
      </c>
      <c r="J692" s="49">
        <f t="shared" si="136"/>
        <v>2.6082886020686539E-8</v>
      </c>
      <c r="K692" s="49">
        <f t="shared" si="136"/>
        <v>1.2417965192553524E-7</v>
      </c>
      <c r="L692" s="49">
        <f t="shared" si="137"/>
        <v>5.2715089274716698E-7</v>
      </c>
      <c r="M692" s="49">
        <f t="shared" si="137"/>
        <v>2.0154840546380945E-6</v>
      </c>
      <c r="N692" s="49">
        <f t="shared" si="137"/>
        <v>6.9983994297837301E-6</v>
      </c>
      <c r="O692" s="49">
        <f t="shared" si="137"/>
        <v>2.2224746851230819E-5</v>
      </c>
      <c r="P692" s="49">
        <f t="shared" si="137"/>
        <v>6.4937559057108866E-5</v>
      </c>
      <c r="Q692" s="49">
        <f t="shared" si="137"/>
        <v>1.7548148484242994E-4</v>
      </c>
      <c r="R692" s="49">
        <f t="shared" si="137"/>
        <v>4.4057656210117228E-4</v>
      </c>
      <c r="S692" s="49">
        <f t="shared" si="137"/>
        <v>1.0318633499894734E-3</v>
      </c>
      <c r="T692" s="49">
        <f t="shared" si="137"/>
        <v>2.2626087473354151E-3</v>
      </c>
      <c r="U692" s="49">
        <f t="shared" si="137"/>
        <v>4.6602888581764625E-3</v>
      </c>
      <c r="V692" s="49">
        <f t="shared" si="137"/>
        <v>9.0436509140687845E-3</v>
      </c>
      <c r="W692" s="47">
        <v>0.311</v>
      </c>
    </row>
    <row r="693" spans="2:23" x14ac:dyDescent="0.25">
      <c r="B693" s="49">
        <f t="shared" ref="B693:K702" si="138">_xlfn.HYPGEOM.DIST(B$2,comau,tongtheN*$W693,tongtheN,TRUE)</f>
        <v>7.6578024447135009E-17</v>
      </c>
      <c r="C693" s="49">
        <f t="shared" si="138"/>
        <v>3.5174514011351733E-15</v>
      </c>
      <c r="D693" s="49">
        <f t="shared" si="138"/>
        <v>8.004833553367965E-14</v>
      </c>
      <c r="E693" s="49">
        <f t="shared" si="138"/>
        <v>1.2033662894013556E-12</v>
      </c>
      <c r="F693" s="49">
        <f t="shared" si="138"/>
        <v>1.3443154405486315E-11</v>
      </c>
      <c r="G693" s="49">
        <f t="shared" si="138"/>
        <v>1.1903561081606255E-10</v>
      </c>
      <c r="H693" s="49">
        <f t="shared" si="138"/>
        <v>8.7024554147907912E-10</v>
      </c>
      <c r="I693" s="49">
        <f t="shared" si="138"/>
        <v>5.4028259215430501E-9</v>
      </c>
      <c r="J693" s="49">
        <f t="shared" si="138"/>
        <v>2.9077890077050831E-8</v>
      </c>
      <c r="K693" s="49">
        <f t="shared" si="138"/>
        <v>1.3781742691166533E-7</v>
      </c>
      <c r="L693" s="49">
        <f t="shared" ref="L693:V702" si="139">_xlfn.HYPGEOM.DIST(L$2,comau,tongtheN*$W693,tongtheN,TRUE)</f>
        <v>5.8242635097886029E-7</v>
      </c>
      <c r="M693" s="49">
        <f t="shared" si="139"/>
        <v>2.216891301673276E-6</v>
      </c>
      <c r="N693" s="49">
        <f t="shared" si="139"/>
        <v>7.6635516398094368E-6</v>
      </c>
      <c r="O693" s="49">
        <f t="shared" si="139"/>
        <v>2.422940607471048E-5</v>
      </c>
      <c r="P693" s="49">
        <f t="shared" si="139"/>
        <v>7.0483224789989055E-5</v>
      </c>
      <c r="Q693" s="49">
        <f t="shared" si="139"/>
        <v>1.8963365921392987E-4</v>
      </c>
      <c r="R693" s="49">
        <f t="shared" si="139"/>
        <v>4.7403636580501914E-4</v>
      </c>
      <c r="S693" s="49">
        <f t="shared" si="139"/>
        <v>1.1054319638093943E-3</v>
      </c>
      <c r="T693" s="49">
        <f t="shared" si="139"/>
        <v>2.4135378648496414E-3</v>
      </c>
      <c r="U693" s="49">
        <f t="shared" si="139"/>
        <v>4.9500516797354272E-3</v>
      </c>
      <c r="V693" s="49">
        <f t="shared" si="139"/>
        <v>9.5656142084446852E-3</v>
      </c>
      <c r="W693" s="47">
        <v>0.31</v>
      </c>
    </row>
    <row r="694" spans="2:23" x14ac:dyDescent="0.25">
      <c r="B694" s="49">
        <f t="shared" si="138"/>
        <v>8.8512290529425534E-17</v>
      </c>
      <c r="C694" s="49">
        <f t="shared" si="138"/>
        <v>4.0470598412272364E-15</v>
      </c>
      <c r="D694" s="49">
        <f t="shared" si="138"/>
        <v>9.1680862347957864E-14</v>
      </c>
      <c r="E694" s="49">
        <f t="shared" si="138"/>
        <v>1.3719620790304207E-12</v>
      </c>
      <c r="F694" s="49">
        <f t="shared" si="138"/>
        <v>1.5256912015140457E-11</v>
      </c>
      <c r="G694" s="49">
        <f t="shared" si="138"/>
        <v>1.3448293382539299E-10</v>
      </c>
      <c r="H694" s="49">
        <f t="shared" si="138"/>
        <v>9.7872544964516163E-10</v>
      </c>
      <c r="I694" s="49">
        <f t="shared" si="138"/>
        <v>6.0488560815216385E-9</v>
      </c>
      <c r="J694" s="49">
        <f t="shared" si="138"/>
        <v>3.2408074679527025E-8</v>
      </c>
      <c r="K694" s="49">
        <f t="shared" si="138"/>
        <v>1.5291071857262018E-7</v>
      </c>
      <c r="L694" s="49">
        <f t="shared" si="139"/>
        <v>6.4331584222213854E-7</v>
      </c>
      <c r="M694" s="49">
        <f t="shared" si="139"/>
        <v>2.4377195547879066E-6</v>
      </c>
      <c r="N694" s="49">
        <f t="shared" si="139"/>
        <v>8.38944050019803E-6</v>
      </c>
      <c r="O694" s="49">
        <f t="shared" si="139"/>
        <v>2.6406911267131006E-5</v>
      </c>
      <c r="P694" s="49">
        <f t="shared" si="139"/>
        <v>7.6478952212862889E-5</v>
      </c>
      <c r="Q694" s="49">
        <f t="shared" si="139"/>
        <v>2.0486299323434987E-4</v>
      </c>
      <c r="R694" s="49">
        <f t="shared" si="139"/>
        <v>5.0987493632064114E-4</v>
      </c>
      <c r="S694" s="49">
        <f t="shared" si="139"/>
        <v>1.1838632634946279E-3</v>
      </c>
      <c r="T694" s="49">
        <f t="shared" si="139"/>
        <v>2.5736924658590586E-3</v>
      </c>
      <c r="U694" s="49">
        <f t="shared" si="139"/>
        <v>5.2560919644460248E-3</v>
      </c>
      <c r="V694" s="49">
        <f t="shared" si="139"/>
        <v>1.0114327457941072E-2</v>
      </c>
      <c r="W694" s="47">
        <v>0.309</v>
      </c>
    </row>
    <row r="695" spans="2:23" x14ac:dyDescent="0.25">
      <c r="B695" s="49">
        <f t="shared" si="138"/>
        <v>1.0228502005421284E-16</v>
      </c>
      <c r="C695" s="49">
        <f t="shared" si="138"/>
        <v>4.6553980973644238E-15</v>
      </c>
      <c r="D695" s="49">
        <f t="shared" si="138"/>
        <v>1.0498020641157882E-13</v>
      </c>
      <c r="E695" s="49">
        <f t="shared" si="138"/>
        <v>1.5638151752221789E-12</v>
      </c>
      <c r="F695" s="49">
        <f t="shared" si="138"/>
        <v>1.7311228084483925E-11</v>
      </c>
      <c r="G695" s="49">
        <f t="shared" si="138"/>
        <v>1.5189727992680818E-10</v>
      </c>
      <c r="H695" s="49">
        <f t="shared" si="138"/>
        <v>1.1004474778685088E-9</v>
      </c>
      <c r="I695" s="49">
        <f t="shared" si="138"/>
        <v>6.7703598312266067E-9</v>
      </c>
      <c r="J695" s="49">
        <f t="shared" si="138"/>
        <v>3.6109935059118783E-8</v>
      </c>
      <c r="K695" s="49">
        <f t="shared" si="138"/>
        <v>1.6961014742472932E-7</v>
      </c>
      <c r="L695" s="49">
        <f t="shared" si="139"/>
        <v>7.1037003300312845E-7</v>
      </c>
      <c r="M695" s="49">
        <f t="shared" si="139"/>
        <v>2.6797690292809722E-6</v>
      </c>
      <c r="N695" s="49">
        <f t="shared" si="139"/>
        <v>9.1813682575976311E-6</v>
      </c>
      <c r="O695" s="49">
        <f t="shared" si="139"/>
        <v>2.8771418024035854E-5</v>
      </c>
      <c r="P695" s="49">
        <f t="shared" si="139"/>
        <v>8.2959163512359485E-5</v>
      </c>
      <c r="Q695" s="49">
        <f t="shared" si="139"/>
        <v>2.2124601938016084E-4</v>
      </c>
      <c r="R695" s="49">
        <f t="shared" si="139"/>
        <v>5.4824829533606137E-4</v>
      </c>
      <c r="S695" s="49">
        <f t="shared" si="139"/>
        <v>1.2674494430464293E-3</v>
      </c>
      <c r="T695" s="49">
        <f t="shared" si="139"/>
        <v>2.7435756564879532E-3</v>
      </c>
      <c r="U695" s="49">
        <f t="shared" si="139"/>
        <v>5.5792057680680521E-3</v>
      </c>
      <c r="V695" s="49">
        <f t="shared" si="139"/>
        <v>1.0690945578845694E-2</v>
      </c>
      <c r="W695" s="47">
        <v>0.308</v>
      </c>
    </row>
    <row r="696" spans="2:23" x14ac:dyDescent="0.25">
      <c r="B696" s="49">
        <f t="shared" si="138"/>
        <v>1.1817613609738587E-16</v>
      </c>
      <c r="C696" s="49">
        <f t="shared" si="138"/>
        <v>5.3540193327113034E-15</v>
      </c>
      <c r="D696" s="49">
        <f t="shared" si="138"/>
        <v>1.2018180109460065E-13</v>
      </c>
      <c r="E696" s="49">
        <f t="shared" si="138"/>
        <v>1.7820831469148245E-12</v>
      </c>
      <c r="F696" s="49">
        <f t="shared" si="138"/>
        <v>1.9637447823249394E-11</v>
      </c>
      <c r="G696" s="49">
        <f t="shared" si="138"/>
        <v>1.7152423451222663E-10</v>
      </c>
      <c r="H696" s="49">
        <f t="shared" si="138"/>
        <v>1.2369929171028341E-9</v>
      </c>
      <c r="I696" s="49">
        <f t="shared" si="138"/>
        <v>7.5759402167996332E-9</v>
      </c>
      <c r="J696" s="49">
        <f t="shared" si="138"/>
        <v>4.0223824327608197E-8</v>
      </c>
      <c r="K696" s="49">
        <f t="shared" si="138"/>
        <v>1.8808140450855288E-7</v>
      </c>
      <c r="L696" s="49">
        <f t="shared" si="139"/>
        <v>7.8419156141104532E-7</v>
      </c>
      <c r="M696" s="49">
        <f t="shared" si="139"/>
        <v>2.9449995650571707E-6</v>
      </c>
      <c r="N696" s="49">
        <f t="shared" si="139"/>
        <v>1.0045076800794951E-5</v>
      </c>
      <c r="O696" s="49">
        <f t="shared" si="139"/>
        <v>3.1338173401557135E-5</v>
      </c>
      <c r="P696" s="49">
        <f t="shared" si="139"/>
        <v>8.9960732289788987E-5</v>
      </c>
      <c r="Q696" s="49">
        <f t="shared" si="139"/>
        <v>2.3886426204448448E-4</v>
      </c>
      <c r="R696" s="49">
        <f t="shared" si="139"/>
        <v>5.893216854989114E-4</v>
      </c>
      <c r="S696" s="49">
        <f t="shared" si="139"/>
        <v>1.3564981217398847E-3</v>
      </c>
      <c r="T696" s="49">
        <f t="shared" si="139"/>
        <v>2.9237138003926203E-3</v>
      </c>
      <c r="U696" s="49">
        <f t="shared" si="139"/>
        <v>5.9202204335570829E-3</v>
      </c>
      <c r="V696" s="49">
        <f t="shared" si="139"/>
        <v>1.129666026137683E-2</v>
      </c>
      <c r="W696" s="47">
        <v>0.307</v>
      </c>
    </row>
    <row r="697" spans="2:23" x14ac:dyDescent="0.25">
      <c r="B697" s="49">
        <f t="shared" si="138"/>
        <v>1.3650768311681717E-16</v>
      </c>
      <c r="C697" s="49">
        <f t="shared" si="138"/>
        <v>6.1561499365182516E-15</v>
      </c>
      <c r="D697" s="49">
        <f t="shared" si="138"/>
        <v>1.3755384981286513E-13</v>
      </c>
      <c r="E697" s="49">
        <f t="shared" si="138"/>
        <v>2.0303452831414705E-12</v>
      </c>
      <c r="F697" s="49">
        <f t="shared" si="138"/>
        <v>2.2270926446005003E-11</v>
      </c>
      <c r="G697" s="49">
        <f t="shared" si="138"/>
        <v>1.9363941884251122E-10</v>
      </c>
      <c r="H697" s="49">
        <f t="shared" si="138"/>
        <v>1.3901275528549714E-9</v>
      </c>
      <c r="I697" s="49">
        <f t="shared" si="138"/>
        <v>8.4751555407090864E-9</v>
      </c>
      <c r="J697" s="49">
        <f t="shared" si="138"/>
        <v>4.4794348376132454E-8</v>
      </c>
      <c r="K697" s="49">
        <f t="shared" si="138"/>
        <v>2.0850670422213192E-7</v>
      </c>
      <c r="L697" s="49">
        <f t="shared" si="139"/>
        <v>8.6543973404593178E-7</v>
      </c>
      <c r="M697" s="49">
        <f t="shared" si="139"/>
        <v>3.2355440766842963E-6</v>
      </c>
      <c r="N697" s="49">
        <f t="shared" si="139"/>
        <v>1.0986781966529475E-5</v>
      </c>
      <c r="O697" s="49">
        <f t="shared" si="139"/>
        <v>3.4123594120581845E-5</v>
      </c>
      <c r="P697" s="49">
        <f t="shared" si="139"/>
        <v>9.752314307081936E-5</v>
      </c>
      <c r="Q697" s="49">
        <f t="shared" si="139"/>
        <v>2.5780452811071433E-4</v>
      </c>
      <c r="R697" s="49">
        <f t="shared" si="139"/>
        <v>6.332700402945739E-4</v>
      </c>
      <c r="S697" s="49">
        <f t="shared" si="139"/>
        <v>1.4513330094002117E-3</v>
      </c>
      <c r="T697" s="49">
        <f t="shared" si="139"/>
        <v>3.1146573187612091E-3</v>
      </c>
      <c r="U697" s="49">
        <f t="shared" si="139"/>
        <v>6.2799953460329775E-3</v>
      </c>
      <c r="V697" s="49">
        <f t="shared" si="139"/>
        <v>1.1932700370382528E-2</v>
      </c>
      <c r="W697" s="47">
        <v>0.30599999999999999</v>
      </c>
    </row>
    <row r="698" spans="2:23" x14ac:dyDescent="0.25">
      <c r="B698" s="49">
        <f t="shared" si="138"/>
        <v>1.5765009022872725E-16</v>
      </c>
      <c r="C698" s="49">
        <f t="shared" si="138"/>
        <v>7.0769286405259287E-15</v>
      </c>
      <c r="D698" s="49">
        <f t="shared" si="138"/>
        <v>1.5740181932486006E-13</v>
      </c>
      <c r="E698" s="49">
        <f t="shared" si="138"/>
        <v>2.3126579723734903E-12</v>
      </c>
      <c r="F698" s="49">
        <f t="shared" si="138"/>
        <v>2.5251532460921131E-11</v>
      </c>
      <c r="G698" s="49">
        <f t="shared" si="138"/>
        <v>2.1855208480244969E-10</v>
      </c>
      <c r="H698" s="49">
        <f t="shared" si="138"/>
        <v>1.5618226666890983E-9</v>
      </c>
      <c r="I698" s="49">
        <f t="shared" si="138"/>
        <v>9.478622483630025E-9</v>
      </c>
      <c r="J698" s="49">
        <f t="shared" si="138"/>
        <v>4.9870799788013673E-8</v>
      </c>
      <c r="K698" s="49">
        <f t="shared" si="138"/>
        <v>2.3108637147785203E-7</v>
      </c>
      <c r="L698" s="49">
        <f t="shared" si="139"/>
        <v>9.5483562681098853E-7</v>
      </c>
      <c r="M698" s="49">
        <f t="shared" si="139"/>
        <v>3.5537230703635101E-6</v>
      </c>
      <c r="N698" s="49">
        <f t="shared" si="139"/>
        <v>1.2013210329957735E-5</v>
      </c>
      <c r="O698" s="49">
        <f t="shared" si="139"/>
        <v>3.7145349869552164E-5</v>
      </c>
      <c r="P698" s="49">
        <f t="shared" si="139"/>
        <v>1.0568865998563023E-4</v>
      </c>
      <c r="Q698" s="49">
        <f t="shared" si="139"/>
        <v>2.781592117859386E-4</v>
      </c>
      <c r="R698" s="49">
        <f t="shared" si="139"/>
        <v>6.8027847249040366E-4</v>
      </c>
      <c r="S698" s="49">
        <f t="shared" si="139"/>
        <v>1.5522945902470598E-3</v>
      </c>
      <c r="T698" s="49">
        <f t="shared" si="139"/>
        <v>3.3169814999425081E-3</v>
      </c>
      <c r="U698" s="49">
        <f t="shared" si="139"/>
        <v>6.6594226758147426E-3</v>
      </c>
      <c r="V698" s="49">
        <f t="shared" si="139"/>
        <v>1.2600332300415388E-2</v>
      </c>
      <c r="W698" s="47">
        <v>0.30499999999999999</v>
      </c>
    </row>
    <row r="699" spans="2:23" x14ac:dyDescent="0.25">
      <c r="B699" s="49">
        <f t="shared" si="138"/>
        <v>1.8202935469933916E-16</v>
      </c>
      <c r="C699" s="49">
        <f t="shared" si="138"/>
        <v>8.1336793460560278E-15</v>
      </c>
      <c r="D699" s="49">
        <f t="shared" si="138"/>
        <v>1.8007353971909645E-13</v>
      </c>
      <c r="E699" s="49">
        <f t="shared" si="138"/>
        <v>2.633617227969823E-12</v>
      </c>
      <c r="F699" s="49">
        <f t="shared" si="138"/>
        <v>2.8624212876461502E-11</v>
      </c>
      <c r="G699" s="49">
        <f t="shared" si="138"/>
        <v>2.4660913014984898E-10</v>
      </c>
      <c r="H699" s="49">
        <f t="shared" si="138"/>
        <v>1.7542783661891254E-9</v>
      </c>
      <c r="I699" s="49">
        <f t="shared" si="138"/>
        <v>1.0598130023422574E-8</v>
      </c>
      <c r="J699" s="49">
        <f t="shared" si="138"/>
        <v>5.5507634470233291E-8</v>
      </c>
      <c r="K699" s="49">
        <f t="shared" si="138"/>
        <v>2.5604057502008239E-7</v>
      </c>
      <c r="L699" s="49">
        <f t="shared" si="139"/>
        <v>1.053167622279358E-6</v>
      </c>
      <c r="M699" s="49">
        <f t="shared" si="139"/>
        <v>3.9020603063628436E-6</v>
      </c>
      <c r="N699" s="49">
        <f t="shared" si="139"/>
        <v>1.3131638643034801E-5</v>
      </c>
      <c r="O699" s="49">
        <f t="shared" si="139"/>
        <v>4.0422451996847652E-5</v>
      </c>
      <c r="P699" s="49">
        <f t="shared" si="139"/>
        <v>1.1450250505274009E-4</v>
      </c>
      <c r="Q699" s="49">
        <f t="shared" si="139"/>
        <v>3.0002661419763113E-4</v>
      </c>
      <c r="R699" s="49">
        <f t="shared" si="139"/>
        <v>7.3054278149696473E-4</v>
      </c>
      <c r="S699" s="49">
        <f t="shared" si="139"/>
        <v>1.659740825114395E-3</v>
      </c>
      <c r="T699" s="49">
        <f t="shared" si="139"/>
        <v>3.5312873175080231E-3</v>
      </c>
      <c r="U699" s="49">
        <f t="shared" si="139"/>
        <v>7.0594281070396423E-3</v>
      </c>
      <c r="V699" s="49">
        <f t="shared" si="139"/>
        <v>1.3300860281639513E-2</v>
      </c>
      <c r="W699" s="47">
        <v>0.30399999999999999</v>
      </c>
    </row>
    <row r="700" spans="2:23" x14ac:dyDescent="0.25">
      <c r="B700" s="49">
        <f t="shared" si="138"/>
        <v>2.1013527922505609E-16</v>
      </c>
      <c r="C700" s="49">
        <f t="shared" si="138"/>
        <v>9.3462223490994989E-15</v>
      </c>
      <c r="D700" s="49">
        <f t="shared" si="138"/>
        <v>2.0596499172272582E-13</v>
      </c>
      <c r="E700" s="49">
        <f t="shared" si="138"/>
        <v>2.9984292652606848E-12</v>
      </c>
      <c r="F700" s="49">
        <f t="shared" si="138"/>
        <v>3.2439627785524157E-11</v>
      </c>
      <c r="G700" s="49">
        <f t="shared" si="138"/>
        <v>2.7819958226353531E-10</v>
      </c>
      <c r="H700" s="49">
        <f t="shared" si="138"/>
        <v>1.9699494942975567E-9</v>
      </c>
      <c r="I700" s="49">
        <f t="shared" si="138"/>
        <v>1.1846765244377196E-8</v>
      </c>
      <c r="J700" s="49">
        <f t="shared" si="138"/>
        <v>6.1764995044094847E-8</v>
      </c>
      <c r="K700" s="49">
        <f t="shared" si="138"/>
        <v>2.8361121972622584E-7</v>
      </c>
      <c r="L700" s="49">
        <f t="shared" si="139"/>
        <v>1.1612974188311637E-6</v>
      </c>
      <c r="M700" s="49">
        <f t="shared" si="139"/>
        <v>4.2832996907057187E-6</v>
      </c>
      <c r="N700" s="49">
        <f t="shared" si="139"/>
        <v>1.4349936093402472E-5</v>
      </c>
      <c r="O700" s="49">
        <f t="shared" si="139"/>
        <v>4.3975347896966855E-5</v>
      </c>
      <c r="P700" s="49">
        <f t="shared" si="139"/>
        <v>1.2401304651287994E-4</v>
      </c>
      <c r="Q700" s="49">
        <f t="shared" si="139"/>
        <v>3.2351127825977071E-4</v>
      </c>
      <c r="R700" s="49">
        <f t="shared" si="139"/>
        <v>7.8426997997389726E-4</v>
      </c>
      <c r="S700" s="49">
        <f t="shared" si="139"/>
        <v>1.7740478717892085E-3</v>
      </c>
      <c r="T700" s="49">
        <f t="shared" si="139"/>
        <v>3.7582022554427229E-3</v>
      </c>
      <c r="U700" s="49">
        <f t="shared" si="139"/>
        <v>7.4809715492571158E-3</v>
      </c>
      <c r="V700" s="49">
        <f t="shared" si="139"/>
        <v>1.4035626632942841E-2</v>
      </c>
      <c r="W700" s="47">
        <v>0.30299999999999999</v>
      </c>
    </row>
    <row r="701" spans="2:23" x14ac:dyDescent="0.25">
      <c r="B701" s="49">
        <f t="shared" si="138"/>
        <v>2.4253091572747131E-16</v>
      </c>
      <c r="C701" s="49">
        <f t="shared" si="138"/>
        <v>1.0737229293357516E-14</v>
      </c>
      <c r="D701" s="49">
        <f t="shared" si="138"/>
        <v>2.3552687250502599E-13</v>
      </c>
      <c r="E701" s="49">
        <f t="shared" si="138"/>
        <v>3.4129901483862486E-12</v>
      </c>
      <c r="F701" s="49">
        <f t="shared" si="138"/>
        <v>3.6754862665587847E-11</v>
      </c>
      <c r="G701" s="49">
        <f t="shared" si="138"/>
        <v>3.1375960373421277E-10</v>
      </c>
      <c r="H701" s="49">
        <f t="shared" si="138"/>
        <v>2.211574395162284E-9</v>
      </c>
      <c r="I701" s="49">
        <f t="shared" si="138"/>
        <v>1.3239052236512502E-8</v>
      </c>
      <c r="J701" s="49">
        <f t="shared" si="138"/>
        <v>6.8709285400631958E-8</v>
      </c>
      <c r="K701" s="49">
        <f t="shared" si="138"/>
        <v>3.140640117759314E-7</v>
      </c>
      <c r="L701" s="49">
        <f t="shared" si="139"/>
        <v>1.2801665493903155E-6</v>
      </c>
      <c r="M701" s="49">
        <f t="shared" si="139"/>
        <v>4.7004234854508895E-6</v>
      </c>
      <c r="N701" s="49">
        <f t="shared" si="139"/>
        <v>1.5676609566106149E-5</v>
      </c>
      <c r="O701" s="49">
        <f t="shared" si="139"/>
        <v>4.7826021408337308E-5</v>
      </c>
      <c r="P701" s="49">
        <f t="shared" si="139"/>
        <v>1.3427199767232148E-4</v>
      </c>
      <c r="Q701" s="49">
        <f t="shared" si="139"/>
        <v>3.4872433931622374E-4</v>
      </c>
      <c r="R701" s="49">
        <f t="shared" si="139"/>
        <v>8.4167883998122108E-4</v>
      </c>
      <c r="S701" s="49">
        <f t="shared" si="139"/>
        <v>1.8956108231419958E-3</v>
      </c>
      <c r="T701" s="49">
        <f t="shared" si="139"/>
        <v>3.9983811390477131E-3</v>
      </c>
      <c r="U701" s="49">
        <f t="shared" si="139"/>
        <v>7.9250478292627498E-3</v>
      </c>
      <c r="V701" s="49">
        <f t="shared" si="139"/>
        <v>1.4806011958550002E-2</v>
      </c>
      <c r="W701" s="47">
        <v>0.30199999999999999</v>
      </c>
    </row>
    <row r="702" spans="2:23" x14ac:dyDescent="0.25">
      <c r="B702" s="49">
        <f t="shared" si="138"/>
        <v>2.7986339025568398E-16</v>
      </c>
      <c r="C702" s="49">
        <f t="shared" si="138"/>
        <v>1.2332627910669214E-14</v>
      </c>
      <c r="D702" s="49">
        <f t="shared" si="138"/>
        <v>2.6927204304791495E-13</v>
      </c>
      <c r="E702" s="49">
        <f t="shared" si="138"/>
        <v>3.8839756513322912E-12</v>
      </c>
      <c r="F702" s="49">
        <f t="shared" si="138"/>
        <v>4.1634227713604669E-11</v>
      </c>
      <c r="G702" s="49">
        <f t="shared" si="138"/>
        <v>3.5377807905893525E-10</v>
      </c>
      <c r="H702" s="49">
        <f t="shared" si="138"/>
        <v>2.4822068424822526E-9</v>
      </c>
      <c r="I702" s="49">
        <f t="shared" si="138"/>
        <v>1.4791105401290578E-8</v>
      </c>
      <c r="J702" s="49">
        <f t="shared" si="138"/>
        <v>7.6413801222586181E-8</v>
      </c>
      <c r="K702" s="49">
        <f t="shared" si="138"/>
        <v>3.4769071171714934E-7</v>
      </c>
      <c r="L702" s="49">
        <f t="shared" si="139"/>
        <v>1.4108034504037274E-6</v>
      </c>
      <c r="M702" s="49">
        <f t="shared" si="139"/>
        <v>5.1566719327597449E-6</v>
      </c>
      <c r="N702" s="49">
        <f t="shared" si="139"/>
        <v>1.7120852100620151E-5</v>
      </c>
      <c r="O702" s="49">
        <f t="shared" si="139"/>
        <v>5.1998099554506524E-5</v>
      </c>
      <c r="P702" s="49">
        <f t="shared" si="139"/>
        <v>1.4533462672782833E-4</v>
      </c>
      <c r="Q702" s="49">
        <f t="shared" si="139"/>
        <v>3.7578389206918467E-4</v>
      </c>
      <c r="R702" s="49">
        <f t="shared" si="139"/>
        <v>9.0300045894767906E-4</v>
      </c>
      <c r="S702" s="49">
        <f t="shared" si="139"/>
        <v>2.0248444626483546E-3</v>
      </c>
      <c r="T702" s="49">
        <f t="shared" si="139"/>
        <v>4.252506970021064E-3</v>
      </c>
      <c r="U702" s="49">
        <f t="shared" si="139"/>
        <v>8.392687360310961E-3</v>
      </c>
      <c r="V702" s="49">
        <f t="shared" si="139"/>
        <v>1.5613435284360239E-2</v>
      </c>
      <c r="W702" s="47">
        <v>0.30099999999999999</v>
      </c>
    </row>
    <row r="703" spans="2:23" x14ac:dyDescent="0.25">
      <c r="B703" s="49">
        <f t="shared" ref="B703:K712" si="140">_xlfn.HYPGEOM.DIST(B$2,comau,tongtheN*$W703,tongtheN,TRUE)</f>
        <v>3.2287630854650042E-16</v>
      </c>
      <c r="C703" s="49">
        <f t="shared" si="140"/>
        <v>1.4162063436165182E-14</v>
      </c>
      <c r="D703" s="49">
        <f t="shared" si="140"/>
        <v>3.0778397358092193E-13</v>
      </c>
      <c r="E703" s="49">
        <f t="shared" si="140"/>
        <v>4.4189426192867084E-12</v>
      </c>
      <c r="F703" s="49">
        <f t="shared" si="140"/>
        <v>4.715015462711083E-11</v>
      </c>
      <c r="G703" s="49">
        <f t="shared" si="140"/>
        <v>3.9880284825436698E-10</v>
      </c>
      <c r="H703" s="49">
        <f t="shared" si="140"/>
        <v>2.7852514681044439E-9</v>
      </c>
      <c r="I703" s="49">
        <f t="shared" si="140"/>
        <v>1.6520798607541894E-8</v>
      </c>
      <c r="J703" s="49">
        <f t="shared" si="140"/>
        <v>8.4959421704830613E-8</v>
      </c>
      <c r="K703" s="49">
        <f t="shared" si="140"/>
        <v>3.8481159168933179E-7</v>
      </c>
      <c r="L703" s="49">
        <f t="shared" ref="L703:V712" si="141">_xlfn.HYPGEOM.DIST(L$2,comau,tongtheN*$W703,tongtheN,TRUE)</f>
        <v>1.5543311247065688E-6</v>
      </c>
      <c r="M703" s="49">
        <f t="shared" si="141"/>
        <v>5.6555643941382848E-6</v>
      </c>
      <c r="N703" s="49">
        <f t="shared" si="141"/>
        <v>1.8692594746248781E-5</v>
      </c>
      <c r="O703" s="49">
        <f t="shared" si="141"/>
        <v>5.6516965974697935E-5</v>
      </c>
      <c r="P703" s="49">
        <f t="shared" si="141"/>
        <v>1.5725997805783842E-4</v>
      </c>
      <c r="Q703" s="49">
        <f t="shared" si="141"/>
        <v>4.0481537429892247E-4</v>
      </c>
      <c r="R703" s="49">
        <f t="shared" si="141"/>
        <v>9.6847884569420232E-4</v>
      </c>
      <c r="S703" s="49">
        <f t="shared" si="141"/>
        <v>2.1621840368225096E-3</v>
      </c>
      <c r="T703" s="49">
        <f t="shared" si="141"/>
        <v>4.5212917640642201E-3</v>
      </c>
      <c r="U703" s="49">
        <f t="shared" si="141"/>
        <v>8.8849567857207257E-3</v>
      </c>
      <c r="V703" s="49">
        <f t="shared" si="141"/>
        <v>1.6459354130172438E-2</v>
      </c>
      <c r="W703" s="47">
        <v>0.3</v>
      </c>
    </row>
    <row r="704" spans="2:23" x14ac:dyDescent="0.25">
      <c r="B704" s="49">
        <f t="shared" si="140"/>
        <v>3.7242397027546941E-16</v>
      </c>
      <c r="C704" s="49">
        <f t="shared" si="140"/>
        <v>1.6259424524886742E-14</v>
      </c>
      <c r="D704" s="49">
        <f t="shared" si="140"/>
        <v>3.517263187228541E-13</v>
      </c>
      <c r="E704" s="49">
        <f t="shared" si="140"/>
        <v>5.0264432753204949E-12</v>
      </c>
      <c r="F704" s="49">
        <f t="shared" si="140"/>
        <v>5.3384202460869252E-11</v>
      </c>
      <c r="G704" s="49">
        <f t="shared" si="140"/>
        <v>4.4944766046311092E-10</v>
      </c>
      <c r="H704" s="49">
        <f t="shared" si="140"/>
        <v>3.1245030635715811E-9</v>
      </c>
      <c r="I704" s="49">
        <f t="shared" si="140"/>
        <v>1.8447951780640121E-8</v>
      </c>
      <c r="J704" s="49">
        <f t="shared" si="140"/>
        <v>9.4435368171509094E-8</v>
      </c>
      <c r="K704" s="49">
        <f t="shared" si="140"/>
        <v>4.257781143894346E-7</v>
      </c>
      <c r="L704" s="49">
        <f t="shared" si="141"/>
        <v>1.7119754451194421E-6</v>
      </c>
      <c r="M704" s="49">
        <f t="shared" si="141"/>
        <v>6.2009221127720654E-6</v>
      </c>
      <c r="N704" s="49">
        <f t="shared" si="141"/>
        <v>2.0402562029998349E-5</v>
      </c>
      <c r="O704" s="49">
        <f t="shared" si="141"/>
        <v>6.1409881404237703E-5</v>
      </c>
      <c r="P704" s="49">
        <f t="shared" si="141"/>
        <v>1.7011110547648684E-4</v>
      </c>
      <c r="Q704" s="49">
        <f t="shared" si="141"/>
        <v>4.3595196787769115E-4</v>
      </c>
      <c r="R704" s="49">
        <f t="shared" si="141"/>
        <v>1.0383715267147247E-3</v>
      </c>
      <c r="S704" s="49">
        <f t="shared" si="141"/>
        <v>2.3080860440008186E-3</v>
      </c>
      <c r="T704" s="49">
        <f t="shared" si="141"/>
        <v>4.8054773892369975E-3</v>
      </c>
      <c r="U704" s="49">
        <f t="shared" si="141"/>
        <v>9.4029595937623559E-3</v>
      </c>
      <c r="V704" s="49">
        <f t="shared" si="141"/>
        <v>1.734526451390277E-2</v>
      </c>
      <c r="W704" s="47">
        <v>0.29899999999999999</v>
      </c>
    </row>
    <row r="705" spans="2:23" x14ac:dyDescent="0.25">
      <c r="B705" s="49">
        <f t="shared" si="140"/>
        <v>4.2948765252961821E-16</v>
      </c>
      <c r="C705" s="49">
        <f t="shared" si="140"/>
        <v>1.8663442562305741E-14</v>
      </c>
      <c r="D705" s="49">
        <f t="shared" si="140"/>
        <v>4.0185377105275143E-13</v>
      </c>
      <c r="E705" s="49">
        <f t="shared" si="140"/>
        <v>5.7161540955114526E-12</v>
      </c>
      <c r="F705" s="49">
        <f t="shared" si="140"/>
        <v>6.0428185545311178E-11</v>
      </c>
      <c r="G705" s="49">
        <f t="shared" si="140"/>
        <v>5.063999286642481E-10</v>
      </c>
      <c r="H705" s="49">
        <f t="shared" si="140"/>
        <v>3.504190165755136E-9</v>
      </c>
      <c r="I705" s="49">
        <f t="shared" si="140"/>
        <v>2.0594536660047355E-8</v>
      </c>
      <c r="J705" s="49">
        <f t="shared" si="140"/>
        <v>1.0494003579394555E-7</v>
      </c>
      <c r="K705" s="49">
        <f t="shared" si="140"/>
        <v>4.7097585279203779E-7</v>
      </c>
      <c r="L705" s="49">
        <f t="shared" si="141"/>
        <v>1.8850741490358209E-6</v>
      </c>
      <c r="M705" s="49">
        <f t="shared" si="141"/>
        <v>6.7968927137662271E-6</v>
      </c>
      <c r="N705" s="49">
        <f t="shared" si="141"/>
        <v>2.2262331262483113E-5</v>
      </c>
      <c r="O705" s="49">
        <f t="shared" si="141"/>
        <v>6.6706111580100202E-5</v>
      </c>
      <c r="P705" s="49">
        <f t="shared" si="141"/>
        <v>1.8395531795867829E-4</v>
      </c>
      <c r="Q705" s="49">
        <f t="shared" si="141"/>
        <v>4.6933501757539262E-4</v>
      </c>
      <c r="R705" s="49">
        <f t="shared" si="141"/>
        <v>1.1129501728758177E-3</v>
      </c>
      <c r="S705" s="49">
        <f t="shared" si="141"/>
        <v>2.4630290388251768E-3</v>
      </c>
      <c r="T705" s="49">
        <f t="shared" si="141"/>
        <v>5.1058364031585047E-3</v>
      </c>
      <c r="U705" s="49">
        <f t="shared" si="141"/>
        <v>9.9478367005924051E-3</v>
      </c>
      <c r="V705" s="49">
        <f t="shared" si="141"/>
        <v>1.8272700883853767E-2</v>
      </c>
      <c r="W705" s="47">
        <v>0.29799999999999999</v>
      </c>
    </row>
    <row r="706" spans="2:23" x14ac:dyDescent="0.25">
      <c r="B706" s="49">
        <f t="shared" si="140"/>
        <v>4.9519426010517536E-16</v>
      </c>
      <c r="C706" s="49">
        <f t="shared" si="140"/>
        <v>2.1418374469907516E-14</v>
      </c>
      <c r="D706" s="49">
        <f t="shared" si="140"/>
        <v>4.5902436109219322E-13</v>
      </c>
      <c r="E706" s="49">
        <f t="shared" si="140"/>
        <v>6.4990210752633089E-12</v>
      </c>
      <c r="F706" s="49">
        <f t="shared" si="140"/>
        <v>6.8385437964579582E-11</v>
      </c>
      <c r="G706" s="49">
        <f t="shared" si="140"/>
        <v>5.7042937549517593E-10</v>
      </c>
      <c r="H706" s="49">
        <f t="shared" si="140"/>
        <v>3.929023379971901E-9</v>
      </c>
      <c r="I706" s="49">
        <f t="shared" si="140"/>
        <v>2.298490362643249E-8</v>
      </c>
      <c r="J706" s="49">
        <f t="shared" si="140"/>
        <v>1.1658190516153033E-7</v>
      </c>
      <c r="K706" s="49">
        <f t="shared" si="140"/>
        <v>5.2082767116744143E-7</v>
      </c>
      <c r="L706" s="49">
        <f t="shared" si="141"/>
        <v>2.075086577893819E-6</v>
      </c>
      <c r="M706" s="49">
        <f t="shared" si="141"/>
        <v>7.4479765643626476E-6</v>
      </c>
      <c r="N706" s="49">
        <f t="shared" si="141"/>
        <v>2.4284395919343293E-5</v>
      </c>
      <c r="O706" s="49">
        <f t="shared" si="141"/>
        <v>7.2437062961845398E-5</v>
      </c>
      <c r="P706" s="49">
        <f t="shared" si="141"/>
        <v>1.9886443835531218E-4</v>
      </c>
      <c r="Q706" s="49">
        <f t="shared" si="141"/>
        <v>5.051144681473067E-4</v>
      </c>
      <c r="R706" s="49">
        <f t="shared" si="141"/>
        <v>1.1925012466531971E-3</v>
      </c>
      <c r="S706" s="49">
        <f t="shared" si="141"/>
        <v>2.6275144516848411E-3</v>
      </c>
      <c r="T706" s="49">
        <f t="shared" si="141"/>
        <v>5.4231728870215183E-3</v>
      </c>
      <c r="U706" s="49">
        <f t="shared" si="141"/>
        <v>1.0520766997881785E-2</v>
      </c>
      <c r="V706" s="49">
        <f t="shared" si="141"/>
        <v>1.9243235975062164E-2</v>
      </c>
      <c r="W706" s="47">
        <v>0.29699999999999999</v>
      </c>
    </row>
    <row r="707" spans="2:23" x14ac:dyDescent="0.25">
      <c r="B707" s="49">
        <f t="shared" si="140"/>
        <v>5.7083768251700966E-16</v>
      </c>
      <c r="C707" s="49">
        <f t="shared" si="140"/>
        <v>2.4574780477665105E-14</v>
      </c>
      <c r="D707" s="49">
        <f t="shared" si="140"/>
        <v>5.2421339339232899E-13</v>
      </c>
      <c r="E707" s="49">
        <f t="shared" si="140"/>
        <v>7.3874234332706845E-12</v>
      </c>
      <c r="F707" s="49">
        <f t="shared" si="140"/>
        <v>7.7372230775210594E-11</v>
      </c>
      <c r="G707" s="49">
        <f t="shared" si="140"/>
        <v>6.4239767003465797E-10</v>
      </c>
      <c r="H707" s="49">
        <f t="shared" si="140"/>
        <v>4.4042489404347043E-9</v>
      </c>
      <c r="I707" s="49">
        <f t="shared" si="140"/>
        <v>2.5646031680825992E-8</v>
      </c>
      <c r="J707" s="49">
        <f t="shared" si="140"/>
        <v>1.2948054105158473E-7</v>
      </c>
      <c r="K707" s="49">
        <f t="shared" si="140"/>
        <v>5.7579718958872985E-7</v>
      </c>
      <c r="L707" s="49">
        <f t="shared" si="141"/>
        <v>2.2836042192984341E-6</v>
      </c>
      <c r="M707" s="49">
        <f t="shared" si="141"/>
        <v>8.159055123855507E-6</v>
      </c>
      <c r="N707" s="49">
        <f t="shared" si="141"/>
        <v>2.6482233348026121E-5</v>
      </c>
      <c r="O707" s="49">
        <f t="shared" si="141"/>
        <v>7.8636426673372236E-5</v>
      </c>
      <c r="P707" s="49">
        <f t="shared" si="141"/>
        <v>2.1491507562814316E-4</v>
      </c>
      <c r="Q707" s="49">
        <f t="shared" si="141"/>
        <v>5.4344932018461894E-4</v>
      </c>
      <c r="R707" s="49">
        <f t="shared" si="141"/>
        <v>1.2773266699749137E-3</v>
      </c>
      <c r="S707" s="49">
        <f t="shared" si="141"/>
        <v>2.8020674222773217E-3</v>
      </c>
      <c r="T707" s="49">
        <f t="shared" si="141"/>
        <v>5.7583232742550849E-3</v>
      </c>
      <c r="U707" s="49">
        <f t="shared" si="141"/>
        <v>1.1122967861664633E-2</v>
      </c>
      <c r="V707" s="49">
        <f t="shared" si="141"/>
        <v>2.0258480585718636E-2</v>
      </c>
      <c r="W707" s="47">
        <v>0.29599999999999999</v>
      </c>
    </row>
    <row r="708" spans="2:23" x14ac:dyDescent="0.25">
      <c r="B708" s="49">
        <f t="shared" si="140"/>
        <v>6.5790324582359347E-16</v>
      </c>
      <c r="C708" s="49">
        <f t="shared" si="140"/>
        <v>2.8190409889219524E-14</v>
      </c>
      <c r="D708" s="49">
        <f t="shared" si="140"/>
        <v>5.9852923288898259E-13</v>
      </c>
      <c r="E708" s="49">
        <f t="shared" si="140"/>
        <v>8.3953580501798976E-12</v>
      </c>
      <c r="F708" s="49">
        <f t="shared" si="140"/>
        <v>8.751936002054169E-11</v>
      </c>
      <c r="G708" s="49">
        <f t="shared" si="140"/>
        <v>7.2326916628578881E-10</v>
      </c>
      <c r="H708" s="49">
        <f t="shared" si="140"/>
        <v>4.9357080589331121E-9</v>
      </c>
      <c r="I708" s="49">
        <f t="shared" si="140"/>
        <v>2.8607803856056085E-8</v>
      </c>
      <c r="J708" s="49">
        <f t="shared" si="140"/>
        <v>1.4376768638738691E-7</v>
      </c>
      <c r="K708" s="49">
        <f t="shared" si="140"/>
        <v>6.3639255588764601E-7</v>
      </c>
      <c r="L708" s="49">
        <f t="shared" si="141"/>
        <v>2.5123621136790587E-6</v>
      </c>
      <c r="M708" s="49">
        <f t="shared" si="141"/>
        <v>8.9354214209747903E-6</v>
      </c>
      <c r="N708" s="49">
        <f t="shared" si="141"/>
        <v>2.8870377062597518E-5</v>
      </c>
      <c r="O708" s="49">
        <f t="shared" si="141"/>
        <v>8.5340331086300147E-5</v>
      </c>
      <c r="P708" s="49">
        <f t="shared" si="141"/>
        <v>2.3218891114323807E-4</v>
      </c>
      <c r="Q708" s="49">
        <f t="shared" si="141"/>
        <v>5.8450810519646598E-4</v>
      </c>
      <c r="R708" s="49">
        <f t="shared" si="141"/>
        <v>1.3677445126891341E-3</v>
      </c>
      <c r="S708" s="49">
        <f t="shared" si="141"/>
        <v>2.9872376463480244E-3</v>
      </c>
      <c r="T708" s="49">
        <f t="shared" si="141"/>
        <v>6.1121571715366712E-3</v>
      </c>
      <c r="U708" s="49">
        <f t="shared" si="141"/>
        <v>1.1755695618819728E-2</v>
      </c>
      <c r="V708" s="49">
        <f t="shared" si="141"/>
        <v>2.1320083269645212E-2</v>
      </c>
      <c r="W708" s="47">
        <v>0.29499999999999998</v>
      </c>
    </row>
    <row r="709" spans="2:23" x14ac:dyDescent="0.25">
      <c r="B709" s="49">
        <f t="shared" si="140"/>
        <v>7.5809570234516358E-16</v>
      </c>
      <c r="C709" s="49">
        <f t="shared" si="140"/>
        <v>3.2331209627057635E-14</v>
      </c>
      <c r="D709" s="49">
        <f t="shared" si="140"/>
        <v>6.8323118326242207E-13</v>
      </c>
      <c r="E709" s="49">
        <f t="shared" si="140"/>
        <v>9.5386472196687551E-12</v>
      </c>
      <c r="F709" s="49">
        <f t="shared" si="140"/>
        <v>9.8973925681763003E-11</v>
      </c>
      <c r="G709" s="49">
        <f t="shared" si="140"/>
        <v>8.1412286613898078E-10</v>
      </c>
      <c r="H709" s="49">
        <f t="shared" si="140"/>
        <v>5.5299026687094525E-9</v>
      </c>
      <c r="I709" s="49">
        <f t="shared" si="140"/>
        <v>3.1903310556428679E-8</v>
      </c>
      <c r="J709" s="49">
        <f t="shared" si="140"/>
        <v>1.5958846006963832E-7</v>
      </c>
      <c r="K709" s="49">
        <f t="shared" si="140"/>
        <v>7.0317055091823041E-7</v>
      </c>
      <c r="L709" s="49">
        <f t="shared" si="141"/>
        <v>2.7632511917491985E-6</v>
      </c>
      <c r="M709" s="49">
        <f t="shared" si="141"/>
        <v>9.7828128049679376E-6</v>
      </c>
      <c r="N709" s="49">
        <f t="shared" si="141"/>
        <v>3.1464493902524221E-5</v>
      </c>
      <c r="O709" s="49">
        <f t="shared" si="141"/>
        <v>9.2587503481205593E-5</v>
      </c>
      <c r="P709" s="49">
        <f t="shared" si="141"/>
        <v>2.5077299957064865E-4</v>
      </c>
      <c r="Q709" s="49">
        <f t="shared" si="141"/>
        <v>6.2846938037792381E-4</v>
      </c>
      <c r="R709" s="49">
        <f t="shared" si="141"/>
        <v>1.4640897016181E-3</v>
      </c>
      <c r="S709" s="49">
        <f t="shared" si="141"/>
        <v>3.1836002345617025E-3</v>
      </c>
      <c r="T709" s="49">
        <f t="shared" si="141"/>
        <v>6.4855781697165764E-3</v>
      </c>
      <c r="U709" s="49">
        <f t="shared" si="141"/>
        <v>1.2420245967487874E-2</v>
      </c>
      <c r="V709" s="49">
        <f t="shared" si="141"/>
        <v>2.2429729940810061E-2</v>
      </c>
      <c r="W709" s="47">
        <v>0.29399999999999998</v>
      </c>
    </row>
    <row r="710" spans="2:23" x14ac:dyDescent="0.25">
      <c r="B710" s="49">
        <f t="shared" si="140"/>
        <v>8.7337126401822079E-16</v>
      </c>
      <c r="C710" s="49">
        <f t="shared" si="140"/>
        <v>3.7072472341207008E-14</v>
      </c>
      <c r="D710" s="49">
        <f t="shared" si="140"/>
        <v>7.797497301009571E-13</v>
      </c>
      <c r="E710" s="49">
        <f t="shared" si="140"/>
        <v>1.0835172603937834E-11</v>
      </c>
      <c r="F710" s="49">
        <f t="shared" si="140"/>
        <v>1.1190132402746254E-10</v>
      </c>
      <c r="G710" s="49">
        <f t="shared" si="140"/>
        <v>9.16165742906741E-10</v>
      </c>
      <c r="H710" s="49">
        <f t="shared" si="140"/>
        <v>6.1940682320649601E-9</v>
      </c>
      <c r="I710" s="49">
        <f t="shared" si="140"/>
        <v>3.5569183556835166E-8</v>
      </c>
      <c r="J710" s="49">
        <f t="shared" si="140"/>
        <v>1.7710266811985964E-7</v>
      </c>
      <c r="K710" s="49">
        <f t="shared" si="140"/>
        <v>7.7674105502479178E-7</v>
      </c>
      <c r="L710" s="49">
        <f t="shared" si="141"/>
        <v>3.0383316136904458E-6</v>
      </c>
      <c r="M710" s="49">
        <f t="shared" si="141"/>
        <v>1.0707446125500976E-5</v>
      </c>
      <c r="N710" s="49">
        <f t="shared" si="141"/>
        <v>3.4281466345093089E-5</v>
      </c>
      <c r="O710" s="49">
        <f t="shared" si="141"/>
        <v>1.0041944123852201E-4</v>
      </c>
      <c r="P710" s="49">
        <f t="shared" si="141"/>
        <v>2.7076008494562637E-4</v>
      </c>
      <c r="Q710" s="49">
        <f t="shared" si="141"/>
        <v>6.7552224350094989E-4</v>
      </c>
      <c r="R710" s="49">
        <f t="shared" si="141"/>
        <v>1.5667147500987516E-3</v>
      </c>
      <c r="S710" s="49">
        <f t="shared" si="141"/>
        <v>3.3917565823475835E-3</v>
      </c>
      <c r="T710" s="49">
        <f t="shared" si="141"/>
        <v>6.8795246420797198E-3</v>
      </c>
      <c r="U710" s="49">
        <f t="shared" si="141"/>
        <v>1.3117954347618992E-2</v>
      </c>
      <c r="V710" s="49">
        <f t="shared" si="141"/>
        <v>2.3589143385868795E-2</v>
      </c>
      <c r="W710" s="47">
        <v>0.29299999999999998</v>
      </c>
    </row>
    <row r="711" spans="2:23" x14ac:dyDescent="0.25">
      <c r="B711" s="49">
        <f t="shared" si="140"/>
        <v>1.0059742565488987E-15</v>
      </c>
      <c r="C711" s="49">
        <f t="shared" si="140"/>
        <v>4.2500143126830723E-14</v>
      </c>
      <c r="D711" s="49">
        <f t="shared" si="140"/>
        <v>8.8970945665394953E-13</v>
      </c>
      <c r="E711" s="49">
        <f t="shared" si="140"/>
        <v>1.2305138637419866E-11</v>
      </c>
      <c r="F711" s="49">
        <f t="shared" si="140"/>
        <v>1.2648747840548673E-10</v>
      </c>
      <c r="G711" s="49">
        <f t="shared" si="140"/>
        <v>1.0307475762355454E-9</v>
      </c>
      <c r="H711" s="49">
        <f t="shared" si="140"/>
        <v>6.936254347822117E-9</v>
      </c>
      <c r="I711" s="49">
        <f t="shared" si="140"/>
        <v>3.9645963648795177E-8</v>
      </c>
      <c r="J711" s="49">
        <f t="shared" si="140"/>
        <v>1.9648623838898579E-7</v>
      </c>
      <c r="K711" s="49">
        <f t="shared" si="140"/>
        <v>8.5777190579638918E-7</v>
      </c>
      <c r="L711" s="49">
        <f t="shared" si="141"/>
        <v>3.3398471859293846E-6</v>
      </c>
      <c r="M711" s="49">
        <f t="shared" si="141"/>
        <v>1.1716055505830464E-5</v>
      </c>
      <c r="N711" s="49">
        <f t="shared" si="141"/>
        <v>3.7339480275302116E-5</v>
      </c>
      <c r="O711" s="49">
        <f t="shared" si="141"/>
        <v>1.0888059302642299E-4</v>
      </c>
      <c r="P711" s="49">
        <f t="shared" si="141"/>
        <v>2.9224893245317077E-4</v>
      </c>
      <c r="Q711" s="49">
        <f t="shared" si="141"/>
        <v>7.2586686834528178E-4</v>
      </c>
      <c r="R711" s="49">
        <f t="shared" si="141"/>
        <v>1.6759905078457663E-3</v>
      </c>
      <c r="S711" s="49">
        <f t="shared" si="141"/>
        <v>3.6123352494445778E-3</v>
      </c>
      <c r="T711" s="49">
        <f t="shared" si="141"/>
        <v>7.2949705272292494E-3</v>
      </c>
      <c r="U711" s="49">
        <f t="shared" si="141"/>
        <v>1.3850196257744182E-2</v>
      </c>
      <c r="V711" s="49">
        <f t="shared" si="141"/>
        <v>2.4800082680745711E-2</v>
      </c>
      <c r="W711" s="47">
        <v>0.29199999999999998</v>
      </c>
    </row>
    <row r="712" spans="2:23" x14ac:dyDescent="0.25">
      <c r="B712" s="49">
        <f t="shared" si="140"/>
        <v>1.1584790529106293E-15</v>
      </c>
      <c r="C712" s="49">
        <f t="shared" si="140"/>
        <v>4.8712306458355546E-14</v>
      </c>
      <c r="D712" s="49">
        <f t="shared" si="140"/>
        <v>1.0149549793562949E-12</v>
      </c>
      <c r="E712" s="49">
        <f t="shared" si="140"/>
        <v>1.3971369016249036E-11</v>
      </c>
      <c r="F712" s="49">
        <f t="shared" si="140"/>
        <v>1.4294133639231687E-10</v>
      </c>
      <c r="G712" s="49">
        <f t="shared" si="140"/>
        <v>1.1593774654555974E-9</v>
      </c>
      <c r="H712" s="49">
        <f t="shared" si="140"/>
        <v>7.7654139689370751E-9</v>
      </c>
      <c r="I712" s="49">
        <f t="shared" si="140"/>
        <v>4.4178505200262523E-8</v>
      </c>
      <c r="J712" s="49">
        <f t="shared" si="140"/>
        <v>2.1793278996507723E-7</v>
      </c>
      <c r="K712" s="49">
        <f t="shared" si="140"/>
        <v>9.4699417953212542E-7</v>
      </c>
      <c r="L712" s="49">
        <f t="shared" si="141"/>
        <v>3.6702409366258289E-6</v>
      </c>
      <c r="M712" s="49">
        <f t="shared" si="141"/>
        <v>1.2815932883486023E-5</v>
      </c>
      <c r="N712" s="49">
        <f t="shared" si="141"/>
        <v>4.0658118531670965E-5</v>
      </c>
      <c r="O712" s="49">
        <f t="shared" si="141"/>
        <v>1.1801855046857542E-4</v>
      </c>
      <c r="P712" s="49">
        <f t="shared" si="141"/>
        <v>3.153446765031609E-4</v>
      </c>
      <c r="Q712" s="49">
        <f t="shared" si="141"/>
        <v>7.7971506106314179E-4</v>
      </c>
      <c r="R712" s="49">
        <f t="shared" si="141"/>
        <v>1.7923069309019623E-3</v>
      </c>
      <c r="S712" s="49">
        <f t="shared" si="141"/>
        <v>3.8459928477528093E-3</v>
      </c>
      <c r="T712" s="49">
        <f t="shared" si="141"/>
        <v>7.7329260937356982E-3</v>
      </c>
      <c r="U712" s="49">
        <f t="shared" si="141"/>
        <v>1.4618387513973386E-2</v>
      </c>
      <c r="V712" s="49">
        <f t="shared" si="141"/>
        <v>2.606434250730778E-2</v>
      </c>
      <c r="W712" s="47">
        <v>0.29099999999999998</v>
      </c>
    </row>
    <row r="713" spans="2:23" x14ac:dyDescent="0.25">
      <c r="B713" s="49">
        <f t="shared" ref="B713:K722" si="142">_xlfn.HYPGEOM.DIST(B$2,comau,tongtheN*$W713,tongtheN,TRUE)</f>
        <v>1.3338380374476425E-15</v>
      </c>
      <c r="C713" s="49">
        <f t="shared" si="142"/>
        <v>5.5820877849794524E-14</v>
      </c>
      <c r="D713" s="49">
        <f t="shared" si="142"/>
        <v>1.1575802946594976E-12</v>
      </c>
      <c r="E713" s="49">
        <f t="shared" si="142"/>
        <v>1.5859640351587746E-11</v>
      </c>
      <c r="F713" s="49">
        <f t="shared" si="142"/>
        <v>1.6149766440775815E-10</v>
      </c>
      <c r="G713" s="49">
        <f t="shared" si="142"/>
        <v>1.3037422063854116E-9</v>
      </c>
      <c r="H713" s="49">
        <f t="shared" si="142"/>
        <v>8.6915021219206546E-9</v>
      </c>
      <c r="I713" s="49">
        <f t="shared" si="142"/>
        <v>4.9216421200175935E-8</v>
      </c>
      <c r="J713" s="49">
        <f t="shared" si="142"/>
        <v>2.4165534936588348E-7</v>
      </c>
      <c r="K713" s="49">
        <f t="shared" si="142"/>
        <v>1.045207931351657E-6</v>
      </c>
      <c r="L713" s="49">
        <f t="shared" ref="L713:V722" si="143">_xlfn.HYPGEOM.DIST(L$2,comau,tongtheN*$W713,tongtheN,TRUE)</f>
        <v>4.0321719365588232E-6</v>
      </c>
      <c r="M713" s="49">
        <f t="shared" si="143"/>
        <v>1.4014971502954453E-5</v>
      </c>
      <c r="N713" s="49">
        <f t="shared" si="143"/>
        <v>4.4258460561451378E-5</v>
      </c>
      <c r="O713" s="49">
        <f t="shared" si="143"/>
        <v>1.2788425079002797E-4</v>
      </c>
      <c r="P713" s="49">
        <f t="shared" si="143"/>
        <v>3.4015918566706233E-4</v>
      </c>
      <c r="Q713" s="49">
        <f t="shared" si="143"/>
        <v>8.372908378450534E-4</v>
      </c>
      <c r="R713" s="49">
        <f t="shared" si="143"/>
        <v>1.9160738713665886E-3</v>
      </c>
      <c r="S713" s="49">
        <f t="shared" si="143"/>
        <v>4.0934149359721601E-3</v>
      </c>
      <c r="T713" s="49">
        <f t="shared" si="143"/>
        <v>8.1944386835513649E-3</v>
      </c>
      <c r="U713" s="49">
        <f t="shared" si="143"/>
        <v>1.5423984447129403E-2</v>
      </c>
      <c r="V713" s="49">
        <f t="shared" si="143"/>
        <v>2.7383752366230339E-2</v>
      </c>
      <c r="W713" s="47">
        <v>0.28999999999999998</v>
      </c>
    </row>
    <row r="714" spans="2:23" x14ac:dyDescent="0.25">
      <c r="B714" s="49">
        <f t="shared" si="142"/>
        <v>1.5354364574573804E-15</v>
      </c>
      <c r="C714" s="49">
        <f t="shared" si="142"/>
        <v>6.3953528037027052E-14</v>
      </c>
      <c r="D714" s="49">
        <f t="shared" si="142"/>
        <v>1.3199619786259417E-12</v>
      </c>
      <c r="E714" s="49">
        <f t="shared" si="142"/>
        <v>1.7999057557721233E-11</v>
      </c>
      <c r="F714" s="49">
        <f t="shared" si="142"/>
        <v>1.8242017445135786E-10</v>
      </c>
      <c r="G714" s="49">
        <f t="shared" si="142"/>
        <v>1.4657267364355503E-9</v>
      </c>
      <c r="H714" s="49">
        <f t="shared" si="142"/>
        <v>9.7255851089618044E-9</v>
      </c>
      <c r="I714" s="49">
        <f t="shared" si="142"/>
        <v>5.481457268990878E-8</v>
      </c>
      <c r="J714" s="49">
        <f t="shared" si="142"/>
        <v>2.6788822663009809E-7</v>
      </c>
      <c r="K714" s="49">
        <f t="shared" si="142"/>
        <v>1.1532884315726181E-6</v>
      </c>
      <c r="L714" s="49">
        <f t="shared" si="143"/>
        <v>4.4285334580020202E-6</v>
      </c>
      <c r="M714" s="49">
        <f t="shared" si="143"/>
        <v>1.5321712555594713E-5</v>
      </c>
      <c r="N714" s="49">
        <f t="shared" si="143"/>
        <v>4.8163188534196731E-5</v>
      </c>
      <c r="O714" s="49">
        <f t="shared" si="143"/>
        <v>1.3853219095480931E-4</v>
      </c>
      <c r="P714" s="49">
        <f t="shared" si="143"/>
        <v>3.6681144504980705E-4</v>
      </c>
      <c r="Q714" s="49">
        <f t="shared" si="143"/>
        <v>8.9883102422421411E-4</v>
      </c>
      <c r="R714" s="49">
        <f t="shared" si="143"/>
        <v>2.0477218865116859E-3</v>
      </c>
      <c r="S714" s="49">
        <f t="shared" si="143"/>
        <v>4.3553169193803866E-3</v>
      </c>
      <c r="T714" s="49">
        <f t="shared" si="143"/>
        <v>8.6805934310518595E-3</v>
      </c>
      <c r="U714" s="49">
        <f t="shared" si="143"/>
        <v>1.6268484033848448E-2</v>
      </c>
      <c r="V714" s="49">
        <f t="shared" si="143"/>
        <v>2.8760175682233529E-2</v>
      </c>
      <c r="W714" s="47">
        <v>0.28899999999999998</v>
      </c>
    </row>
    <row r="715" spans="2:23" x14ac:dyDescent="0.25">
      <c r="B715" s="49">
        <f t="shared" si="142"/>
        <v>1.767155139401334E-15</v>
      </c>
      <c r="C715" s="49">
        <f t="shared" si="142"/>
        <v>7.3255871198156028E-14</v>
      </c>
      <c r="D715" s="49">
        <f t="shared" si="142"/>
        <v>1.5047967369211458E-12</v>
      </c>
      <c r="E715" s="49">
        <f t="shared" si="142"/>
        <v>2.0422476096972438E-11</v>
      </c>
      <c r="F715" s="49">
        <f t="shared" si="142"/>
        <v>2.0600502156034609E-10</v>
      </c>
      <c r="G715" s="49">
        <f t="shared" si="142"/>
        <v>1.647436874743516E-9</v>
      </c>
      <c r="H715" s="49">
        <f t="shared" si="142"/>
        <v>1.0879961271462317E-8</v>
      </c>
      <c r="I715" s="49">
        <f t="shared" si="142"/>
        <v>6.1033606844140332E-8</v>
      </c>
      <c r="J715" s="49">
        <f t="shared" si="142"/>
        <v>2.9688906553103519E-7</v>
      </c>
      <c r="K715" s="49">
        <f t="shared" si="142"/>
        <v>1.272192938852944E-6</v>
      </c>
      <c r="L715" s="49">
        <f t="shared" si="143"/>
        <v>4.8624725704331471E-6</v>
      </c>
      <c r="M715" s="49">
        <f t="shared" si="143"/>
        <v>1.6745395173240942E-5</v>
      </c>
      <c r="N715" s="49">
        <f t="shared" si="143"/>
        <v>5.2396700278497331E-5</v>
      </c>
      <c r="O715" s="49">
        <f t="shared" si="143"/>
        <v>1.5002065382380158E-4</v>
      </c>
      <c r="P715" s="49">
        <f t="shared" si="143"/>
        <v>3.9542795667112308E-4</v>
      </c>
      <c r="Q715" s="49">
        <f t="shared" si="143"/>
        <v>9.6458587632326689E-4</v>
      </c>
      <c r="R715" s="49">
        <f t="shared" si="143"/>
        <v>2.1877030668120559E-3</v>
      </c>
      <c r="S715" s="49">
        <f t="shared" si="143"/>
        <v>4.6324449529697069E-3</v>
      </c>
      <c r="T715" s="49">
        <f t="shared" si="143"/>
        <v>9.1925139544197284E-3</v>
      </c>
      <c r="U715" s="49">
        <f t="shared" si="143"/>
        <v>1.7153423957409906E-2</v>
      </c>
      <c r="V715" s="49">
        <f t="shared" si="143"/>
        <v>3.0195508797938791E-2</v>
      </c>
      <c r="W715" s="47">
        <v>0.28799999999999998</v>
      </c>
    </row>
    <row r="716" spans="2:23" x14ac:dyDescent="0.25">
      <c r="B716" s="49">
        <f t="shared" si="142"/>
        <v>2.0334421838450944E-15</v>
      </c>
      <c r="C716" s="49">
        <f t="shared" si="142"/>
        <v>8.3893952939091959E-14</v>
      </c>
      <c r="D716" s="49">
        <f t="shared" si="142"/>
        <v>1.7151438660404363E-12</v>
      </c>
      <c r="E716" s="49">
        <f t="shared" si="142"/>
        <v>2.3166976819707661E-11</v>
      </c>
      <c r="F716" s="49">
        <f t="shared" si="142"/>
        <v>2.3258471496972855E-10</v>
      </c>
      <c r="G716" s="49">
        <f t="shared" si="142"/>
        <v>1.8512246082256879E-9</v>
      </c>
      <c r="H716" s="49">
        <f t="shared" si="142"/>
        <v>1.21682945008972E-8</v>
      </c>
      <c r="I716" s="49">
        <f t="shared" si="142"/>
        <v>6.7940548355708536E-8</v>
      </c>
      <c r="J716" s="49">
        <f t="shared" si="142"/>
        <v>3.2894108333452247E-7</v>
      </c>
      <c r="K716" s="49">
        <f t="shared" si="142"/>
        <v>1.402968053672656E-6</v>
      </c>
      <c r="L716" s="49">
        <f t="shared" si="143"/>
        <v>5.337411278543909E-6</v>
      </c>
      <c r="M716" s="49">
        <f t="shared" si="143"/>
        <v>1.8296009993677451E-5</v>
      </c>
      <c r="N716" s="49">
        <f t="shared" si="143"/>
        <v>5.6985229422962816E-5</v>
      </c>
      <c r="O716" s="49">
        <f t="shared" si="143"/>
        <v>1.624119468762096E-4</v>
      </c>
      <c r="P716" s="49">
        <f t="shared" si="143"/>
        <v>4.2614315842945226E-4</v>
      </c>
      <c r="Q716" s="49">
        <f t="shared" si="143"/>
        <v>1.0348197243100362E-3</v>
      </c>
      <c r="R716" s="49">
        <f t="shared" si="143"/>
        <v>2.3364918823239357E-3</v>
      </c>
      <c r="S716" s="49">
        <f t="shared" si="143"/>
        <v>4.9255768460220971E-3</v>
      </c>
      <c r="T716" s="49">
        <f t="shared" si="143"/>
        <v>9.731363015948782E-3</v>
      </c>
      <c r="U716" s="49">
        <f t="shared" si="143"/>
        <v>1.8080382593986422E-2</v>
      </c>
      <c r="V716" s="49">
        <f t="shared" si="143"/>
        <v>3.1691679852708668E-2</v>
      </c>
      <c r="W716" s="47">
        <v>0.28699999999999998</v>
      </c>
    </row>
    <row r="717" spans="2:23" x14ac:dyDescent="0.25">
      <c r="B717" s="49">
        <f t="shared" si="142"/>
        <v>2.3393949091423089E-15</v>
      </c>
      <c r="C717" s="49">
        <f t="shared" si="142"/>
        <v>9.6057078537111061E-14</v>
      </c>
      <c r="D717" s="49">
        <f t="shared" si="142"/>
        <v>1.9544732576986686E-12</v>
      </c>
      <c r="E717" s="49">
        <f t="shared" si="142"/>
        <v>2.6274399826523931E-11</v>
      </c>
      <c r="F717" s="49">
        <f t="shared" si="142"/>
        <v>2.6253249082066538E-10</v>
      </c>
      <c r="G717" s="49">
        <f t="shared" si="142"/>
        <v>2.0797162010815547E-9</v>
      </c>
      <c r="H717" s="49">
        <f t="shared" si="142"/>
        <v>1.3605761800365936E-8</v>
      </c>
      <c r="I717" s="49">
        <f t="shared" si="142"/>
        <v>7.5609449205358373E-8</v>
      </c>
      <c r="J717" s="49">
        <f t="shared" si="142"/>
        <v>3.6435551681489795E-7</v>
      </c>
      <c r="K717" s="49">
        <f t="shared" si="142"/>
        <v>1.5467576990189824E-6</v>
      </c>
      <c r="L717" s="49">
        <f t="shared" si="143"/>
        <v>5.857069315022592E-6</v>
      </c>
      <c r="M717" s="49">
        <f t="shared" si="143"/>
        <v>1.9984356528422261E-5</v>
      </c>
      <c r="N717" s="49">
        <f t="shared" si="143"/>
        <v>6.1956973139144924E-5</v>
      </c>
      <c r="O717" s="49">
        <f t="shared" si="143"/>
        <v>1.7577265405223621E-4</v>
      </c>
      <c r="P717" s="49">
        <f t="shared" si="143"/>
        <v>4.5909986221875123E-4</v>
      </c>
      <c r="Q717" s="49">
        <f t="shared" si="143"/>
        <v>1.1098116382872393E-3</v>
      </c>
      <c r="R717" s="49">
        <f t="shared" si="143"/>
        <v>2.4945860467518875E-3</v>
      </c>
      <c r="S717" s="49">
        <f t="shared" si="143"/>
        <v>5.2355229660640728E-3</v>
      </c>
      <c r="T717" s="49">
        <f t="shared" si="143"/>
        <v>1.029834314770599E-2</v>
      </c>
      <c r="U717" s="49">
        <f t="shared" si="143"/>
        <v>1.9050978919961686E-2</v>
      </c>
      <c r="V717" s="49">
        <f t="shared" si="143"/>
        <v>3.3250647542944822E-2</v>
      </c>
      <c r="W717" s="47">
        <v>0.28599999999999998</v>
      </c>
    </row>
    <row r="718" spans="2:23" x14ac:dyDescent="0.25">
      <c r="B718" s="49">
        <f t="shared" si="142"/>
        <v>2.6911671468201502E-15</v>
      </c>
      <c r="C718" s="49">
        <f t="shared" si="142"/>
        <v>1.0997340603253764E-13</v>
      </c>
      <c r="D718" s="49">
        <f t="shared" si="142"/>
        <v>2.2269614584751408E-12</v>
      </c>
      <c r="E718" s="49">
        <f t="shared" si="142"/>
        <v>2.9795061219123616E-11</v>
      </c>
      <c r="F718" s="49">
        <f t="shared" si="142"/>
        <v>2.9629701803166377E-10</v>
      </c>
      <c r="G718" s="49">
        <f t="shared" si="142"/>
        <v>2.3360692833218E-9</v>
      </c>
      <c r="H718" s="49">
        <f t="shared" si="142"/>
        <v>1.5210626826483233E-8</v>
      </c>
      <c r="I718" s="49">
        <f t="shared" si="142"/>
        <v>8.4129572587348973E-8</v>
      </c>
      <c r="J718" s="49">
        <f t="shared" si="142"/>
        <v>4.0350853835971508E-7</v>
      </c>
      <c r="K718" s="49">
        <f t="shared" si="142"/>
        <v>1.7049498101427018E-6</v>
      </c>
      <c r="L718" s="49">
        <f t="shared" si="143"/>
        <v>6.4259839207757645E-6</v>
      </c>
      <c r="M718" s="49">
        <f t="shared" si="143"/>
        <v>2.1823701773328855E-5</v>
      </c>
      <c r="N718" s="49">
        <f t="shared" si="143"/>
        <v>6.7346896941268019E-5</v>
      </c>
      <c r="O718" s="49">
        <f t="shared" si="143"/>
        <v>1.9018635702333639E-4</v>
      </c>
      <c r="P718" s="49">
        <f t="shared" si="143"/>
        <v>4.9448021204389714E-4</v>
      </c>
      <c r="Q718" s="49">
        <f t="shared" si="143"/>
        <v>1.1899250127618978E-3</v>
      </c>
      <c r="R718" s="49">
        <f t="shared" si="143"/>
        <v>2.6626515812952709E-3</v>
      </c>
      <c r="S718" s="49">
        <f t="shared" si="143"/>
        <v>5.563407748948126E-3</v>
      </c>
      <c r="T718" s="49">
        <f t="shared" si="143"/>
        <v>1.0895206804134777E-2</v>
      </c>
      <c r="U718" s="49">
        <f t="shared" si="143"/>
        <v>2.0067738273191114E-2</v>
      </c>
      <c r="V718" s="49">
        <f t="shared" si="143"/>
        <v>3.4875780462089001E-2</v>
      </c>
      <c r="W718" s="47">
        <v>0.28499999999999998</v>
      </c>
    </row>
    <row r="719" spans="2:23" x14ac:dyDescent="0.25">
      <c r="B719" s="49">
        <f t="shared" si="142"/>
        <v>3.0948681527949705E-15</v>
      </c>
      <c r="C719" s="49">
        <f t="shared" si="142"/>
        <v>1.2586585129616943E-13</v>
      </c>
      <c r="D719" s="49">
        <f t="shared" si="142"/>
        <v>2.5366189541349599E-12</v>
      </c>
      <c r="E719" s="49">
        <f t="shared" si="142"/>
        <v>3.3776370939318765E-11</v>
      </c>
      <c r="F719" s="49">
        <f t="shared" si="142"/>
        <v>3.3429234518043207E-10</v>
      </c>
      <c r="G719" s="49">
        <f t="shared" si="142"/>
        <v>2.623131389113075E-9</v>
      </c>
      <c r="H719" s="49">
        <f t="shared" si="142"/>
        <v>1.6998940271302975E-8</v>
      </c>
      <c r="I719" s="49">
        <f t="shared" si="142"/>
        <v>9.3577114281103509E-8</v>
      </c>
      <c r="J719" s="49">
        <f t="shared" si="142"/>
        <v>4.4671075392618393E-7</v>
      </c>
      <c r="K719" s="49">
        <f t="shared" si="142"/>
        <v>1.8786472268551921E-6</v>
      </c>
      <c r="L719" s="49">
        <f t="shared" si="143"/>
        <v>7.047601690884006E-6</v>
      </c>
      <c r="M719" s="49">
        <f t="shared" si="143"/>
        <v>2.3823597672334176E-5</v>
      </c>
      <c r="N719" s="49">
        <f t="shared" si="143"/>
        <v>7.3178588667780655E-5</v>
      </c>
      <c r="O719" s="49">
        <f t="shared" si="143"/>
        <v>2.0570505554484952E-4</v>
      </c>
      <c r="P719" s="49">
        <f t="shared" si="143"/>
        <v>5.3238635923541738E-4</v>
      </c>
      <c r="Q719" s="49">
        <f t="shared" si="143"/>
        <v>1.2753372975428841E-3</v>
      </c>
      <c r="R719" s="49">
        <f t="shared" si="143"/>
        <v>2.8409558605278005E-3</v>
      </c>
      <c r="S719" s="49">
        <f t="shared" si="143"/>
        <v>5.9095639818098856E-3</v>
      </c>
      <c r="T719" s="49">
        <f t="shared" si="143"/>
        <v>1.1522244741033357E-2</v>
      </c>
      <c r="U719" s="49">
        <f t="shared" si="143"/>
        <v>2.1130668223834203E-2</v>
      </c>
      <c r="V719" s="49">
        <f t="shared" si="143"/>
        <v>3.6566389322025279E-2</v>
      </c>
      <c r="W719" s="47">
        <v>0.28399999999999997</v>
      </c>
    </row>
    <row r="720" spans="2:23" x14ac:dyDescent="0.25">
      <c r="B720" s="49">
        <f t="shared" si="142"/>
        <v>3.5584339359514008E-15</v>
      </c>
      <c r="C720" s="49">
        <f t="shared" si="142"/>
        <v>1.440254567041399E-13</v>
      </c>
      <c r="D720" s="49">
        <f t="shared" si="142"/>
        <v>2.8887152228708576E-12</v>
      </c>
      <c r="E720" s="49">
        <f t="shared" si="142"/>
        <v>3.828111303846857E-11</v>
      </c>
      <c r="F720" s="49">
        <f t="shared" si="142"/>
        <v>3.7707210073260256E-10</v>
      </c>
      <c r="G720" s="49">
        <f t="shared" si="142"/>
        <v>2.9447551448436453E-9</v>
      </c>
      <c r="H720" s="49">
        <f t="shared" si="142"/>
        <v>1.8992733132115796E-8</v>
      </c>
      <c r="I720" s="49">
        <f t="shared" si="142"/>
        <v>1.0405851570755459E-7</v>
      </c>
      <c r="J720" s="49">
        <f t="shared" si="142"/>
        <v>4.9440551733449372E-7</v>
      </c>
      <c r="K720" s="49">
        <f t="shared" si="142"/>
        <v>2.0694664751950733E-6</v>
      </c>
      <c r="L720" s="49">
        <f t="shared" si="143"/>
        <v>7.7271438165133611E-6</v>
      </c>
      <c r="M720" s="49">
        <f t="shared" si="143"/>
        <v>2.5999124759524719E-5</v>
      </c>
      <c r="N720" s="49">
        <f t="shared" si="143"/>
        <v>7.9491298183451646E-5</v>
      </c>
      <c r="O720" s="49">
        <f t="shared" si="143"/>
        <v>2.2242137588611587E-4</v>
      </c>
      <c r="P720" s="49">
        <f t="shared" si="143"/>
        <v>5.7301751491709604E-4</v>
      </c>
      <c r="Q720" s="49">
        <f t="shared" si="143"/>
        <v>1.3664405772231842E-3</v>
      </c>
      <c r="R720" s="49">
        <f t="shared" si="143"/>
        <v>3.0302074693369877E-3</v>
      </c>
      <c r="S720" s="49">
        <f t="shared" si="143"/>
        <v>6.275170652723038E-3</v>
      </c>
      <c r="T720" s="49">
        <f t="shared" si="143"/>
        <v>1.218126674307946E-2</v>
      </c>
      <c r="U720" s="49">
        <f t="shared" si="143"/>
        <v>2.2242335656829152E-2</v>
      </c>
      <c r="V720" s="49">
        <f t="shared" si="143"/>
        <v>3.8325841715627369E-2</v>
      </c>
      <c r="W720" s="47">
        <v>0.28299999999999997</v>
      </c>
    </row>
    <row r="721" spans="2:23" x14ac:dyDescent="0.25">
      <c r="B721" s="49">
        <f t="shared" si="142"/>
        <v>4.0906391889403499E-15</v>
      </c>
      <c r="C721" s="49">
        <f t="shared" si="142"/>
        <v>1.6477142819444551E-13</v>
      </c>
      <c r="D721" s="49">
        <f t="shared" si="142"/>
        <v>3.288980923779855E-12</v>
      </c>
      <c r="E721" s="49">
        <f t="shared" si="142"/>
        <v>4.3376961102013561E-11</v>
      </c>
      <c r="F721" s="49">
        <f t="shared" si="142"/>
        <v>4.2522743719274076E-10</v>
      </c>
      <c r="G721" s="49">
        <f t="shared" si="142"/>
        <v>3.3050133047886463E-9</v>
      </c>
      <c r="H721" s="49">
        <f t="shared" si="142"/>
        <v>2.121504665207592E-8</v>
      </c>
      <c r="I721" s="49">
        <f t="shared" si="142"/>
        <v>1.1568381735280899E-7</v>
      </c>
      <c r="J721" s="49">
        <f t="shared" si="142"/>
        <v>5.4704542990001714E-7</v>
      </c>
      <c r="K721" s="49">
        <f t="shared" si="142"/>
        <v>2.2790350816219502E-6</v>
      </c>
      <c r="L721" s="49">
        <f t="shared" si="143"/>
        <v>8.4697866820545205E-6</v>
      </c>
      <c r="M721" s="49">
        <f t="shared" si="143"/>
        <v>2.8364977494432719E-5</v>
      </c>
      <c r="N721" s="49">
        <f t="shared" si="143"/>
        <v>8.6322523380478474E-5</v>
      </c>
      <c r="O721" s="49">
        <f t="shared" si="143"/>
        <v>2.4042181361186445E-4</v>
      </c>
      <c r="P721" s="49">
        <f t="shared" si="143"/>
        <v>6.1655477961682417E-4</v>
      </c>
      <c r="Q721" s="49">
        <f t="shared" si="143"/>
        <v>1.4635800094316069E-3</v>
      </c>
      <c r="R721" s="49">
        <f t="shared" si="143"/>
        <v>3.2310060843145929E-3</v>
      </c>
      <c r="S721" s="49">
        <f t="shared" si="143"/>
        <v>6.661177339468481E-3</v>
      </c>
      <c r="T721" s="49">
        <f t="shared" si="143"/>
        <v>1.2873639887976103E-2</v>
      </c>
      <c r="U721" s="49">
        <f t="shared" si="143"/>
        <v>2.3404519321961921E-2</v>
      </c>
      <c r="V721" s="49">
        <f t="shared" si="143"/>
        <v>4.015620370415611E-2</v>
      </c>
      <c r="W721" s="47">
        <v>0.28199999999999997</v>
      </c>
    </row>
    <row r="722" spans="2:23" x14ac:dyDescent="0.25">
      <c r="B722" s="49">
        <f t="shared" si="142"/>
        <v>4.7009848407698802E-15</v>
      </c>
      <c r="C722" s="49">
        <f t="shared" si="142"/>
        <v>1.8844623241873852E-13</v>
      </c>
      <c r="D722" s="49">
        <f t="shared" si="142"/>
        <v>3.7435050244849965E-12</v>
      </c>
      <c r="E722" s="49">
        <f t="shared" si="142"/>
        <v>4.9135083983323984E-11</v>
      </c>
      <c r="F722" s="49">
        <f t="shared" si="142"/>
        <v>4.7937323990581011E-10</v>
      </c>
      <c r="G722" s="49">
        <f t="shared" si="142"/>
        <v>3.7080922531365639E-9</v>
      </c>
      <c r="H722" s="49">
        <f t="shared" si="142"/>
        <v>2.3689262205260685E-8</v>
      </c>
      <c r="I722" s="49">
        <f t="shared" si="142"/>
        <v>1.2856311995081113E-7</v>
      </c>
      <c r="J722" s="49">
        <f t="shared" si="142"/>
        <v>6.0507631393938154E-7</v>
      </c>
      <c r="K722" s="49">
        <f t="shared" si="142"/>
        <v>2.5089283010430999E-6</v>
      </c>
      <c r="L722" s="49">
        <f t="shared" si="143"/>
        <v>9.2804412938097905E-6</v>
      </c>
      <c r="M722" s="49">
        <f t="shared" si="143"/>
        <v>3.0934778287393828E-5</v>
      </c>
      <c r="N722" s="49">
        <f t="shared" si="143"/>
        <v>9.3706091024739612E-5</v>
      </c>
      <c r="O722" s="49">
        <f t="shared" si="143"/>
        <v>2.5978187031604894E-4</v>
      </c>
      <c r="P722" s="49">
        <f t="shared" si="143"/>
        <v>6.6314991745691125E-4</v>
      </c>
      <c r="Q722" s="49">
        <f t="shared" si="143"/>
        <v>1.56703011099464E-3</v>
      </c>
      <c r="R722" s="49">
        <f t="shared" si="143"/>
        <v>3.4437964555921064E-3</v>
      </c>
      <c r="S722" s="49">
        <f t="shared" si="143"/>
        <v>7.0682219272321205E-3</v>
      </c>
      <c r="T722" s="49">
        <f t="shared" si="143"/>
        <v>1.3600152682108048E-2</v>
      </c>
      <c r="U722" s="49">
        <f t="shared" si="143"/>
        <v>2.4618002368898679E-2</v>
      </c>
      <c r="V722" s="49">
        <f t="shared" si="143"/>
        <v>4.2057946707420434E-2</v>
      </c>
      <c r="W722" s="47">
        <v>0.28100000000000003</v>
      </c>
    </row>
    <row r="723" spans="2:23" x14ac:dyDescent="0.25">
      <c r="B723" s="49">
        <f t="shared" ref="B723:K732" si="144">_xlfn.HYPGEOM.DIST(B$2,comau,tongtheN*$W723,tongtheN,TRUE)</f>
        <v>5.4019793090018965E-15</v>
      </c>
      <c r="C723" s="49">
        <f t="shared" si="144"/>
        <v>2.1550302651518313E-13</v>
      </c>
      <c r="D723" s="49">
        <f t="shared" si="144"/>
        <v>4.2603949438059232E-12</v>
      </c>
      <c r="E723" s="49">
        <f t="shared" si="144"/>
        <v>5.5650967054229637E-11</v>
      </c>
      <c r="F723" s="49">
        <f t="shared" si="144"/>
        <v>5.4034213979056628E-10</v>
      </c>
      <c r="G723" s="49">
        <f t="shared" si="144"/>
        <v>4.1597244437181931E-9</v>
      </c>
      <c r="H723" s="49">
        <f t="shared" si="144"/>
        <v>2.6447829078322405E-8</v>
      </c>
      <c r="I723" s="49">
        <f t="shared" si="144"/>
        <v>1.4285171552316483E-7</v>
      </c>
      <c r="J723" s="49">
        <f t="shared" si="144"/>
        <v>6.6913936199396281E-7</v>
      </c>
      <c r="K723" s="49">
        <f t="shared" si="144"/>
        <v>2.7614657502796719E-6</v>
      </c>
      <c r="L723" s="49">
        <f t="shared" ref="L723:V732" si="145">_xlfn.HYPGEOM.DIST(L$2,comau,tongtheN*$W723,tongtheN,TRUE)</f>
        <v>1.016654938548605E-5</v>
      </c>
      <c r="M723" s="49">
        <f t="shared" si="145"/>
        <v>3.3729905138711095E-5</v>
      </c>
      <c r="N723" s="49">
        <f t="shared" si="145"/>
        <v>1.0169742979391945E-4</v>
      </c>
      <c r="O723" s="49">
        <f t="shared" si="145"/>
        <v>2.8063211377065805E-4</v>
      </c>
      <c r="P723" s="49">
        <f t="shared" si="145"/>
        <v>7.1308391427067652E-4</v>
      </c>
      <c r="Q723" s="49">
        <f t="shared" si="145"/>
        <v>1.6773459504880477E-3</v>
      </c>
      <c r="R723" s="49">
        <f t="shared" si="145"/>
        <v>3.6695892878228962E-3</v>
      </c>
      <c r="S723" s="49">
        <f t="shared" si="145"/>
        <v>7.4980070625623937E-3</v>
      </c>
      <c r="T723" s="49">
        <f t="shared" si="145"/>
        <v>1.4363467866613303E-2</v>
      </c>
      <c r="U723" s="49">
        <f t="shared" si="145"/>
        <v>2.5886663337549968E-2</v>
      </c>
      <c r="V723" s="49">
        <f t="shared" si="145"/>
        <v>4.4036350446262966E-2</v>
      </c>
      <c r="W723" s="47">
        <v>0.28000000000000003</v>
      </c>
    </row>
    <row r="724" spans="2:23" x14ac:dyDescent="0.25">
      <c r="B724" s="49">
        <f t="shared" si="144"/>
        <v>6.2063061701565932E-15</v>
      </c>
      <c r="C724" s="49">
        <f t="shared" si="144"/>
        <v>2.4639459699035853E-13</v>
      </c>
      <c r="D724" s="49">
        <f t="shared" si="144"/>
        <v>4.8476237920753485E-12</v>
      </c>
      <c r="E724" s="49">
        <f t="shared" si="144"/>
        <v>6.3016908660080272E-11</v>
      </c>
      <c r="F724" s="49">
        <f t="shared" si="144"/>
        <v>6.0892396156859807E-10</v>
      </c>
      <c r="G724" s="49">
        <f t="shared" si="144"/>
        <v>4.6652361497569693E-9</v>
      </c>
      <c r="H724" s="49">
        <f t="shared" si="144"/>
        <v>2.9520213210223245E-8</v>
      </c>
      <c r="I724" s="49">
        <f t="shared" si="144"/>
        <v>1.5868704886643785E-7</v>
      </c>
      <c r="J724" s="49">
        <f t="shared" si="144"/>
        <v>7.3978590792740802E-7</v>
      </c>
      <c r="K724" s="49">
        <f t="shared" si="144"/>
        <v>3.0385774061974468E-6</v>
      </c>
      <c r="L724" s="49">
        <f t="shared" si="145"/>
        <v>1.1134072558173085E-5</v>
      </c>
      <c r="M724" s="49">
        <f t="shared" si="145"/>
        <v>3.676674481049846E-5</v>
      </c>
      <c r="N724" s="49">
        <f t="shared" si="145"/>
        <v>1.1033686899199652E-4</v>
      </c>
      <c r="O724" s="49">
        <f t="shared" si="145"/>
        <v>3.0306177995150299E-4</v>
      </c>
      <c r="P724" s="49">
        <f t="shared" si="145"/>
        <v>7.6653464881121106E-4</v>
      </c>
      <c r="Q724" s="49">
        <f t="shared" si="145"/>
        <v>1.7948467689470546E-3</v>
      </c>
      <c r="R724" s="49">
        <f t="shared" si="145"/>
        <v>3.9088981806127045E-3</v>
      </c>
      <c r="S724" s="49">
        <f t="shared" si="145"/>
        <v>7.9512653419302054E-3</v>
      </c>
      <c r="T724" s="49">
        <f t="shared" si="145"/>
        <v>1.5164488910243018E-2</v>
      </c>
      <c r="U724" s="49">
        <f t="shared" si="145"/>
        <v>2.7211405232679536E-2</v>
      </c>
      <c r="V724" s="49">
        <f t="shared" si="145"/>
        <v>4.6091986779787132E-2</v>
      </c>
      <c r="W724" s="47">
        <v>0.27900000000000003</v>
      </c>
    </row>
    <row r="725" spans="2:23" x14ac:dyDescent="0.25">
      <c r="B725" s="49">
        <f t="shared" si="144"/>
        <v>7.1290214778347596E-15</v>
      </c>
      <c r="C725" s="49">
        <f t="shared" si="144"/>
        <v>2.8165733958039676E-13</v>
      </c>
      <c r="D725" s="49">
        <f t="shared" si="144"/>
        <v>5.5146216330248042E-12</v>
      </c>
      <c r="E725" s="49">
        <f t="shared" si="144"/>
        <v>7.1341947403846134E-11</v>
      </c>
      <c r="F725" s="49">
        <f t="shared" si="144"/>
        <v>6.8605123084573275E-10</v>
      </c>
      <c r="G725" s="49">
        <f t="shared" si="144"/>
        <v>5.2309165102638164E-9</v>
      </c>
      <c r="H725" s="49">
        <f t="shared" si="144"/>
        <v>3.2941238964514478E-8</v>
      </c>
      <c r="I725" s="49">
        <f t="shared" si="144"/>
        <v>1.762318716695325E-7</v>
      </c>
      <c r="J725" s="49">
        <f t="shared" si="144"/>
        <v>8.176708776790472E-7</v>
      </c>
      <c r="K725" s="49">
        <f t="shared" si="144"/>
        <v>3.3425668215475371E-6</v>
      </c>
      <c r="L725" s="49">
        <f t="shared" si="145"/>
        <v>1.2190174862064671E-5</v>
      </c>
      <c r="M725" s="49">
        <f t="shared" si="145"/>
        <v>4.0065175972966156E-5</v>
      </c>
      <c r="N725" s="49">
        <f t="shared" si="145"/>
        <v>1.1967397004841049E-4</v>
      </c>
      <c r="O725" s="49">
        <f t="shared" si="145"/>
        <v>3.2718249970023884E-4</v>
      </c>
      <c r="P725" s="49">
        <f t="shared" si="145"/>
        <v>8.2373017720383977E-4</v>
      </c>
      <c r="Q725" s="49">
        <f t="shared" si="145"/>
        <v>1.9199562539467831E-3</v>
      </c>
      <c r="R725" s="49">
        <f t="shared" si="145"/>
        <v>4.1624397230183487E-3</v>
      </c>
      <c r="S725" s="49">
        <f t="shared" si="145"/>
        <v>8.4290992691149289E-3</v>
      </c>
      <c r="T725" s="49">
        <f t="shared" si="145"/>
        <v>1.6004753588977301E-2</v>
      </c>
      <c r="U725" s="49">
        <f t="shared" si="145"/>
        <v>2.8594157564146024E-2</v>
      </c>
      <c r="V725" s="49">
        <f t="shared" si="145"/>
        <v>4.8226998971634474E-2</v>
      </c>
      <c r="W725" s="47">
        <v>0.27800000000000002</v>
      </c>
    </row>
    <row r="726" spans="2:23" x14ac:dyDescent="0.25">
      <c r="B726" s="49">
        <f t="shared" si="144"/>
        <v>8.1873494604224683E-15</v>
      </c>
      <c r="C726" s="49">
        <f t="shared" si="144"/>
        <v>3.2190168069974358E-13</v>
      </c>
      <c r="D726" s="49">
        <f t="shared" si="144"/>
        <v>6.2720635644603953E-12</v>
      </c>
      <c r="E726" s="49">
        <f t="shared" si="144"/>
        <v>8.0748865436865737E-11</v>
      </c>
      <c r="F726" s="49">
        <f t="shared" si="144"/>
        <v>7.727684280735299E-10</v>
      </c>
      <c r="G726" s="49">
        <f t="shared" si="144"/>
        <v>5.863772011003698E-9</v>
      </c>
      <c r="H726" s="49">
        <f t="shared" si="144"/>
        <v>3.6749493630425217E-8</v>
      </c>
      <c r="I726" s="49">
        <f t="shared" si="144"/>
        <v>1.9566554089242311E-7</v>
      </c>
      <c r="J726" s="49">
        <f t="shared" si="144"/>
        <v>9.0351205324055779E-7</v>
      </c>
      <c r="K726" s="49">
        <f t="shared" si="144"/>
        <v>3.6759445966599308E-6</v>
      </c>
      <c r="L726" s="49">
        <f t="shared" si="145"/>
        <v>1.3342620245829737E-5</v>
      </c>
      <c r="M726" s="49">
        <f t="shared" si="145"/>
        <v>4.3646618352060699E-5</v>
      </c>
      <c r="N726" s="49">
        <f t="shared" si="145"/>
        <v>1.2976182394012505E-4</v>
      </c>
      <c r="O726" s="49">
        <f t="shared" si="145"/>
        <v>3.5311313563764701E-4</v>
      </c>
      <c r="P726" s="49">
        <f t="shared" si="145"/>
        <v>8.8491182397374064E-4</v>
      </c>
      <c r="Q726" s="49">
        <f t="shared" si="145"/>
        <v>2.0531198464002649E-3</v>
      </c>
      <c r="R726" s="49">
        <f t="shared" si="145"/>
        <v>4.4309621571191737E-3</v>
      </c>
      <c r="S726" s="49">
        <f t="shared" si="145"/>
        <v>8.9326515997131435E-3</v>
      </c>
      <c r="T726" s="49">
        <f t="shared" si="145"/>
        <v>1.6885842867842404E-2</v>
      </c>
      <c r="U726" s="49">
        <f t="shared" si="145"/>
        <v>3.0036885326238209E-2</v>
      </c>
      <c r="V726" s="49">
        <f t="shared" si="145"/>
        <v>5.0443543853562908E-2</v>
      </c>
      <c r="W726" s="47">
        <v>0.27700000000000002</v>
      </c>
    </row>
    <row r="727" spans="2:23" x14ac:dyDescent="0.25">
      <c r="B727" s="49">
        <f t="shared" si="144"/>
        <v>9.4009910818269415E-15</v>
      </c>
      <c r="C727" s="49">
        <f t="shared" si="144"/>
        <v>3.6782215628148746E-13</v>
      </c>
      <c r="D727" s="49">
        <f t="shared" si="144"/>
        <v>7.1320315271607148E-12</v>
      </c>
      <c r="E727" s="49">
        <f t="shared" si="144"/>
        <v>9.1375889436103614E-11</v>
      </c>
      <c r="F727" s="49">
        <f t="shared" si="144"/>
        <v>8.7024514805675946E-10</v>
      </c>
      <c r="G727" s="49">
        <f t="shared" si="144"/>
        <v>6.5716063157489889E-9</v>
      </c>
      <c r="H727" s="49">
        <f t="shared" si="144"/>
        <v>4.0987722476589017E-8</v>
      </c>
      <c r="I727" s="49">
        <f t="shared" si="144"/>
        <v>2.1718565647055636E-7</v>
      </c>
      <c r="J727" s="49">
        <f t="shared" si="144"/>
        <v>9.9809586721651598E-7</v>
      </c>
      <c r="K727" s="49">
        <f t="shared" si="144"/>
        <v>4.0414461126955118E-6</v>
      </c>
      <c r="L727" s="49">
        <f t="shared" si="145"/>
        <v>1.4599819933037182E-5</v>
      </c>
      <c r="M727" s="49">
        <f t="shared" si="145"/>
        <v>4.7534143870279638E-5</v>
      </c>
      <c r="N727" s="49">
        <f t="shared" si="145"/>
        <v>1.4065728068376378E-4</v>
      </c>
      <c r="O727" s="49">
        <f t="shared" si="145"/>
        <v>3.8098019854559625E-4</v>
      </c>
      <c r="P727" s="49">
        <f t="shared" si="145"/>
        <v>9.5033484059759766E-4</v>
      </c>
      <c r="Q727" s="49">
        <f t="shared" si="145"/>
        <v>2.1948056307882369E-3</v>
      </c>
      <c r="R727" s="49">
        <f t="shared" si="145"/>
        <v>4.7152463577626279E-3</v>
      </c>
      <c r="S727" s="49">
        <f t="shared" si="145"/>
        <v>9.4631060922685441E-3</v>
      </c>
      <c r="T727" s="49">
        <f t="shared" si="145"/>
        <v>1.780938095601961E-2</v>
      </c>
      <c r="U727" s="49">
        <f t="shared" si="145"/>
        <v>3.1541587873270535E-2</v>
      </c>
      <c r="V727" s="49">
        <f t="shared" si="145"/>
        <v>5.274378924678793E-2</v>
      </c>
      <c r="W727" s="47">
        <v>0.27600000000000002</v>
      </c>
    </row>
    <row r="728" spans="2:23" x14ac:dyDescent="0.25">
      <c r="B728" s="49">
        <f t="shared" si="144"/>
        <v>1.0792475993651601E-14</v>
      </c>
      <c r="C728" s="49">
        <f t="shared" si="144"/>
        <v>4.2020884382230214E-13</v>
      </c>
      <c r="D728" s="49">
        <f t="shared" si="144"/>
        <v>8.1081968038117059E-12</v>
      </c>
      <c r="E728" s="49">
        <f t="shared" si="144"/>
        <v>1.0337859813224166E-10</v>
      </c>
      <c r="F728" s="49">
        <f t="shared" si="144"/>
        <v>9.7979077201473559E-10</v>
      </c>
      <c r="G728" s="49">
        <f t="shared" si="144"/>
        <v>7.3631087495691409E-9</v>
      </c>
      <c r="H728" s="49">
        <f t="shared" si="144"/>
        <v>4.5703263992451951E-8</v>
      </c>
      <c r="I728" s="49">
        <f t="shared" si="144"/>
        <v>2.4100985453056472E-7</v>
      </c>
      <c r="J728" s="49">
        <f t="shared" si="144"/>
        <v>1.1022837074874731E-6</v>
      </c>
      <c r="K728" s="49">
        <f t="shared" si="144"/>
        <v>4.4420506994903281E-6</v>
      </c>
      <c r="L728" s="49">
        <f t="shared" si="145"/>
        <v>1.5970883279950183E-5</v>
      </c>
      <c r="M728" s="49">
        <f t="shared" si="145"/>
        <v>5.1752595086240168E-5</v>
      </c>
      <c r="N728" s="49">
        <f t="shared" si="145"/>
        <v>1.5242119197256108E-4</v>
      </c>
      <c r="O728" s="49">
        <f t="shared" si="145"/>
        <v>4.1091828372775432E-4</v>
      </c>
      <c r="P728" s="49">
        <f t="shared" si="145"/>
        <v>1.0202690885265802E-3</v>
      </c>
      <c r="Q728" s="49">
        <f t="shared" si="145"/>
        <v>2.3455052462218393E-3</v>
      </c>
      <c r="R728" s="49">
        <f t="shared" si="145"/>
        <v>5.0161068148826607E-3</v>
      </c>
      <c r="S728" s="49">
        <f t="shared" si="145"/>
        <v>1.0021688225980803E-2</v>
      </c>
      <c r="T728" s="49">
        <f t="shared" si="145"/>
        <v>1.8777035280058387E-2</v>
      </c>
      <c r="U728" s="49">
        <f t="shared" si="145"/>
        <v>3.3110297668558712E-2</v>
      </c>
      <c r="V728" s="49">
        <f t="shared" si="145"/>
        <v>5.5129911239565087E-2</v>
      </c>
      <c r="W728" s="47">
        <v>0.27500000000000002</v>
      </c>
    </row>
    <row r="729" spans="2:23" x14ac:dyDescent="0.25">
      <c r="B729" s="49">
        <f t="shared" si="144"/>
        <v>1.2387563907699505E-14</v>
      </c>
      <c r="C729" s="49">
        <f t="shared" si="144"/>
        <v>4.7996032675054631E-13</v>
      </c>
      <c r="D729" s="49">
        <f t="shared" si="144"/>
        <v>9.2160258094072826E-12</v>
      </c>
      <c r="E729" s="49">
        <f t="shared" si="144"/>
        <v>1.169320609738378E-10</v>
      </c>
      <c r="F729" s="49">
        <f t="shared" si="144"/>
        <v>1.1028708219467188E-9</v>
      </c>
      <c r="G729" s="49">
        <f t="shared" si="144"/>
        <v>8.2479523452699771E-9</v>
      </c>
      <c r="H729" s="49">
        <f t="shared" si="144"/>
        <v>5.0948529264879756E-8</v>
      </c>
      <c r="I729" s="49">
        <f t="shared" si="144"/>
        <v>2.6737777025928336E-7</v>
      </c>
      <c r="J729" s="49">
        <f t="shared" si="144"/>
        <v>1.2170187745014927E-6</v>
      </c>
      <c r="K729" s="49">
        <f t="shared" si="144"/>
        <v>4.8810023461639875E-6</v>
      </c>
      <c r="L729" s="49">
        <f t="shared" si="145"/>
        <v>1.7465672347478724E-5</v>
      </c>
      <c r="M729" s="49">
        <f t="shared" si="145"/>
        <v>5.6328711352309319E-5</v>
      </c>
      <c r="N729" s="49">
        <f t="shared" si="145"/>
        <v>1.651186675702402E-4</v>
      </c>
      <c r="O729" s="49">
        <f t="shared" si="145"/>
        <v>4.4307052800610921E-4</v>
      </c>
      <c r="P729" s="49">
        <f t="shared" si="145"/>
        <v>1.0949997469905917E-3</v>
      </c>
      <c r="Q729" s="49">
        <f t="shared" si="145"/>
        <v>2.5057348176835584E-3</v>
      </c>
      <c r="R729" s="49">
        <f t="shared" si="145"/>
        <v>5.3343926161650273E-3</v>
      </c>
      <c r="S729" s="49">
        <f t="shared" si="145"/>
        <v>1.0609665881054206E-2</v>
      </c>
      <c r="T729" s="49">
        <f t="shared" si="145"/>
        <v>1.9790516370345894E-2</v>
      </c>
      <c r="U729" s="49">
        <f t="shared" si="145"/>
        <v>3.4745078902878333E-2</v>
      </c>
      <c r="V729" s="49">
        <f t="shared" si="145"/>
        <v>5.7604091320496369E-2</v>
      </c>
      <c r="W729" s="47">
        <v>0.27400000000000002</v>
      </c>
    </row>
    <row r="730" spans="2:23" x14ac:dyDescent="0.25">
      <c r="B730" s="49">
        <f t="shared" si="144"/>
        <v>1.4215702245240661E-14</v>
      </c>
      <c r="C730" s="49">
        <f t="shared" si="144"/>
        <v>5.4809839360302372E-13</v>
      </c>
      <c r="D730" s="49">
        <f t="shared" si="144"/>
        <v>1.047301209597076E-11</v>
      </c>
      <c r="E730" s="49">
        <f t="shared" si="144"/>
        <v>1.3223323537797729E-10</v>
      </c>
      <c r="F730" s="49">
        <f t="shared" si="144"/>
        <v>1.2411251856189466E-9</v>
      </c>
      <c r="G730" s="49">
        <f t="shared" si="144"/>
        <v>9.2369024570525549E-9</v>
      </c>
      <c r="H730" s="49">
        <f t="shared" si="144"/>
        <v>5.6781529810174809E-8</v>
      </c>
      <c r="I730" s="49">
        <f t="shared" si="144"/>
        <v>2.9655318579058948E-7</v>
      </c>
      <c r="J730" s="49">
        <f t="shared" si="144"/>
        <v>1.3433335370363692E-6</v>
      </c>
      <c r="K730" s="49">
        <f t="shared" si="144"/>
        <v>5.3618320701031116E-6</v>
      </c>
      <c r="L730" s="49">
        <f t="shared" si="145"/>
        <v>1.9094860433652124E-5</v>
      </c>
      <c r="M730" s="49">
        <f t="shared" si="145"/>
        <v>6.1291263128786954E-5</v>
      </c>
      <c r="N730" s="49">
        <f t="shared" si="145"/>
        <v>1.7881934609128322E-4</v>
      </c>
      <c r="O730" s="49">
        <f t="shared" si="145"/>
        <v>4.7758908800852082E-4</v>
      </c>
      <c r="P730" s="49">
        <f t="shared" si="145"/>
        <v>1.1748280458472116E-3</v>
      </c>
      <c r="Q730" s="49">
        <f t="shared" si="145"/>
        <v>2.6760359066818023E-3</v>
      </c>
      <c r="R730" s="49">
        <f t="shared" si="145"/>
        <v>5.6709884276702691E-3</v>
      </c>
      <c r="S730" s="49">
        <f t="shared" si="145"/>
        <v>1.1228349977588564E-2</v>
      </c>
      <c r="T730" s="49">
        <f t="shared" si="145"/>
        <v>2.0851577655923055E-2</v>
      </c>
      <c r="U730" s="49">
        <f t="shared" si="145"/>
        <v>3.6448025978671784E-2</v>
      </c>
      <c r="V730" s="49">
        <f t="shared" si="145"/>
        <v>6.01685133674267E-2</v>
      </c>
      <c r="W730" s="47">
        <v>0.27300000000000002</v>
      </c>
    </row>
    <row r="731" spans="2:23" x14ac:dyDescent="0.25">
      <c r="B731" s="49">
        <f t="shared" si="144"/>
        <v>1.6310547859228126E-14</v>
      </c>
      <c r="C731" s="49">
        <f t="shared" si="144"/>
        <v>6.2578470086558794E-13</v>
      </c>
      <c r="D731" s="49">
        <f t="shared" si="144"/>
        <v>1.1898937854862408E-11</v>
      </c>
      <c r="E731" s="49">
        <f t="shared" si="144"/>
        <v>1.4950365320959271E-10</v>
      </c>
      <c r="F731" s="49">
        <f t="shared" si="144"/>
        <v>1.3963884210328927E-9</v>
      </c>
      <c r="G731" s="49">
        <f t="shared" si="144"/>
        <v>1.0341937047573475E-8</v>
      </c>
      <c r="H731" s="49">
        <f t="shared" si="144"/>
        <v>6.3266458588004263E-8</v>
      </c>
      <c r="I731" s="49">
        <f t="shared" si="144"/>
        <v>3.2882637979637705E-7</v>
      </c>
      <c r="J731" s="49">
        <f t="shared" si="144"/>
        <v>1.4823578358270665E-6</v>
      </c>
      <c r="K731" s="49">
        <f t="shared" si="144"/>
        <v>5.8883820678107737E-6</v>
      </c>
      <c r="L731" s="49">
        <f t="shared" si="145"/>
        <v>2.0869994827164097E-5</v>
      </c>
      <c r="M731" s="49">
        <f t="shared" si="145"/>
        <v>6.6671194912720742E-5</v>
      </c>
      <c r="N731" s="49">
        <f t="shared" si="145"/>
        <v>1.9359768081393395E-4</v>
      </c>
      <c r="O731" s="49">
        <f t="shared" si="145"/>
        <v>5.1463564039770258E-4</v>
      </c>
      <c r="P731" s="49">
        <f t="shared" si="145"/>
        <v>1.2600720236870084E-3</v>
      </c>
      <c r="Q731" s="49">
        <f t="shared" si="145"/>
        <v>2.8569764804376946E-3</v>
      </c>
      <c r="R731" s="49">
        <f t="shared" si="145"/>
        <v>6.0268154698572204E-3</v>
      </c>
      <c r="S731" s="49">
        <f t="shared" si="145"/>
        <v>1.1879095068759761E-2</v>
      </c>
      <c r="T731" s="49">
        <f t="shared" si="145"/>
        <v>2.196201516270891E-2</v>
      </c>
      <c r="U731" s="49">
        <f t="shared" si="145"/>
        <v>3.822126185643452E-2</v>
      </c>
      <c r="V731" s="49">
        <f t="shared" si="145"/>
        <v>6.2825360492226603E-2</v>
      </c>
      <c r="W731" s="47">
        <v>0.27200000000000002</v>
      </c>
    </row>
    <row r="732" spans="2:23" x14ac:dyDescent="0.25">
      <c r="B732" s="49">
        <f t="shared" si="144"/>
        <v>1.8710561692641635E-14</v>
      </c>
      <c r="C732" s="49">
        <f t="shared" si="144"/>
        <v>7.1433965808638647E-13</v>
      </c>
      <c r="D732" s="49">
        <f t="shared" si="144"/>
        <v>1.3516168603999926E-11</v>
      </c>
      <c r="E732" s="49">
        <f t="shared" si="144"/>
        <v>1.6899243068618015E-10</v>
      </c>
      <c r="F732" s="49">
        <f t="shared" si="144"/>
        <v>1.5707123719557071E-9</v>
      </c>
      <c r="G732" s="49">
        <f t="shared" si="144"/>
        <v>1.1576379866716639E-8</v>
      </c>
      <c r="H732" s="49">
        <f t="shared" si="144"/>
        <v>7.0474329366526537E-8</v>
      </c>
      <c r="I732" s="49">
        <f t="shared" si="144"/>
        <v>3.6451669689665962E-7</v>
      </c>
      <c r="J732" s="49">
        <f t="shared" si="144"/>
        <v>1.6353276882579352E-6</v>
      </c>
      <c r="K732" s="49">
        <f t="shared" si="144"/>
        <v>6.4648317794666352E-6</v>
      </c>
      <c r="L732" s="49">
        <f t="shared" si="145"/>
        <v>2.2803564057376705E-5</v>
      </c>
      <c r="M732" s="49">
        <f t="shared" si="145"/>
        <v>7.2501777259515962E-5</v>
      </c>
      <c r="N732" s="49">
        <f t="shared" si="145"/>
        <v>2.0953324118860988E-4</v>
      </c>
      <c r="O732" s="49">
        <f t="shared" si="145"/>
        <v>5.5438190468530167E-4</v>
      </c>
      <c r="P732" s="49">
        <f t="shared" si="145"/>
        <v>1.351067311350084E-3</v>
      </c>
      <c r="Q732" s="49">
        <f t="shared" si="145"/>
        <v>3.0491518986000637E-3</v>
      </c>
      <c r="R732" s="49">
        <f t="shared" si="145"/>
        <v>6.4028324862790724E-3</v>
      </c>
      <c r="S732" s="49">
        <f t="shared" si="145"/>
        <v>1.2563299883889087E-2</v>
      </c>
      <c r="T732" s="49">
        <f t="shared" si="145"/>
        <v>2.3123667110166758E-2</v>
      </c>
      <c r="U732" s="49">
        <f t="shared" si="145"/>
        <v>4.0066936259927799E-2</v>
      </c>
      <c r="V732" s="49">
        <f t="shared" si="145"/>
        <v>6.5576811742165841E-2</v>
      </c>
      <c r="W732" s="47">
        <v>0.27100000000000002</v>
      </c>
    </row>
    <row r="733" spans="2:23" x14ac:dyDescent="0.25">
      <c r="B733" s="49">
        <f t="shared" ref="B733:K742" si="146">_xlfn.HYPGEOM.DIST(B$2,comau,tongtheN*$W733,tongtheN,TRUE)</f>
        <v>2.1459686447360079E-14</v>
      </c>
      <c r="C733" s="49">
        <f t="shared" si="146"/>
        <v>8.1526382743414403E-13</v>
      </c>
      <c r="D733" s="49">
        <f t="shared" si="146"/>
        <v>1.534998520019172E-11</v>
      </c>
      <c r="E733" s="49">
        <f t="shared" si="146"/>
        <v>1.9097963986225909E-10</v>
      </c>
      <c r="F733" s="49">
        <f t="shared" si="146"/>
        <v>1.7663913512170415E-9</v>
      </c>
      <c r="G733" s="49">
        <f t="shared" si="146"/>
        <v>1.2955047863483101E-8</v>
      </c>
      <c r="H733" s="49">
        <f t="shared" si="146"/>
        <v>7.848368009032543E-8</v>
      </c>
      <c r="I733" s="49">
        <f t="shared" si="146"/>
        <v>4.0397535654719068E-7</v>
      </c>
      <c r="J733" s="49">
        <f t="shared" si="146"/>
        <v>1.8035948513909373E-6</v>
      </c>
      <c r="K733" s="49">
        <f t="shared" si="146"/>
        <v>7.0957260078815263E-6</v>
      </c>
      <c r="L733" s="49">
        <f t="shared" ref="L733:V742" si="147">_xlfn.HYPGEOM.DIST(L$2,comau,tongtheN*$W733,tongtheN,TRUE)</f>
        <v>2.4909069931635289E-5</v>
      </c>
      <c r="M733" s="49">
        <f t="shared" si="147"/>
        <v>7.8818768395928093E-5</v>
      </c>
      <c r="N733" s="49">
        <f t="shared" si="147"/>
        <v>2.2671103071999129E-4</v>
      </c>
      <c r="O733" s="49">
        <f t="shared" si="147"/>
        <v>5.9701018926433785E-4</v>
      </c>
      <c r="P733" s="49">
        <f t="shared" si="147"/>
        <v>1.4481679409467129E-3</v>
      </c>
      <c r="Q733" s="49">
        <f t="shared" si="147"/>
        <v>3.2531859163549069E-3</v>
      </c>
      <c r="R733" s="49">
        <f t="shared" si="147"/>
        <v>6.8000367020483099E-3</v>
      </c>
      <c r="S733" s="49">
        <f t="shared" si="147"/>
        <v>1.3282407816849393E-2</v>
      </c>
      <c r="T733" s="49">
        <f t="shared" si="147"/>
        <v>2.4338413401440311E-2</v>
      </c>
      <c r="U733" s="49">
        <f t="shared" si="147"/>
        <v>4.1987223737073649E-2</v>
      </c>
      <c r="V733" s="49">
        <f t="shared" si="147"/>
        <v>6.8425038659055873E-2</v>
      </c>
      <c r="W733" s="47">
        <v>0.27</v>
      </c>
    </row>
    <row r="734" spans="2:23" x14ac:dyDescent="0.25">
      <c r="B734" s="49">
        <f t="shared" si="146"/>
        <v>2.4608118712719896E-14</v>
      </c>
      <c r="C734" s="49">
        <f t="shared" si="146"/>
        <v>9.3026216772942246E-13</v>
      </c>
      <c r="D734" s="49">
        <f t="shared" si="146"/>
        <v>1.7428957824270049E-11</v>
      </c>
      <c r="E734" s="49">
        <f t="shared" si="146"/>
        <v>2.1578008425332828E-10</v>
      </c>
      <c r="F734" s="49">
        <f t="shared" si="146"/>
        <v>1.9859901762487538E-9</v>
      </c>
      <c r="G734" s="49">
        <f t="shared" si="146"/>
        <v>1.4494414307487962E-8</v>
      </c>
      <c r="H734" s="49">
        <f t="shared" si="146"/>
        <v>8.7381346428030489E-8</v>
      </c>
      <c r="I734" s="49">
        <f t="shared" si="146"/>
        <v>4.4758852272958964E-7</v>
      </c>
      <c r="J734" s="49">
        <f t="shared" si="146"/>
        <v>1.9886372049573659E-6</v>
      </c>
      <c r="K734" s="49">
        <f t="shared" si="146"/>
        <v>7.7860052418829009E-6</v>
      </c>
      <c r="L734" s="49">
        <f t="shared" si="147"/>
        <v>2.7201104666887495E-5</v>
      </c>
      <c r="M734" s="49">
        <f t="shared" si="147"/>
        <v>8.5660585943876294E-5</v>
      </c>
      <c r="N734" s="49">
        <f t="shared" si="147"/>
        <v>2.452218219158983E-4</v>
      </c>
      <c r="O734" s="49">
        <f t="shared" si="147"/>
        <v>6.427139612806671E-4</v>
      </c>
      <c r="P734" s="49">
        <f t="shared" si="147"/>
        <v>1.5517471804073124E-3</v>
      </c>
      <c r="Q734" s="49">
        <f t="shared" si="147"/>
        <v>3.4697317026600441E-3</v>
      </c>
      <c r="R734" s="49">
        <f t="shared" si="147"/>
        <v>7.2194647689893376E-3</v>
      </c>
      <c r="S734" s="49">
        <f t="shared" si="147"/>
        <v>1.4037907355117608E-2</v>
      </c>
      <c r="T734" s="49">
        <f t="shared" si="147"/>
        <v>2.5608175001995446E-2</v>
      </c>
      <c r="U734" s="49">
        <f t="shared" si="147"/>
        <v>4.3984321573642522E-2</v>
      </c>
      <c r="V734" s="49">
        <f t="shared" si="147"/>
        <v>7.1372201697797039E-2</v>
      </c>
      <c r="W734" s="47">
        <v>0.26900000000000002</v>
      </c>
    </row>
    <row r="735" spans="2:23" x14ac:dyDescent="0.25">
      <c r="B735" s="49">
        <f t="shared" si="146"/>
        <v>2.8213188562961476E-14</v>
      </c>
      <c r="C735" s="49">
        <f t="shared" si="146"/>
        <v>1.0612714956636515E-12</v>
      </c>
      <c r="D735" s="49">
        <f t="shared" si="146"/>
        <v>1.978536715525608E-11</v>
      </c>
      <c r="E735" s="49">
        <f t="shared" si="146"/>
        <v>2.4374752606149756E-10</v>
      </c>
      <c r="F735" s="49">
        <f t="shared" si="146"/>
        <v>2.232375372036165E-9</v>
      </c>
      <c r="G735" s="49">
        <f t="shared" si="146"/>
        <v>1.6212789244754855E-8</v>
      </c>
      <c r="H735" s="49">
        <f t="shared" si="146"/>
        <v>9.7263312248261117E-8</v>
      </c>
      <c r="I735" s="49">
        <f t="shared" si="146"/>
        <v>4.9578065756800739E-7</v>
      </c>
      <c r="J735" s="49">
        <f t="shared" si="146"/>
        <v>2.1920700205971775E-6</v>
      </c>
      <c r="K735" s="49">
        <f t="shared" si="146"/>
        <v>8.5410383440517548E-6</v>
      </c>
      <c r="L735" s="49">
        <f t="shared" si="147"/>
        <v>2.9695433439386514E-5</v>
      </c>
      <c r="M735" s="49">
        <f t="shared" si="147"/>
        <v>9.3068489295640975E-5</v>
      </c>
      <c r="N735" s="49">
        <f t="shared" si="147"/>
        <v>2.651625090098153E-4</v>
      </c>
      <c r="O735" s="49">
        <f t="shared" si="147"/>
        <v>6.9169844094735505E-4</v>
      </c>
      <c r="P735" s="49">
        <f t="shared" si="147"/>
        <v>1.662198393512945E-3</v>
      </c>
      <c r="Q735" s="49">
        <f t="shared" si="147"/>
        <v>3.6994728721935375E-3</v>
      </c>
      <c r="R735" s="49">
        <f t="shared" si="147"/>
        <v>7.6621936942163366E-3</v>
      </c>
      <c r="S735" s="49">
        <f t="shared" si="147"/>
        <v>1.4831332444647894E-2</v>
      </c>
      <c r="T735" s="49">
        <f t="shared" si="147"/>
        <v>2.6934913201828756E-2</v>
      </c>
      <c r="U735" s="49">
        <f t="shared" si="147"/>
        <v>4.6060447557112832E-2</v>
      </c>
      <c r="V735" s="49">
        <f t="shared" si="147"/>
        <v>7.4420446506472684E-2</v>
      </c>
      <c r="W735" s="47">
        <v>0.26800000000000002</v>
      </c>
    </row>
    <row r="736" spans="2:23" x14ac:dyDescent="0.25">
      <c r="B736" s="49">
        <f t="shared" si="146"/>
        <v>3.2340361402803311E-14</v>
      </c>
      <c r="C736" s="49">
        <f t="shared" si="146"/>
        <v>1.2104915850464599E-12</v>
      </c>
      <c r="D736" s="49">
        <f t="shared" si="146"/>
        <v>2.2455678586620253E-11</v>
      </c>
      <c r="E736" s="49">
        <f t="shared" si="146"/>
        <v>2.7527941791938858E-10</v>
      </c>
      <c r="F736" s="49">
        <f t="shared" si="146"/>
        <v>2.5087498905571225E-9</v>
      </c>
      <c r="G736" s="49">
        <f t="shared" si="146"/>
        <v>1.8130519075023115E-8</v>
      </c>
      <c r="H736" s="49">
        <f t="shared" si="146"/>
        <v>1.0823564439469398E-7</v>
      </c>
      <c r="I736" s="49">
        <f t="shared" si="146"/>
        <v>5.4901818393706371E-7</v>
      </c>
      <c r="J736" s="49">
        <f t="shared" si="146"/>
        <v>2.4156581886071015E-6</v>
      </c>
      <c r="K736" s="49">
        <f t="shared" si="146"/>
        <v>9.3666577731750678E-6</v>
      </c>
      <c r="L736" s="49">
        <f t="shared" si="147"/>
        <v>3.2409082693737594E-5</v>
      </c>
      <c r="M736" s="49">
        <f t="shared" si="147"/>
        <v>1.0108677320243134E-4</v>
      </c>
      <c r="N736" s="49">
        <f t="shared" si="147"/>
        <v>2.8663647917675757E-4</v>
      </c>
      <c r="O736" s="49">
        <f t="shared" si="147"/>
        <v>7.4418122088633592E-4</v>
      </c>
      <c r="P736" s="49">
        <f t="shared" si="147"/>
        <v>1.779935925278537E-3</v>
      </c>
      <c r="Q736" s="49">
        <f t="shared" si="147"/>
        <v>3.9431245294555039E-3</v>
      </c>
      <c r="R736" s="49">
        <f t="shared" si="147"/>
        <v>8.1293417486906251E-3</v>
      </c>
      <c r="S736" s="49">
        <f t="shared" si="147"/>
        <v>1.5664262785608937E-2</v>
      </c>
      <c r="T736" s="49">
        <f t="shared" si="147"/>
        <v>2.8320628756351045E-2</v>
      </c>
      <c r="U736" s="49">
        <f t="shared" si="147"/>
        <v>4.8217837588375785E-2</v>
      </c>
      <c r="V736" s="49">
        <f t="shared" si="147"/>
        <v>7.757190007063082E-2</v>
      </c>
      <c r="W736" s="47">
        <v>0.26700000000000002</v>
      </c>
    </row>
    <row r="737" spans="2:23" x14ac:dyDescent="0.25">
      <c r="B737" s="49">
        <f t="shared" si="146"/>
        <v>3.706437884832429E-14</v>
      </c>
      <c r="C737" s="49">
        <f t="shared" si="146"/>
        <v>1.3804203791691136E-12</v>
      </c>
      <c r="D737" s="49">
        <f t="shared" si="146"/>
        <v>2.5481076050834064E-11</v>
      </c>
      <c r="E737" s="49">
        <f t="shared" si="146"/>
        <v>3.1082219813559538E-10</v>
      </c>
      <c r="F737" s="49">
        <f t="shared" si="146"/>
        <v>2.8186917332378016E-9</v>
      </c>
      <c r="G737" s="49">
        <f t="shared" si="146"/>
        <v>2.0270207215980053E-8</v>
      </c>
      <c r="H737" s="49">
        <f t="shared" si="146"/>
        <v>1.2041551980777552E-7</v>
      </c>
      <c r="I737" s="49">
        <f t="shared" si="146"/>
        <v>6.0781348421883713E-7</v>
      </c>
      <c r="J737" s="49">
        <f t="shared" si="146"/>
        <v>2.6613294787718251E-6</v>
      </c>
      <c r="K737" s="49">
        <f t="shared" si="146"/>
        <v>1.0269197522797078E-5</v>
      </c>
      <c r="L737" s="49">
        <f t="shared" si="147"/>
        <v>3.5360434570688205E-5</v>
      </c>
      <c r="M737" s="49">
        <f t="shared" si="147"/>
        <v>1.0976297315996164E-4</v>
      </c>
      <c r="N737" s="49">
        <f t="shared" si="147"/>
        <v>3.0975400297349919E-4</v>
      </c>
      <c r="O737" s="49">
        <f t="shared" si="147"/>
        <v>8.0039291105774815E-4</v>
      </c>
      <c r="P737" s="49">
        <f t="shared" si="147"/>
        <v>1.9053960124746339E-3</v>
      </c>
      <c r="Q737" s="49">
        <f t="shared" si="147"/>
        <v>4.2014343233077664E-3</v>
      </c>
      <c r="R737" s="49">
        <f t="shared" si="147"/>
        <v>8.6220693521279496E-3</v>
      </c>
      <c r="S737" s="49">
        <f t="shared" si="147"/>
        <v>1.653832405391345E-2</v>
      </c>
      <c r="T737" s="49">
        <f t="shared" si="147"/>
        <v>2.9767360901111987E-2</v>
      </c>
      <c r="U737" s="49">
        <f t="shared" si="147"/>
        <v>5.0458743139280345E-2</v>
      </c>
      <c r="V737" s="49">
        <f t="shared" si="147"/>
        <v>8.0828666724928E-2</v>
      </c>
      <c r="W737" s="47">
        <v>0.26600000000000001</v>
      </c>
    </row>
    <row r="738" spans="2:23" x14ac:dyDescent="0.25">
      <c r="B738" s="49">
        <f t="shared" si="146"/>
        <v>4.2470557707737014E-14</v>
      </c>
      <c r="C738" s="49">
        <f t="shared" si="146"/>
        <v>1.5738938525061849E-12</v>
      </c>
      <c r="D738" s="49">
        <f t="shared" si="146"/>
        <v>2.8908062816823574E-11</v>
      </c>
      <c r="E738" s="49">
        <f t="shared" si="146"/>
        <v>3.5087721517139382E-10</v>
      </c>
      <c r="F738" s="49">
        <f t="shared" si="146"/>
        <v>3.1661969043058646E-9</v>
      </c>
      <c r="G738" s="49">
        <f t="shared" si="146"/>
        <v>2.2656958015114117E-8</v>
      </c>
      <c r="H738" s="49">
        <f t="shared" si="146"/>
        <v>1.3393235377649034E-7</v>
      </c>
      <c r="I738" s="49">
        <f t="shared" si="146"/>
        <v>6.7272926462274815E-7</v>
      </c>
      <c r="J738" s="49">
        <f t="shared" si="146"/>
        <v>2.9311889175256461E-6</v>
      </c>
      <c r="K738" s="49">
        <f t="shared" si="146"/>
        <v>1.125553396887601E-5</v>
      </c>
      <c r="L738" s="49">
        <f t="shared" si="147"/>
        <v>3.8569327831898282E-5</v>
      </c>
      <c r="M738" s="49">
        <f t="shared" si="147"/>
        <v>1.1914808319643343E-4</v>
      </c>
      <c r="N738" s="49">
        <f t="shared" si="147"/>
        <v>3.3463264474429557E-4</v>
      </c>
      <c r="O738" s="49">
        <f t="shared" si="147"/>
        <v>8.6057780980971675E-4</v>
      </c>
      <c r="P738" s="49">
        <f t="shared" si="147"/>
        <v>2.0390377189811442E-3</v>
      </c>
      <c r="Q738" s="49">
        <f t="shared" si="147"/>
        <v>4.4751835100751208E-3</v>
      </c>
      <c r="R738" s="49">
        <f t="shared" si="147"/>
        <v>9.1415799304389988E-3</v>
      </c>
      <c r="S738" s="49">
        <f t="shared" si="147"/>
        <v>1.7455188043352096E-2</v>
      </c>
      <c r="T738" s="49">
        <f t="shared" si="147"/>
        <v>3.127718623562422E-2</v>
      </c>
      <c r="U738" s="49">
        <f t="shared" si="147"/>
        <v>5.2785428554354696E-2</v>
      </c>
      <c r="V738" s="49">
        <f t="shared" si="147"/>
        <v>8.4192824035857955E-2</v>
      </c>
      <c r="W738" s="47">
        <v>0.26500000000000001</v>
      </c>
    </row>
    <row r="739" spans="2:23" x14ac:dyDescent="0.25">
      <c r="B739" s="49">
        <f t="shared" si="146"/>
        <v>4.8656268709257331E-14</v>
      </c>
      <c r="C739" s="49">
        <f t="shared" si="146"/>
        <v>1.7941311268616974E-12</v>
      </c>
      <c r="D739" s="49">
        <f t="shared" si="146"/>
        <v>3.2789137518646713E-11</v>
      </c>
      <c r="E739" s="49">
        <f t="shared" si="146"/>
        <v>3.9600735457851101E-10</v>
      </c>
      <c r="F739" s="49">
        <f t="shared" si="146"/>
        <v>3.5557271685702978E-9</v>
      </c>
      <c r="G739" s="49">
        <f t="shared" si="146"/>
        <v>2.531864628386496E-8</v>
      </c>
      <c r="H739" s="49">
        <f t="shared" si="146"/>
        <v>1.4892903890327247E-7</v>
      </c>
      <c r="I739" s="49">
        <f t="shared" si="146"/>
        <v>7.4438331691268781E-7</v>
      </c>
      <c r="J739" s="49">
        <f t="shared" si="146"/>
        <v>3.2275343697411183E-6</v>
      </c>
      <c r="K739" s="49">
        <f t="shared" si="146"/>
        <v>1.2333129831801396E-5</v>
      </c>
      <c r="L739" s="49">
        <f t="shared" si="147"/>
        <v>4.2057165679426362E-5</v>
      </c>
      <c r="M739" s="49">
        <f t="shared" si="147"/>
        <v>1.2929678669023286E-4</v>
      </c>
      <c r="N739" s="49">
        <f t="shared" si="147"/>
        <v>3.6139769374155754E-4</v>
      </c>
      <c r="O739" s="49">
        <f t="shared" si="147"/>
        <v>9.2499460154922596E-4</v>
      </c>
      <c r="P739" s="49">
        <f t="shared" si="147"/>
        <v>2.1813438955676613E-3</v>
      </c>
      <c r="Q739" s="49">
        <f t="shared" si="147"/>
        <v>4.7651880231632509E-3</v>
      </c>
      <c r="R739" s="49">
        <f t="shared" si="147"/>
        <v>9.6891207417012827E-3</v>
      </c>
      <c r="S739" s="49">
        <f t="shared" si="147"/>
        <v>1.8416572723047947E-2</v>
      </c>
      <c r="T739" s="49">
        <f t="shared" si="147"/>
        <v>3.285221747164032E-2</v>
      </c>
      <c r="U739" s="49">
        <f t="shared" si="147"/>
        <v>5.5200168195416975E-2</v>
      </c>
      <c r="V739" s="49">
        <f t="shared" si="147"/>
        <v>8.7666418559837131E-2</v>
      </c>
      <c r="W739" s="47">
        <v>0.26400000000000001</v>
      </c>
    </row>
    <row r="740" spans="2:23" x14ac:dyDescent="0.25">
      <c r="B740" s="49">
        <f t="shared" si="146"/>
        <v>5.5732619551490079E-14</v>
      </c>
      <c r="C740" s="49">
        <f t="shared" si="146"/>
        <v>2.0447855246652754E-12</v>
      </c>
      <c r="D740" s="49">
        <f t="shared" si="146"/>
        <v>3.7183554673835936E-11</v>
      </c>
      <c r="E740" s="49">
        <f t="shared" si="146"/>
        <v>4.4684444996353922E-10</v>
      </c>
      <c r="F740" s="49">
        <f t="shared" si="146"/>
        <v>3.9922631375309337E-9</v>
      </c>
      <c r="G740" s="49">
        <f t="shared" si="146"/>
        <v>2.8286215063091674E-8</v>
      </c>
      <c r="H740" s="49">
        <f t="shared" si="146"/>
        <v>1.6556330523417743E-7</v>
      </c>
      <c r="I740" s="49">
        <f t="shared" si="146"/>
        <v>8.2345371200349247E-7</v>
      </c>
      <c r="J740" s="49">
        <f t="shared" si="146"/>
        <v>3.552873419892315E-6</v>
      </c>
      <c r="K740" s="49">
        <f t="shared" si="146"/>
        <v>1.3510081470922859E-5</v>
      </c>
      <c r="L740" s="49">
        <f t="shared" si="147"/>
        <v>4.5847030887867551E-5</v>
      </c>
      <c r="M740" s="49">
        <f t="shared" si="147"/>
        <v>1.402677008665193E-4</v>
      </c>
      <c r="N740" s="49">
        <f t="shared" si="147"/>
        <v>3.9018261671753017E-4</v>
      </c>
      <c r="O740" s="49">
        <f t="shared" si="147"/>
        <v>9.9391708149812919E-4</v>
      </c>
      <c r="P740" s="49">
        <f t="shared" si="147"/>
        <v>2.3328221635887389E-3</v>
      </c>
      <c r="Q740" s="49">
        <f t="shared" si="147"/>
        <v>5.0722995469759911E-3</v>
      </c>
      <c r="R740" s="49">
        <f t="shared" si="147"/>
        <v>1.0265983666473617E-2</v>
      </c>
      <c r="S740" s="49">
        <f t="shared" si="147"/>
        <v>1.9424242204856005E-2</v>
      </c>
      <c r="T740" s="49">
        <f t="shared" si="147"/>
        <v>3.4494602041376464E-2</v>
      </c>
      <c r="U740" s="49">
        <f t="shared" si="147"/>
        <v>5.7705243428178156E-2</v>
      </c>
      <c r="V740" s="49">
        <f t="shared" si="147"/>
        <v>9.125146148151575E-2</v>
      </c>
      <c r="W740" s="47">
        <v>0.26300000000000001</v>
      </c>
    </row>
    <row r="741" spans="2:23" x14ac:dyDescent="0.25">
      <c r="B741" s="49">
        <f t="shared" si="146"/>
        <v>6.3826370171230667E-14</v>
      </c>
      <c r="C741" s="49">
        <f t="shared" si="146"/>
        <v>2.3300023295247443E-12</v>
      </c>
      <c r="D741" s="49">
        <f t="shared" si="146"/>
        <v>4.2158180068837191E-11</v>
      </c>
      <c r="E741" s="49">
        <f t="shared" si="146"/>
        <v>5.0409756880746672E-10</v>
      </c>
      <c r="F741" s="49">
        <f t="shared" si="146"/>
        <v>4.4813632632939246E-9</v>
      </c>
      <c r="G741" s="49">
        <f t="shared" si="146"/>
        <v>3.1594004485476099E-8</v>
      </c>
      <c r="H741" s="49">
        <f t="shared" si="146"/>
        <v>1.8400921295000636E-7</v>
      </c>
      <c r="I741" s="49">
        <f t="shared" si="146"/>
        <v>9.1068446270600459E-7</v>
      </c>
      <c r="J741" s="49">
        <f t="shared" si="146"/>
        <v>3.9099416542104692E-6</v>
      </c>
      <c r="K741" s="49">
        <f t="shared" si="146"/>
        <v>1.4795169743307699E-5</v>
      </c>
      <c r="L741" s="49">
        <f t="shared" si="147"/>
        <v>4.9963808687927213E-5</v>
      </c>
      <c r="M741" s="49">
        <f t="shared" si="147"/>
        <v>1.5212363564371504E-4</v>
      </c>
      <c r="N741" s="49">
        <f t="shared" si="147"/>
        <v>4.2112953274763833E-4</v>
      </c>
      <c r="O741" s="49">
        <f t="shared" si="147"/>
        <v>1.0676349079565921E-3</v>
      </c>
      <c r="P741" s="49">
        <f t="shared" si="147"/>
        <v>2.4940059219694488E-3</v>
      </c>
      <c r="Q741" s="49">
        <f t="shared" si="147"/>
        <v>5.3974065927342788E-3</v>
      </c>
      <c r="R741" s="49">
        <f t="shared" si="147"/>
        <v>1.0873505958080527E-2</v>
      </c>
      <c r="S741" s="49">
        <f t="shared" si="147"/>
        <v>2.0480006615257371E-2</v>
      </c>
      <c r="T741" s="49">
        <f t="shared" si="147"/>
        <v>3.6206520561315084E-2</v>
      </c>
      <c r="U741" s="49">
        <f t="shared" si="147"/>
        <v>6.0302939450359277E-2</v>
      </c>
      <c r="V741" s="49">
        <f t="shared" si="147"/>
        <v>9.4949924137735356E-2</v>
      </c>
      <c r="W741" s="47">
        <v>0.26200000000000001</v>
      </c>
    </row>
    <row r="742" spans="2:23" x14ac:dyDescent="0.25">
      <c r="B742" s="49">
        <f t="shared" si="146"/>
        <v>7.3082111886006016E-14</v>
      </c>
      <c r="C742" s="49">
        <f t="shared" si="146"/>
        <v>2.6544841225634852E-12</v>
      </c>
      <c r="D742" s="49">
        <f t="shared" si="146"/>
        <v>4.7788452640664873E-11</v>
      </c>
      <c r="E742" s="49">
        <f t="shared" si="146"/>
        <v>5.685622742582641E-10</v>
      </c>
      <c r="F742" s="49">
        <f t="shared" si="146"/>
        <v>5.0292293810631047E-9</v>
      </c>
      <c r="G742" s="49">
        <f t="shared" si="146"/>
        <v>3.5280114881325915E-8</v>
      </c>
      <c r="H742" s="49">
        <f t="shared" si="146"/>
        <v>2.0445879003863412E-7</v>
      </c>
      <c r="I742" s="49">
        <f t="shared" si="146"/>
        <v>1.0068916959314386E-6</v>
      </c>
      <c r="J742" s="49">
        <f t="shared" si="146"/>
        <v>4.3017224527676011E-6</v>
      </c>
      <c r="K742" s="49">
        <f t="shared" si="146"/>
        <v>1.6197914672706023E-5</v>
      </c>
      <c r="L742" s="49">
        <f t="shared" si="147"/>
        <v>5.4434317861739453E-5</v>
      </c>
      <c r="M742" s="49">
        <f t="shared" si="147"/>
        <v>1.6493186752249392E-4</v>
      </c>
      <c r="N742" s="49">
        <f t="shared" si="147"/>
        <v>4.5438971104839348E-4</v>
      </c>
      <c r="O742" s="49">
        <f t="shared" si="147"/>
        <v>1.1464543824498115E-3</v>
      </c>
      <c r="P742" s="49">
        <f t="shared" si="147"/>
        <v>2.6654553767364972E-3</v>
      </c>
      <c r="Q742" s="49">
        <f t="shared" si="147"/>
        <v>5.7414355736139944E-3</v>
      </c>
      <c r="R742" s="49">
        <f t="shared" si="147"/>
        <v>1.1513070948308531E-2</v>
      </c>
      <c r="S742" s="49">
        <f t="shared" si="147"/>
        <v>2.1585721866233164E-2</v>
      </c>
      <c r="T742" s="49">
        <f t="shared" si="147"/>
        <v>3.7990185147403932E-2</v>
      </c>
      <c r="U742" s="49">
        <f t="shared" si="147"/>
        <v>6.2995541961298571E-2</v>
      </c>
      <c r="V742" s="49">
        <f t="shared" si="147"/>
        <v>9.8763733433179346E-2</v>
      </c>
      <c r="W742" s="47">
        <v>0.26100000000000001</v>
      </c>
    </row>
    <row r="743" spans="2:23" x14ac:dyDescent="0.25">
      <c r="B743" s="49">
        <f t="shared" ref="B743:K752" si="148">_xlfn.HYPGEOM.DIST(B$2,comau,tongtheN*$W743,tongtheN,TRUE)</f>
        <v>8.3664746332368971E-14</v>
      </c>
      <c r="C743" s="49">
        <f t="shared" si="148"/>
        <v>3.0235646738805059E-12</v>
      </c>
      <c r="D743" s="49">
        <f t="shared" si="148"/>
        <v>5.4159465883706095E-11</v>
      </c>
      <c r="E743" s="49">
        <f t="shared" si="148"/>
        <v>6.4113097544237137E-10</v>
      </c>
      <c r="F743" s="49">
        <f t="shared" si="148"/>
        <v>5.6427795085535567E-9</v>
      </c>
      <c r="G743" s="49">
        <f t="shared" si="148"/>
        <v>3.9386807581536169E-8</v>
      </c>
      <c r="H743" s="49">
        <f t="shared" si="148"/>
        <v>2.271238284804971E-7</v>
      </c>
      <c r="I743" s="49">
        <f t="shared" si="148"/>
        <v>1.1129703779252518E-6</v>
      </c>
      <c r="J743" s="49">
        <f t="shared" si="148"/>
        <v>4.7314684082089682E-6</v>
      </c>
      <c r="K743" s="49">
        <f t="shared" si="148"/>
        <v>1.7728634189676645E-5</v>
      </c>
      <c r="L743" s="49">
        <f t="shared" ref="L743:V752" si="149">_xlfn.HYPGEOM.DIST(L$2,comau,tongtheN*$W743,tongtheN,TRUE)</f>
        <v>5.9287450532397708E-5</v>
      </c>
      <c r="M743" s="49">
        <f t="shared" si="149"/>
        <v>1.7876442923131757E-4</v>
      </c>
      <c r="N743" s="49">
        <f t="shared" si="149"/>
        <v>4.9012409255281685E-4</v>
      </c>
      <c r="O743" s="49">
        <f t="shared" si="149"/>
        <v>1.230699258081474E-3</v>
      </c>
      <c r="P743" s="49">
        <f t="shared" si="149"/>
        <v>2.8477585922220745E-3</v>
      </c>
      <c r="Q743" s="49">
        <f t="shared" si="149"/>
        <v>6.1053518764308022E-3</v>
      </c>
      <c r="R743" s="49">
        <f t="shared" si="149"/>
        <v>1.2186108703778306E-2</v>
      </c>
      <c r="S743" s="49">
        <f t="shared" si="149"/>
        <v>2.2743289319557092E-2</v>
      </c>
      <c r="T743" s="49">
        <f t="shared" si="149"/>
        <v>3.9847837577664295E-2</v>
      </c>
      <c r="U743" s="49">
        <f t="shared" si="149"/>
        <v>6.5785333673484325E-2</v>
      </c>
      <c r="V743" s="49">
        <f t="shared" si="149"/>
        <v>0.10269476715437656</v>
      </c>
      <c r="W743" s="47">
        <v>0.26</v>
      </c>
    </row>
    <row r="744" spans="2:23" x14ac:dyDescent="0.25">
      <c r="B744" s="49">
        <f t="shared" si="148"/>
        <v>9.5762304951924591E-14</v>
      </c>
      <c r="C744" s="49">
        <f t="shared" si="148"/>
        <v>3.4432924932048031E-12</v>
      </c>
      <c r="D744" s="49">
        <f t="shared" si="148"/>
        <v>6.136718337574784E-11</v>
      </c>
      <c r="E744" s="49">
        <f t="shared" si="148"/>
        <v>7.2280449152948939E-10</v>
      </c>
      <c r="F744" s="49">
        <f t="shared" si="148"/>
        <v>6.3297286851668854E-9</v>
      </c>
      <c r="G744" s="49">
        <f t="shared" si="148"/>
        <v>4.3960947207575117E-8</v>
      </c>
      <c r="H744" s="49">
        <f t="shared" si="148"/>
        <v>2.522378536851355E-7</v>
      </c>
      <c r="I744" s="49">
        <f t="shared" si="148"/>
        <v>1.229901639603875E-6</v>
      </c>
      <c r="J744" s="49">
        <f t="shared" si="148"/>
        <v>5.2027244961332401E-6</v>
      </c>
      <c r="K744" s="49">
        <f t="shared" si="148"/>
        <v>1.9398507219540901E-5</v>
      </c>
      <c r="L744" s="49">
        <f t="shared" si="149"/>
        <v>6.4554321152973985E-5</v>
      </c>
      <c r="M744" s="49">
        <f t="shared" si="149"/>
        <v>1.9369841586345534E-4</v>
      </c>
      <c r="N744" s="49">
        <f t="shared" si="149"/>
        <v>5.2850383600332868E-4</v>
      </c>
      <c r="O744" s="49">
        <f t="shared" si="149"/>
        <v>1.3207115763597653E-3</v>
      </c>
      <c r="P744" s="49">
        <f t="shared" si="149"/>
        <v>3.0415325629331918E-3</v>
      </c>
      <c r="Q744" s="49">
        <f t="shared" si="149"/>
        <v>6.4901609269023613E-3</v>
      </c>
      <c r="R744" s="49">
        <f t="shared" si="149"/>
        <v>1.2894096628077258E-2</v>
      </c>
      <c r="S744" s="49">
        <f t="shared" si="149"/>
        <v>2.3954655338912507E-2</v>
      </c>
      <c r="T744" s="49">
        <f t="shared" si="149"/>
        <v>4.1781747298450571E-2</v>
      </c>
      <c r="U744" s="49">
        <f t="shared" si="149"/>
        <v>6.8674590666955401E-2</v>
      </c>
      <c r="V744" s="49">
        <f t="shared" si="149"/>
        <v>0.10674484918928649</v>
      </c>
      <c r="W744" s="47">
        <v>0.25900000000000001</v>
      </c>
    </row>
    <row r="745" spans="2:23" x14ac:dyDescent="0.25">
      <c r="B745" s="49">
        <f t="shared" si="148"/>
        <v>1.095891552498484E-13</v>
      </c>
      <c r="C745" s="49">
        <f t="shared" si="148"/>
        <v>3.9205252841942124E-12</v>
      </c>
      <c r="D745" s="49">
        <f t="shared" si="148"/>
        <v>6.9519804766842116E-11</v>
      </c>
      <c r="E745" s="49">
        <f t="shared" si="148"/>
        <v>8.1470496886952473E-10</v>
      </c>
      <c r="F745" s="49">
        <f t="shared" si="148"/>
        <v>7.0986787158474593E-9</v>
      </c>
      <c r="G745" s="49">
        <f t="shared" si="148"/>
        <v>4.9054489605881871E-8</v>
      </c>
      <c r="H745" s="49">
        <f t="shared" si="148"/>
        <v>2.8005828322431619E-7</v>
      </c>
      <c r="I745" s="49">
        <f t="shared" si="148"/>
        <v>1.358760752831752E-6</v>
      </c>
      <c r="J745" s="49">
        <f t="shared" si="148"/>
        <v>5.7193531309196201E-6</v>
      </c>
      <c r="K745" s="49">
        <f t="shared" si="148"/>
        <v>2.1219641411301047E-5</v>
      </c>
      <c r="L745" s="49">
        <f t="shared" si="149"/>
        <v>7.0268425223686488E-5</v>
      </c>
      <c r="M745" s="49">
        <f t="shared" si="149"/>
        <v>2.0981630826097142E-4</v>
      </c>
      <c r="N745" s="49">
        <f t="shared" si="149"/>
        <v>5.6971088931654713E-4</v>
      </c>
      <c r="O745" s="49">
        <f t="shared" si="149"/>
        <v>1.4168525326975726E-3</v>
      </c>
      <c r="P745" s="49">
        <f t="shared" si="149"/>
        <v>3.2474243049357122E-3</v>
      </c>
      <c r="Q745" s="49">
        <f t="shared" si="149"/>
        <v>6.8969092453212829E-3</v>
      </c>
      <c r="R745" s="49">
        <f t="shared" si="149"/>
        <v>1.3638560004566185E-2</v>
      </c>
      <c r="S745" s="49">
        <f t="shared" si="149"/>
        <v>2.5221810724227661E-2</v>
      </c>
      <c r="T745" s="49">
        <f t="shared" si="149"/>
        <v>4.3794209270853805E-2</v>
      </c>
      <c r="U745" s="49">
        <f t="shared" si="149"/>
        <v>7.1665578588016324E-2</v>
      </c>
      <c r="V745" s="49">
        <f t="shared" si="149"/>
        <v>0.11091574466036774</v>
      </c>
      <c r="W745" s="47">
        <v>0.25800000000000001</v>
      </c>
    </row>
    <row r="746" spans="2:23" x14ac:dyDescent="0.25">
      <c r="B746" s="49">
        <f t="shared" si="148"/>
        <v>1.2538964624941753E-13</v>
      </c>
      <c r="C746" s="49">
        <f t="shared" si="148"/>
        <v>4.4630367047856058E-12</v>
      </c>
      <c r="D746" s="49">
        <f t="shared" si="148"/>
        <v>7.8739300529961565E-11</v>
      </c>
      <c r="E746" s="49">
        <f t="shared" si="148"/>
        <v>9.1809030615130327E-10</v>
      </c>
      <c r="F746" s="49">
        <f t="shared" si="148"/>
        <v>7.9592177749621199E-9</v>
      </c>
      <c r="G746" s="49">
        <f t="shared" si="148"/>
        <v>5.4725019985752193E-8</v>
      </c>
      <c r="H746" s="49">
        <f t="shared" si="148"/>
        <v>3.1086879232448317E-7</v>
      </c>
      <c r="I746" s="49">
        <f t="shared" si="148"/>
        <v>1.500725812516669E-6</v>
      </c>
      <c r="J746" s="49">
        <f t="shared" si="148"/>
        <v>6.2855612501425525E-6</v>
      </c>
      <c r="K746" s="49">
        <f t="shared" si="148"/>
        <v>2.3205145817904774E-5</v>
      </c>
      <c r="L746" s="49">
        <f t="shared" si="149"/>
        <v>7.6465808289861116E-5</v>
      </c>
      <c r="M746" s="49">
        <f t="shared" si="149"/>
        <v>2.2720631442091534E-4</v>
      </c>
      <c r="N746" s="49">
        <f t="shared" si="149"/>
        <v>6.1393858696531009E-4</v>
      </c>
      <c r="O746" s="49">
        <f t="shared" si="149"/>
        <v>1.5195033707185862E-3</v>
      </c>
      <c r="P746" s="49">
        <f t="shared" si="149"/>
        <v>3.4661119654523734E-3</v>
      </c>
      <c r="Q746" s="49">
        <f t="shared" si="149"/>
        <v>7.3266854892644088E-3</v>
      </c>
      <c r="R746" s="49">
        <f t="shared" si="149"/>
        <v>1.4421072474605015E-2</v>
      </c>
      <c r="S746" s="49">
        <f t="shared" si="149"/>
        <v>2.6546790022621142E-2</v>
      </c>
      <c r="T746" s="49">
        <f t="shared" si="149"/>
        <v>4.5887541654021813E-2</v>
      </c>
      <c r="U746" s="49">
        <f t="shared" si="149"/>
        <v>7.4760548694268542E-2</v>
      </c>
      <c r="V746" s="49">
        <f t="shared" si="149"/>
        <v>0.11520915497962131</v>
      </c>
      <c r="W746" s="47">
        <v>0.25700000000000001</v>
      </c>
    </row>
    <row r="747" spans="2:23" x14ac:dyDescent="0.25">
      <c r="B747" s="49">
        <f t="shared" si="148"/>
        <v>1.434422525860722E-13</v>
      </c>
      <c r="C747" s="49">
        <f t="shared" si="148"/>
        <v>5.0796370137033736E-12</v>
      </c>
      <c r="D747" s="49">
        <f t="shared" si="148"/>
        <v>8.9163135957151275E-11</v>
      </c>
      <c r="E747" s="49">
        <f t="shared" si="148"/>
        <v>1.03437025987409E-9</v>
      </c>
      <c r="F747" s="49">
        <f t="shared" si="148"/>
        <v>8.9220309251263476E-9</v>
      </c>
      <c r="G747" s="49">
        <f t="shared" si="148"/>
        <v>6.1036346258722696E-8</v>
      </c>
      <c r="H747" s="49">
        <f t="shared" si="148"/>
        <v>3.4498190511682817E-7</v>
      </c>
      <c r="I747" s="49">
        <f t="shared" si="148"/>
        <v>1.6570871837386489E-6</v>
      </c>
      <c r="J747" s="49">
        <f t="shared" si="148"/>
        <v>6.9059295806334641E-6</v>
      </c>
      <c r="K747" s="49">
        <f t="shared" si="148"/>
        <v>2.5369208856285992E-5</v>
      </c>
      <c r="L747" s="49">
        <f t="shared" si="149"/>
        <v>8.3185245797845277E-5</v>
      </c>
      <c r="M747" s="49">
        <f t="shared" si="149"/>
        <v>2.4596272971806962E-4</v>
      </c>
      <c r="N747" s="49">
        <f t="shared" si="149"/>
        <v>6.613922741110106E-4</v>
      </c>
      <c r="O747" s="49">
        <f t="shared" si="149"/>
        <v>1.6290663054240302E-3</v>
      </c>
      <c r="P747" s="49">
        <f t="shared" si="149"/>
        <v>3.6983059492161356E-3</v>
      </c>
      <c r="Q747" s="49">
        <f t="shared" si="149"/>
        <v>7.7806214797599181E-3</v>
      </c>
      <c r="R747" s="49">
        <f t="shared" si="149"/>
        <v>1.5243256445783473E-2</v>
      </c>
      <c r="S747" s="49">
        <f t="shared" si="149"/>
        <v>2.7931670710382279E-2</v>
      </c>
      <c r="T747" s="49">
        <f t="shared" si="149"/>
        <v>4.8064083322484248E-2</v>
      </c>
      <c r="U747" s="49">
        <f t="shared" si="149"/>
        <v>7.7961733748517184E-2</v>
      </c>
      <c r="V747" s="49">
        <f t="shared" si="149"/>
        <v>0.11962671283474101</v>
      </c>
      <c r="W747" s="47">
        <v>0.25600000000000001</v>
      </c>
    </row>
    <row r="748" spans="2:23" x14ac:dyDescent="0.25">
      <c r="B748" s="49">
        <f t="shared" si="148"/>
        <v>1.6406428463303555E-13</v>
      </c>
      <c r="C748" s="49">
        <f t="shared" si="148"/>
        <v>5.780309383106917E-12</v>
      </c>
      <c r="D748" s="49">
        <f t="shared" si="148"/>
        <v>1.0094620732544465E-10</v>
      </c>
      <c r="E748" s="49">
        <f t="shared" si="148"/>
        <v>1.1651244216577238E-9</v>
      </c>
      <c r="F748" s="49">
        <f t="shared" si="148"/>
        <v>9.9990227155323307E-9</v>
      </c>
      <c r="G748" s="49">
        <f t="shared" si="148"/>
        <v>6.8059153056880261E-8</v>
      </c>
      <c r="H748" s="49">
        <f t="shared" si="148"/>
        <v>3.8274183230598163E-7</v>
      </c>
      <c r="I748" s="49">
        <f t="shared" si="148"/>
        <v>1.8292577777790548E-6</v>
      </c>
      <c r="J748" s="49">
        <f t="shared" si="148"/>
        <v>7.5854442497639188E-6</v>
      </c>
      <c r="K748" s="49">
        <f t="shared" si="148"/>
        <v>2.772718189445763E-5</v>
      </c>
      <c r="L748" s="49">
        <f t="shared" si="149"/>
        <v>9.0468434411043489E-5</v>
      </c>
      <c r="M748" s="49">
        <f t="shared" si="149"/>
        <v>2.6618631675661195E-4</v>
      </c>
      <c r="N748" s="49">
        <f t="shared" si="149"/>
        <v>7.1228995820308682E-4</v>
      </c>
      <c r="O748" s="49">
        <f t="shared" si="149"/>
        <v>1.745965475191124E-3</v>
      </c>
      <c r="P748" s="49">
        <f t="shared" si="149"/>
        <v>3.9447500599535017E-3</v>
      </c>
      <c r="Q748" s="49">
        <f t="shared" si="149"/>
        <v>8.2598932071182365E-3</v>
      </c>
      <c r="R748" s="49">
        <f t="shared" si="149"/>
        <v>1.6106783424588451E-2</v>
      </c>
      <c r="S748" s="49">
        <f t="shared" si="149"/>
        <v>2.9378572240447227E-2</v>
      </c>
      <c r="T748" s="49">
        <f t="shared" si="149"/>
        <v>5.032619121489193E-2</v>
      </c>
      <c r="U748" s="49">
        <f t="shared" si="149"/>
        <v>8.1271343764694137E-2</v>
      </c>
      <c r="V748" s="49">
        <f t="shared" si="149"/>
        <v>0.1241699771160923</v>
      </c>
      <c r="W748" s="47">
        <v>0.255</v>
      </c>
    </row>
    <row r="749" spans="2:23" x14ac:dyDescent="0.25">
      <c r="B749" s="49">
        <f t="shared" si="148"/>
        <v>1.8761724104901214E-13</v>
      </c>
      <c r="C749" s="49">
        <f t="shared" si="148"/>
        <v>6.5763638821251879E-12</v>
      </c>
      <c r="D749" s="49">
        <f t="shared" si="148"/>
        <v>1.1426301588261528E-10</v>
      </c>
      <c r="E749" s="49">
        <f t="shared" si="148"/>
        <v>1.3121222802472191E-9</v>
      </c>
      <c r="F749" s="49">
        <f t="shared" si="148"/>
        <v>1.1203453144999231E-8</v>
      </c>
      <c r="G749" s="49">
        <f t="shared" si="148"/>
        <v>7.5871722431012163E-8</v>
      </c>
      <c r="H749" s="49">
        <f t="shared" si="148"/>
        <v>4.2452757771852143E-7</v>
      </c>
      <c r="I749" s="49">
        <f t="shared" si="148"/>
        <v>2.0187842259039412E-6</v>
      </c>
      <c r="J749" s="49">
        <f t="shared" si="148"/>
        <v>8.3295309166726699E-6</v>
      </c>
      <c r="K749" s="49">
        <f t="shared" si="148"/>
        <v>3.0295668832625823E-5</v>
      </c>
      <c r="L749" s="49">
        <f t="shared" si="149"/>
        <v>9.8360195413745E-5</v>
      </c>
      <c r="M749" s="49">
        <f t="shared" si="149"/>
        <v>2.8798470568010167E-4</v>
      </c>
      <c r="N749" s="49">
        <f t="shared" si="149"/>
        <v>7.6686298874244164E-4</v>
      </c>
      <c r="O749" s="49">
        <f t="shared" si="149"/>
        <v>1.8706479224834666E-3</v>
      </c>
      <c r="P749" s="49">
        <f t="shared" si="149"/>
        <v>4.2062226551999463E-3</v>
      </c>
      <c r="Q749" s="49">
        <f t="shared" si="149"/>
        <v>8.7657218124234694E-3</v>
      </c>
      <c r="R749" s="49">
        <f t="shared" si="149"/>
        <v>1.7013374267798084E-2</v>
      </c>
      <c r="S749" s="49">
        <f t="shared" si="149"/>
        <v>3.0889654949906021E-2</v>
      </c>
      <c r="T749" s="49">
        <f t="shared" si="149"/>
        <v>5.2676237511968364E-2</v>
      </c>
      <c r="U749" s="49">
        <f t="shared" si="149"/>
        <v>8.4691561609558583E-2</v>
      </c>
      <c r="V749" s="49">
        <f t="shared" si="149"/>
        <v>0.12884042779492111</v>
      </c>
      <c r="W749" s="47">
        <v>0.254</v>
      </c>
    </row>
    <row r="750" spans="2:23" x14ac:dyDescent="0.25">
      <c r="B750" s="49">
        <f t="shared" si="148"/>
        <v>2.1451289032391708E-13</v>
      </c>
      <c r="C750" s="49">
        <f t="shared" si="148"/>
        <v>7.4806113887458866E-12</v>
      </c>
      <c r="D750" s="49">
        <f t="shared" si="148"/>
        <v>1.2931010834636772E-10</v>
      </c>
      <c r="E750" s="49">
        <f t="shared" si="148"/>
        <v>1.4773456047128571E-9</v>
      </c>
      <c r="F750" s="49">
        <f t="shared" si="148"/>
        <v>1.255008840773122E-8</v>
      </c>
      <c r="G750" s="49">
        <f t="shared" si="148"/>
        <v>8.4560727800887877E-8</v>
      </c>
      <c r="H750" s="49">
        <f t="shared" si="148"/>
        <v>4.7075633814001266E-7</v>
      </c>
      <c r="I750" s="49">
        <f t="shared" si="148"/>
        <v>2.227359025098493E-6</v>
      </c>
      <c r="J750" s="49">
        <f t="shared" si="148"/>
        <v>9.1440916099613508E-6</v>
      </c>
      <c r="K750" s="49">
        <f t="shared" si="148"/>
        <v>3.3092622065807056E-5</v>
      </c>
      <c r="L750" s="49">
        <f t="shared" si="149"/>
        <v>1.0690869085623489E-4</v>
      </c>
      <c r="M750" s="49">
        <f t="shared" si="149"/>
        <v>3.1147281578484308E-4</v>
      </c>
      <c r="N750" s="49">
        <f t="shared" si="149"/>
        <v>8.2535676588096386E-4</v>
      </c>
      <c r="O750" s="49">
        <f t="shared" si="149"/>
        <v>2.0035846030553553E-3</v>
      </c>
      <c r="P750" s="49">
        <f t="shared" si="149"/>
        <v>4.4835378124671865E-3</v>
      </c>
      <c r="Q750" s="49">
        <f t="shared" si="149"/>
        <v>9.2993745404623598E-3</v>
      </c>
      <c r="R750" s="49">
        <f t="shared" si="149"/>
        <v>1.7964799346753983E-2</v>
      </c>
      <c r="S750" s="49">
        <f t="shared" si="149"/>
        <v>3.2467118822159288E-2</v>
      </c>
      <c r="T750" s="49">
        <f t="shared" si="149"/>
        <v>5.5116606641838463E-2</v>
      </c>
      <c r="U750" s="49">
        <f t="shared" si="149"/>
        <v>8.8224538464540536E-2</v>
      </c>
      <c r="V750" s="49">
        <f t="shared" si="149"/>
        <v>0.13363946076372488</v>
      </c>
      <c r="W750" s="47">
        <v>0.253</v>
      </c>
    </row>
    <row r="751" spans="2:23" x14ac:dyDescent="0.25">
      <c r="B751" s="49">
        <f t="shared" si="148"/>
        <v>2.4522017942544277E-13</v>
      </c>
      <c r="C751" s="49">
        <f t="shared" si="148"/>
        <v>8.5075599716099337E-12</v>
      </c>
      <c r="D751" s="49">
        <f t="shared" si="148"/>
        <v>1.4630881600828951E-10</v>
      </c>
      <c r="E751" s="49">
        <f t="shared" si="148"/>
        <v>1.6630134115554047E-9</v>
      </c>
      <c r="F751" s="49">
        <f t="shared" si="148"/>
        <v>1.4055367985804506E-8</v>
      </c>
      <c r="G751" s="49">
        <f t="shared" si="148"/>
        <v>9.4222108353407295E-8</v>
      </c>
      <c r="H751" s="49">
        <f t="shared" si="148"/>
        <v>5.2188722295595011E-7</v>
      </c>
      <c r="I751" s="49">
        <f t="shared" si="148"/>
        <v>2.4568337356725675E-6</v>
      </c>
      <c r="J751" s="49">
        <f t="shared" si="148"/>
        <v>1.0035544470876728E-5</v>
      </c>
      <c r="K751" s="49">
        <f t="shared" si="148"/>
        <v>3.6137445236819476E-5</v>
      </c>
      <c r="L751" s="49">
        <f t="shared" si="149"/>
        <v>1.1616565312094262E-4</v>
      </c>
      <c r="M751" s="49">
        <f t="shared" si="149"/>
        <v>3.3677329929587705E-4</v>
      </c>
      <c r="N751" s="49">
        <f t="shared" si="149"/>
        <v>8.8803147850017021E-4</v>
      </c>
      <c r="O751" s="49">
        <f t="shared" si="149"/>
        <v>2.1452714233258061E-3</v>
      </c>
      <c r="P751" s="49">
        <f t="shared" si="149"/>
        <v>4.777546504594098E-3</v>
      </c>
      <c r="Q751" s="49">
        <f t="shared" si="149"/>
        <v>9.8621656596535739E-3</v>
      </c>
      <c r="R751" s="49">
        <f t="shared" si="149"/>
        <v>1.8962878618546758E-2</v>
      </c>
      <c r="S751" s="49">
        <f t="shared" si="149"/>
        <v>3.4113202098469304E-2</v>
      </c>
      <c r="T751" s="49">
        <f t="shared" si="149"/>
        <v>5.7649692111349619E-2</v>
      </c>
      <c r="U751" s="49">
        <f t="shared" si="149"/>
        <v>9.1872389152751172E-2</v>
      </c>
      <c r="V751" s="49">
        <f t="shared" si="149"/>
        <v>0.13856838265039853</v>
      </c>
      <c r="W751" s="47">
        <v>0.252</v>
      </c>
    </row>
    <row r="752" spans="2:23" x14ac:dyDescent="0.25">
      <c r="B752" s="49">
        <f t="shared" si="148"/>
        <v>2.8027308069240599E-13</v>
      </c>
      <c r="C752" s="49">
        <f t="shared" si="148"/>
        <v>9.673636602548123E-12</v>
      </c>
      <c r="D752" s="49">
        <f t="shared" si="148"/>
        <v>1.6550832832601418E-10</v>
      </c>
      <c r="E752" s="49">
        <f t="shared" si="148"/>
        <v>1.8716098074638991E-9</v>
      </c>
      <c r="F752" s="49">
        <f t="shared" si="148"/>
        <v>1.573758981299236E-8</v>
      </c>
      <c r="G752" s="49">
        <f t="shared" si="148"/>
        <v>1.0496203176436361E-7</v>
      </c>
      <c r="H752" s="49">
        <f t="shared" si="148"/>
        <v>5.7842532238936865E-7</v>
      </c>
      <c r="I752" s="49">
        <f t="shared" si="148"/>
        <v>2.7092333167812557E-6</v>
      </c>
      <c r="J752" s="49">
        <f t="shared" si="148"/>
        <v>1.1010866614207023E-5</v>
      </c>
      <c r="K752" s="49">
        <f t="shared" si="148"/>
        <v>3.9451103210737658E-5</v>
      </c>
      <c r="L752" s="49">
        <f t="shared" si="149"/>
        <v>1.261866286158018E-4</v>
      </c>
      <c r="M752" s="49">
        <f t="shared" si="149"/>
        <v>3.6401700817735995E-4</v>
      </c>
      <c r="N752" s="49">
        <f t="shared" si="149"/>
        <v>9.551628723779319E-4</v>
      </c>
      <c r="O752" s="49">
        <f t="shared" si="149"/>
        <v>2.2962303054843937E-3</v>
      </c>
      <c r="P752" s="49">
        <f t="shared" si="149"/>
        <v>5.0891377819156031E-3</v>
      </c>
      <c r="Q752" s="49">
        <f t="shared" si="149"/>
        <v>1.0455457344319921E-2</v>
      </c>
      <c r="R752" s="49">
        <f t="shared" si="149"/>
        <v>2.0009481598035232E-2</v>
      </c>
      <c r="S752" s="49">
        <f t="shared" si="149"/>
        <v>3.5830179733776404E-2</v>
      </c>
      <c r="T752" s="49">
        <f t="shared" si="149"/>
        <v>6.0277893162435571E-2</v>
      </c>
      <c r="U752" s="49">
        <f t="shared" si="149"/>
        <v>9.5637187336839596E-2</v>
      </c>
      <c r="V752" s="49">
        <f t="shared" si="149"/>
        <v>0.1436284056182858</v>
      </c>
      <c r="W752" s="47">
        <v>0.251</v>
      </c>
    </row>
    <row r="753" spans="2:23" x14ac:dyDescent="0.25">
      <c r="B753" s="49">
        <f t="shared" ref="B753:K762" si="150">_xlfn.HYPGEOM.DIST(B$2,comau,tongtheN*$W753,tongtheN,TRUE)</f>
        <v>3.2027950287679466E-13</v>
      </c>
      <c r="C753" s="49">
        <f t="shared" si="150"/>
        <v>1.099743741947414E-11</v>
      </c>
      <c r="D753" s="49">
        <f t="shared" si="150"/>
        <v>1.8718914111849222E-10</v>
      </c>
      <c r="E753" s="49">
        <f t="shared" si="150"/>
        <v>2.1059150316412182E-9</v>
      </c>
      <c r="F753" s="49">
        <f t="shared" si="150"/>
        <v>1.7617115411064175E-8</v>
      </c>
      <c r="G753" s="49">
        <f t="shared" si="150"/>
        <v>1.1689795386099755E-7</v>
      </c>
      <c r="H753" s="49">
        <f t="shared" si="150"/>
        <v>6.4092615558888948E-7</v>
      </c>
      <c r="I753" s="49">
        <f t="shared" si="150"/>
        <v>2.986771692456387E-6</v>
      </c>
      <c r="J753" s="49">
        <f t="shared" si="150"/>
        <v>1.2077640333078378E-5</v>
      </c>
      <c r="K753" s="49">
        <f t="shared" si="150"/>
        <v>4.3056239725022889E-5</v>
      </c>
      <c r="L753" s="49">
        <f t="shared" ref="L753:V762" si="151">_xlfn.HYPGEOM.DIST(L$2,comau,tongtheN*$W753,tongtheN,TRUE)</f>
        <v>1.3703123632770309E-4</v>
      </c>
      <c r="M753" s="49">
        <f t="shared" si="151"/>
        <v>3.9334348485969676E-4</v>
      </c>
      <c r="N753" s="49">
        <f t="shared" si="151"/>
        <v>1.0270430490127184E-3</v>
      </c>
      <c r="O753" s="49">
        <f t="shared" si="151"/>
        <v>2.4570102797681062E-3</v>
      </c>
      <c r="P753" s="49">
        <f t="shared" si="151"/>
        <v>5.4192399586816837E-3</v>
      </c>
      <c r="Q753" s="49">
        <f t="shared" si="151"/>
        <v>1.1080660514433278E-2</v>
      </c>
      <c r="R753" s="49">
        <f t="shared" si="151"/>
        <v>2.1106527224524444E-2</v>
      </c>
      <c r="S753" s="49">
        <f t="shared" si="151"/>
        <v>3.7620361691836419E-2</v>
      </c>
      <c r="T753" s="49">
        <f t="shared" si="151"/>
        <v>6.3003611253069872E-2</v>
      </c>
      <c r="U753" s="49">
        <f t="shared" si="151"/>
        <v>9.9520960594042654E-2</v>
      </c>
      <c r="V753" s="49">
        <f t="shared" si="151"/>
        <v>0.14882064216490504</v>
      </c>
      <c r="W753" s="47">
        <v>0.25</v>
      </c>
    </row>
    <row r="754" spans="2:23" x14ac:dyDescent="0.25">
      <c r="B754" s="49">
        <f t="shared" si="150"/>
        <v>3.6593140892776463E-13</v>
      </c>
      <c r="C754" s="49">
        <f t="shared" si="150"/>
        <v>1.2500010162321335E-11</v>
      </c>
      <c r="D754" s="49">
        <f t="shared" si="150"/>
        <v>2.1166692419984894E-10</v>
      </c>
      <c r="E754" s="49">
        <f t="shared" si="150"/>
        <v>2.3690400572369394E-9</v>
      </c>
      <c r="F754" s="49">
        <f t="shared" si="150"/>
        <v>1.9716597093692281E-8</v>
      </c>
      <c r="G754" s="49">
        <f t="shared" si="150"/>
        <v>1.3015978465061708E-7</v>
      </c>
      <c r="H754" s="49">
        <f t="shared" si="150"/>
        <v>7.1000053247916823E-7</v>
      </c>
      <c r="I754" s="49">
        <f t="shared" si="150"/>
        <v>3.2918686477495006E-6</v>
      </c>
      <c r="J754" s="49">
        <f t="shared" si="150"/>
        <v>1.3244102888572274E-5</v>
      </c>
      <c r="K754" s="49">
        <f t="shared" si="150"/>
        <v>4.6977303193495742E-5</v>
      </c>
      <c r="L754" s="49">
        <f t="shared" si="151"/>
        <v>1.4876344199564673E-4</v>
      </c>
      <c r="M754" s="49">
        <f t="shared" si="151"/>
        <v>4.2490147777415725E-4</v>
      </c>
      <c r="N754" s="49">
        <f t="shared" si="151"/>
        <v>1.1039812956295783E-3</v>
      </c>
      <c r="O754" s="49">
        <f t="shared" si="151"/>
        <v>2.6281886032190438E-3</v>
      </c>
      <c r="P754" s="49">
        <f t="shared" si="151"/>
        <v>5.7688218009456461E-3</v>
      </c>
      <c r="Q754" s="49">
        <f t="shared" si="151"/>
        <v>1.1739235627739677E-2</v>
      </c>
      <c r="R754" s="49">
        <f t="shared" si="151"/>
        <v>2.2255983616850099E-2</v>
      </c>
      <c r="S754" s="49">
        <f t="shared" si="151"/>
        <v>3.9486091074919516E-2</v>
      </c>
      <c r="T754" s="49">
        <f t="shared" si="151"/>
        <v>6.5829246362849453E-2</v>
      </c>
      <c r="U754" s="49">
        <f t="shared" si="151"/>
        <v>0.10352568537546319</v>
      </c>
      <c r="V754" s="49">
        <f t="shared" si="151"/>
        <v>0.15414609993261752</v>
      </c>
      <c r="W754" s="47">
        <v>0.249</v>
      </c>
    </row>
    <row r="755" spans="2:23" x14ac:dyDescent="0.25">
      <c r="B755" s="49">
        <f t="shared" si="150"/>
        <v>4.1801630198820166E-13</v>
      </c>
      <c r="C755" s="49">
        <f t="shared" si="150"/>
        <v>1.4205172857471269E-11</v>
      </c>
      <c r="D755" s="49">
        <f t="shared" si="150"/>
        <v>2.3929685855237371E-10</v>
      </c>
      <c r="E755" s="49">
        <f t="shared" si="150"/>
        <v>2.664465150868206E-9</v>
      </c>
      <c r="F755" s="49">
        <f t="shared" si="150"/>
        <v>2.2061229546228898E-8</v>
      </c>
      <c r="G755" s="49">
        <f t="shared" si="150"/>
        <v>1.4489117102104518E-7</v>
      </c>
      <c r="H755" s="49">
        <f t="shared" si="150"/>
        <v>7.8631986615584787E-7</v>
      </c>
      <c r="I755" s="49">
        <f t="shared" si="150"/>
        <v>3.6271681620708006E-6</v>
      </c>
      <c r="J755" s="49">
        <f t="shared" si="150"/>
        <v>1.4519200140638269E-5</v>
      </c>
      <c r="K755" s="49">
        <f t="shared" si="150"/>
        <v>5.1240681167162772E-5</v>
      </c>
      <c r="L755" s="49">
        <f t="shared" si="151"/>
        <v>1.6145184868995995E-4</v>
      </c>
      <c r="M755" s="49">
        <f t="shared" si="151"/>
        <v>4.5884948259182387E-4</v>
      </c>
      <c r="N755" s="49">
        <f t="shared" si="151"/>
        <v>1.1863049468413107E-3</v>
      </c>
      <c r="O755" s="49">
        <f t="shared" si="151"/>
        <v>2.8103719040917007E-3</v>
      </c>
      <c r="P755" s="49">
        <f t="shared" si="151"/>
        <v>6.1388937129260475E-3</v>
      </c>
      <c r="Q755" s="49">
        <f t="shared" si="151"/>
        <v>1.2432693418965654E-2</v>
      </c>
      <c r="R755" s="49">
        <f t="shared" si="151"/>
        <v>2.3459867710549039E-2</v>
      </c>
      <c r="S755" s="49">
        <f t="shared" si="151"/>
        <v>4.1429742083542269E-2</v>
      </c>
      <c r="T755" s="49">
        <f t="shared" si="151"/>
        <v>6.8757193123818769E-2</v>
      </c>
      <c r="U755" s="49">
        <f t="shared" si="151"/>
        <v>0.10765328185730719</v>
      </c>
      <c r="V755" s="49">
        <f t="shared" si="151"/>
        <v>0.15960567654508137</v>
      </c>
      <c r="W755" s="47">
        <v>0.248</v>
      </c>
    </row>
    <row r="756" spans="2:23" x14ac:dyDescent="0.25">
      <c r="B756" s="49">
        <f t="shared" si="150"/>
        <v>4.7743026242035485E-13</v>
      </c>
      <c r="C756" s="49">
        <f t="shared" si="150"/>
        <v>1.6139873334580062E-11</v>
      </c>
      <c r="D756" s="49">
        <f t="shared" si="150"/>
        <v>2.7047849901020568E-10</v>
      </c>
      <c r="E756" s="49">
        <f t="shared" si="150"/>
        <v>2.9960828328657497E-9</v>
      </c>
      <c r="F756" s="49">
        <f t="shared" si="150"/>
        <v>2.4679028323685893E-8</v>
      </c>
      <c r="G756" s="49">
        <f t="shared" si="150"/>
        <v>1.6125090737757735E-7</v>
      </c>
      <c r="H756" s="49">
        <f t="shared" si="150"/>
        <v>8.7062197570417371E-7</v>
      </c>
      <c r="I756" s="49">
        <f t="shared" si="150"/>
        <v>3.9955582948006994E-6</v>
      </c>
      <c r="J756" s="49">
        <f t="shared" si="150"/>
        <v>1.5912644293155936E-5</v>
      </c>
      <c r="K756" s="49">
        <f t="shared" si="150"/>
        <v>5.5874843980603931E-5</v>
      </c>
      <c r="L756" s="49">
        <f t="shared" si="151"/>
        <v>1.751700046106102E-4</v>
      </c>
      <c r="M756" s="49">
        <f t="shared" si="151"/>
        <v>4.953563100670215E-4</v>
      </c>
      <c r="N756" s="49">
        <f t="shared" si="151"/>
        <v>1.2743602783803806E-3</v>
      </c>
      <c r="O756" s="49">
        <f t="shared" si="151"/>
        <v>3.0041973509320075E-3</v>
      </c>
      <c r="P756" s="49">
        <f t="shared" si="151"/>
        <v>6.5305089186193802E-3</v>
      </c>
      <c r="Q756" s="49">
        <f t="shared" si="151"/>
        <v>1.3162595580589766E-2</v>
      </c>
      <c r="R756" s="49">
        <f t="shared" si="151"/>
        <v>2.4720244770752541E-2</v>
      </c>
      <c r="S756" s="49">
        <f t="shared" si="151"/>
        <v>4.3453717801956671E-2</v>
      </c>
      <c r="T756" s="49">
        <f t="shared" si="151"/>
        <v>7.1789836777684607E-2</v>
      </c>
      <c r="U756" s="49">
        <f t="shared" si="151"/>
        <v>0.11190560869251899</v>
      </c>
      <c r="V756" s="49">
        <f t="shared" si="151"/>
        <v>0.16520015448382133</v>
      </c>
      <c r="W756" s="47">
        <v>0.247</v>
      </c>
    </row>
    <row r="757" spans="2:23" x14ac:dyDescent="0.25">
      <c r="B757" s="49">
        <f t="shared" si="150"/>
        <v>5.4519274281083243E-13</v>
      </c>
      <c r="C757" s="49">
        <f t="shared" si="150"/>
        <v>1.8334594730623321E-11</v>
      </c>
      <c r="D757" s="49">
        <f t="shared" si="150"/>
        <v>3.0566122497053747E-10</v>
      </c>
      <c r="E757" s="49">
        <f t="shared" si="150"/>
        <v>3.3682457291923934E-9</v>
      </c>
      <c r="F757" s="49">
        <f t="shared" si="150"/>
        <v>2.7601138066243976E-8</v>
      </c>
      <c r="G757" s="49">
        <f t="shared" si="150"/>
        <v>1.7941448652513807E-7</v>
      </c>
      <c r="H757" s="49">
        <f t="shared" si="150"/>
        <v>9.6371742266142269E-7</v>
      </c>
      <c r="I757" s="49">
        <f t="shared" si="150"/>
        <v>4.4001927467801889E-6</v>
      </c>
      <c r="J757" s="49">
        <f t="shared" si="150"/>
        <v>1.7434976043267916E-5</v>
      </c>
      <c r="K757" s="49">
        <f t="shared" si="150"/>
        <v>6.0910498139179379E-5</v>
      </c>
      <c r="L757" s="49">
        <f t="shared" si="151"/>
        <v>1.8999672894400008E-4</v>
      </c>
      <c r="M757" s="49">
        <f t="shared" si="151"/>
        <v>5.3460168138584412E-4</v>
      </c>
      <c r="N757" s="49">
        <f t="shared" si="151"/>
        <v>1.3685134332532605E-3</v>
      </c>
      <c r="O757" s="49">
        <f t="shared" si="151"/>
        <v>3.2103338451918589E-3</v>
      </c>
      <c r="P757" s="49">
        <f t="shared" si="151"/>
        <v>6.9447646352131494E-3</v>
      </c>
      <c r="Q757" s="49">
        <f t="shared" si="151"/>
        <v>1.3930555379462795E-2</v>
      </c>
      <c r="R757" s="49">
        <f t="shared" si="151"/>
        <v>2.6039227774412751E-2</v>
      </c>
      <c r="S757" s="49">
        <f t="shared" si="151"/>
        <v>4.5560447805414989E-2</v>
      </c>
      <c r="T757" s="49">
        <f t="shared" si="151"/>
        <v>7.4929548961190709E-2</v>
      </c>
      <c r="U757" s="49">
        <f t="shared" si="151"/>
        <v>0.11628445767194896</v>
      </c>
      <c r="V757" s="49">
        <f t="shared" si="151"/>
        <v>0.17093019601973564</v>
      </c>
      <c r="W757" s="47">
        <v>0.246</v>
      </c>
    </row>
    <row r="758" spans="2:23" x14ac:dyDescent="0.25">
      <c r="B758" s="49">
        <f t="shared" si="150"/>
        <v>6.2246335518607688E-13</v>
      </c>
      <c r="C758" s="49">
        <f t="shared" si="150"/>
        <v>2.0823812776889782E-11</v>
      </c>
      <c r="D758" s="49">
        <f t="shared" si="150"/>
        <v>3.4535034894443897E-10</v>
      </c>
      <c r="E758" s="49">
        <f t="shared" si="150"/>
        <v>3.7858198594249063E-9</v>
      </c>
      <c r="F758" s="49">
        <f t="shared" si="150"/>
        <v>3.0862173513690285E-8</v>
      </c>
      <c r="G758" s="49">
        <f t="shared" si="150"/>
        <v>1.9957580424057386E-7</v>
      </c>
      <c r="H758" s="49">
        <f t="shared" si="150"/>
        <v>1.0664964279453219E-6</v>
      </c>
      <c r="I758" s="49">
        <f t="shared" si="150"/>
        <v>4.8445142303833935E-6</v>
      </c>
      <c r="J758" s="49">
        <f t="shared" si="150"/>
        <v>1.9097631443261425E-5</v>
      </c>
      <c r="K758" s="49">
        <f t="shared" si="150"/>
        <v>6.6380750029694884E-5</v>
      </c>
      <c r="L758" s="49">
        <f t="shared" si="151"/>
        <v>2.0601645664374262E-4</v>
      </c>
      <c r="M758" s="49">
        <f t="shared" si="151"/>
        <v>5.7677685191754896E-4</v>
      </c>
      <c r="N758" s="49">
        <f t="shared" si="151"/>
        <v>1.4691513805976059E-3</v>
      </c>
      <c r="O758" s="49">
        <f t="shared" si="151"/>
        <v>3.4294832360770499E-3</v>
      </c>
      <c r="P758" s="49">
        <f t="shared" si="151"/>
        <v>7.3828032346109082E-3</v>
      </c>
      <c r="Q758" s="49">
        <f t="shared" si="151"/>
        <v>1.4738238203355264E-2</v>
      </c>
      <c r="R758" s="49">
        <f t="shared" si="151"/>
        <v>2.7418976655467459E-2</v>
      </c>
      <c r="S758" s="49">
        <f t="shared" si="151"/>
        <v>4.7752385585533727E-2</v>
      </c>
      <c r="T758" s="49">
        <f t="shared" si="151"/>
        <v>7.8178683322038769E-2</v>
      </c>
      <c r="U758" s="49">
        <f t="shared" si="151"/>
        <v>0.12079154830492636</v>
      </c>
      <c r="V758" s="49">
        <f t="shared" si="151"/>
        <v>0.17679633821481394</v>
      </c>
      <c r="W758" s="47">
        <v>0.245</v>
      </c>
    </row>
    <row r="759" spans="2:23" x14ac:dyDescent="0.25">
      <c r="B759" s="49">
        <f t="shared" si="150"/>
        <v>7.1056091550287371E-13</v>
      </c>
      <c r="C759" s="49">
        <f t="shared" si="150"/>
        <v>2.3646511383999948E-11</v>
      </c>
      <c r="D759" s="49">
        <f t="shared" si="150"/>
        <v>3.9011396088875591E-10</v>
      </c>
      <c r="E759" s="49">
        <f t="shared" si="150"/>
        <v>4.2542439642985245E-9</v>
      </c>
      <c r="F759" s="49">
        <f t="shared" si="150"/>
        <v>3.4500596709687219E-8</v>
      </c>
      <c r="G759" s="49">
        <f t="shared" si="150"/>
        <v>2.2194903221607885E-7</v>
      </c>
      <c r="H759" s="49">
        <f t="shared" si="150"/>
        <v>1.1799364199522687E-6</v>
      </c>
      <c r="I759" s="49">
        <f t="shared" si="150"/>
        <v>5.3322797905727301E-6</v>
      </c>
      <c r="J759" s="49">
        <f t="shared" si="150"/>
        <v>2.0913013802373044E-5</v>
      </c>
      <c r="K759" s="49">
        <f t="shared" si="150"/>
        <v>7.2321280565370403E-5</v>
      </c>
      <c r="L759" s="49">
        <f t="shared" si="151"/>
        <v>2.2331960302639857E-4</v>
      </c>
      <c r="M759" s="49">
        <f t="shared" si="151"/>
        <v>6.2208526426027553E-4</v>
      </c>
      <c r="N759" s="49">
        <f t="shared" si="151"/>
        <v>1.5766829074439521E-3</v>
      </c>
      <c r="O759" s="49">
        <f t="shared" si="151"/>
        <v>3.6623815561507523E-3</v>
      </c>
      <c r="P759" s="49">
        <f t="shared" si="151"/>
        <v>7.8458133891417883E-3</v>
      </c>
      <c r="Q759" s="49">
        <f t="shared" si="151"/>
        <v>1.5587362031320783E-2</v>
      </c>
      <c r="R759" s="49">
        <f t="shared" si="151"/>
        <v>2.886169740656731E-2</v>
      </c>
      <c r="S759" s="49">
        <f t="shared" si="151"/>
        <v>5.0032005790453499E-2</v>
      </c>
      <c r="T759" s="49">
        <f t="shared" si="151"/>
        <v>8.153957096838968E-2</v>
      </c>
      <c r="U759" s="49">
        <f t="shared" si="151"/>
        <v>0.12542852232978685</v>
      </c>
      <c r="V759" s="49">
        <f t="shared" si="151"/>
        <v>0.18279898800973252</v>
      </c>
      <c r="W759" s="47">
        <v>0.24399999999999999</v>
      </c>
    </row>
    <row r="760" spans="2:23" x14ac:dyDescent="0.25">
      <c r="B760" s="49">
        <f t="shared" si="150"/>
        <v>8.109850453215817E-13</v>
      </c>
      <c r="C760" s="49">
        <f t="shared" si="150"/>
        <v>2.6846763847257884E-11</v>
      </c>
      <c r="D760" s="49">
        <f t="shared" si="150"/>
        <v>4.4059059531724872E-10</v>
      </c>
      <c r="E760" s="49">
        <f t="shared" si="150"/>
        <v>4.7795955416698269E-9</v>
      </c>
      <c r="F760" s="49">
        <f t="shared" si="150"/>
        <v>3.8559134126255288E-8</v>
      </c>
      <c r="G760" s="49">
        <f t="shared" si="150"/>
        <v>2.4677067539898475E-7</v>
      </c>
      <c r="H760" s="49">
        <f t="shared" si="150"/>
        <v>1.3051102687106062E-6</v>
      </c>
      <c r="I760" s="49">
        <f t="shared" si="150"/>
        <v>5.8675882296671807E-6</v>
      </c>
      <c r="J760" s="49">
        <f t="shared" si="150"/>
        <v>2.289457097594337E-5</v>
      </c>
      <c r="K760" s="49">
        <f t="shared" si="150"/>
        <v>7.8770531404926363E-5</v>
      </c>
      <c r="L760" s="49">
        <f t="shared" si="151"/>
        <v>2.4200294909797318E-4</v>
      </c>
      <c r="M760" s="49">
        <f t="shared" si="151"/>
        <v>6.7074323146225107E-4</v>
      </c>
      <c r="N760" s="49">
        <f t="shared" si="151"/>
        <v>1.6915396434967363E-3</v>
      </c>
      <c r="O760" s="49">
        <f t="shared" si="151"/>
        <v>3.9098002760288957E-3</v>
      </c>
      <c r="P760" s="49">
        <f t="shared" si="151"/>
        <v>8.3350311972788787E-3</v>
      </c>
      <c r="Q760" s="49">
        <f t="shared" si="151"/>
        <v>1.6479697821574622E-2</v>
      </c>
      <c r="R760" s="49">
        <f t="shared" si="151"/>
        <v>3.0369641031031108E-2</v>
      </c>
      <c r="S760" s="49">
        <f t="shared" si="151"/>
        <v>5.2401801276850651E-2</v>
      </c>
      <c r="T760" s="49">
        <f t="shared" si="151"/>
        <v>8.5014515755664405E-2</v>
      </c>
      <c r="U760" s="49">
        <f t="shared" si="151"/>
        <v>0.13019693816564748</v>
      </c>
      <c r="V760" s="49">
        <f t="shared" si="151"/>
        <v>0.18893841741342149</v>
      </c>
      <c r="W760" s="47">
        <v>0.24299999999999999</v>
      </c>
    </row>
    <row r="761" spans="2:23" x14ac:dyDescent="0.25">
      <c r="B761" s="49">
        <f t="shared" si="150"/>
        <v>9.2544066993745909E-13</v>
      </c>
      <c r="C761" s="49">
        <f t="shared" si="150"/>
        <v>3.047438790032416E-11</v>
      </c>
      <c r="D761" s="49">
        <f t="shared" si="150"/>
        <v>4.9749781827702621E-10</v>
      </c>
      <c r="E761" s="49">
        <f t="shared" si="150"/>
        <v>5.3686643319973045E-9</v>
      </c>
      <c r="F761" s="49">
        <f t="shared" si="150"/>
        <v>4.3085237811120945E-8</v>
      </c>
      <c r="G761" s="49">
        <f t="shared" si="150"/>
        <v>2.7430183121438455E-7</v>
      </c>
      <c r="H761" s="49">
        <f t="shared" si="150"/>
        <v>1.4431952654756709E-6</v>
      </c>
      <c r="I761" s="49">
        <f t="shared" si="150"/>
        <v>6.4549097995495671E-6</v>
      </c>
      <c r="J761" s="49">
        <f t="shared" si="150"/>
        <v>2.5056878410391878E-5</v>
      </c>
      <c r="K761" s="49">
        <f t="shared" si="150"/>
        <v>8.5769903415367605E-5</v>
      </c>
      <c r="L761" s="49">
        <f t="shared" si="151"/>
        <v>2.6217004855110047E-4</v>
      </c>
      <c r="M761" s="49">
        <f t="shared" si="151"/>
        <v>7.2298065128526738E-4</v>
      </c>
      <c r="N761" s="49">
        <f t="shared" si="151"/>
        <v>1.814177118955669E-3</v>
      </c>
      <c r="O761" s="49">
        <f t="shared" si="151"/>
        <v>4.1725475763103792E-3</v>
      </c>
      <c r="P761" s="49">
        <f t="shared" si="151"/>
        <v>8.8517412849431262E-3</v>
      </c>
      <c r="Q761" s="49">
        <f t="shared" si="151"/>
        <v>1.7417069810413979E-2</v>
      </c>
      <c r="R761" s="49">
        <f t="shared" si="151"/>
        <v>3.1945102338762237E-2</v>
      </c>
      <c r="S761" s="49">
        <f t="shared" si="151"/>
        <v>5.4864279971298453E-2</v>
      </c>
      <c r="T761" s="49">
        <f t="shared" si="151"/>
        <v>8.8605789415061711E-2</v>
      </c>
      <c r="U761" s="49">
        <f t="shared" si="151"/>
        <v>0.13509826531742064</v>
      </c>
      <c r="V761" s="49">
        <f t="shared" si="151"/>
        <v>0.19521475881097994</v>
      </c>
      <c r="W761" s="47">
        <v>0.24199999999999999</v>
      </c>
    </row>
    <row r="762" spans="2:23" x14ac:dyDescent="0.25">
      <c r="B762" s="49">
        <f t="shared" si="150"/>
        <v>1.0558657967179307E-12</v>
      </c>
      <c r="C762" s="49">
        <f t="shared" si="150"/>
        <v>3.4585683861134809E-11</v>
      </c>
      <c r="D762" s="49">
        <f t="shared" si="150"/>
        <v>5.61641842509476E-10</v>
      </c>
      <c r="E762" s="49">
        <f t="shared" si="150"/>
        <v>6.0290340742764538E-9</v>
      </c>
      <c r="F762" s="49">
        <f t="shared" si="150"/>
        <v>4.8131595068650323E-8</v>
      </c>
      <c r="G762" s="49">
        <f t="shared" si="150"/>
        <v>3.048306697449874E-7</v>
      </c>
      <c r="H762" s="49">
        <f t="shared" si="150"/>
        <v>1.5954829119975748E-6</v>
      </c>
      <c r="I762" s="49">
        <f t="shared" si="150"/>
        <v>7.0991183367395444E-6</v>
      </c>
      <c r="J762" s="49">
        <f t="shared" si="150"/>
        <v>2.7415728334541926E-5</v>
      </c>
      <c r="K762" s="49">
        <f t="shared" si="150"/>
        <v>9.3363968078468524E-5</v>
      </c>
      <c r="L762" s="49">
        <f t="shared" si="151"/>
        <v>2.8393165739565328E-4</v>
      </c>
      <c r="M762" s="49">
        <f t="shared" si="151"/>
        <v>7.7904175235815349E-4</v>
      </c>
      <c r="N762" s="49">
        <f t="shared" si="151"/>
        <v>1.9450758552942524E-3</v>
      </c>
      <c r="O762" s="49">
        <f t="shared" si="151"/>
        <v>4.4514696346796383E-3</v>
      </c>
      <c r="P762" s="49">
        <f t="shared" si="151"/>
        <v>9.3972778777161228E-3</v>
      </c>
      <c r="Q762" s="49">
        <f t="shared" si="151"/>
        <v>1.8401355715538529E-2</v>
      </c>
      <c r="R762" s="49">
        <f t="shared" si="151"/>
        <v>3.359041857995694E-2</v>
      </c>
      <c r="S762" s="49">
        <f t="shared" si="151"/>
        <v>5.7421961538917675E-2</v>
      </c>
      <c r="T762" s="49">
        <f t="shared" si="151"/>
        <v>9.2315626528921405E-2</v>
      </c>
      <c r="U762" s="49">
        <f t="shared" si="151"/>
        <v>0.14013387874672897</v>
      </c>
      <c r="V762" s="49">
        <f t="shared" si="151"/>
        <v>0.20162800040664733</v>
      </c>
      <c r="W762" s="47">
        <v>0.24099999999999999</v>
      </c>
    </row>
    <row r="763" spans="2:23" x14ac:dyDescent="0.25">
      <c r="B763" s="49">
        <f t="shared" ref="B763:K772" si="152">_xlfn.HYPGEOM.DIST(B$2,comau,tongtheN*$W763,tongtheN,TRUE)</f>
        <v>1.2044630076252395E-12</v>
      </c>
      <c r="C763" s="49">
        <f t="shared" si="152"/>
        <v>3.9244266253380071E-11</v>
      </c>
      <c r="D763" s="49">
        <f t="shared" si="152"/>
        <v>6.3392829162147814E-10</v>
      </c>
      <c r="E763" s="49">
        <f t="shared" si="152"/>
        <v>6.7691734415698888E-9</v>
      </c>
      <c r="F763" s="49">
        <f t="shared" si="152"/>
        <v>5.3756691632251061E-8</v>
      </c>
      <c r="G763" s="49">
        <f t="shared" si="152"/>
        <v>3.386751556672048E-7</v>
      </c>
      <c r="H763" s="49">
        <f t="shared" si="152"/>
        <v>1.7633895889030066E-6</v>
      </c>
      <c r="I763" s="49">
        <f t="shared" si="152"/>
        <v>7.8055260281951598E-6</v>
      </c>
      <c r="J763" s="49">
        <f t="shared" si="152"/>
        <v>2.9988225510925165E-5</v>
      </c>
      <c r="K763" s="49">
        <f t="shared" si="152"/>
        <v>1.0160069257209953E-4</v>
      </c>
      <c r="L763" s="49">
        <f t="shared" ref="L763:V772" si="153">_xlfn.HYPGEOM.DIST(L$2,comau,tongtheN*$W763,tongtheN,TRUE)</f>
        <v>3.0740618720739393E-4</v>
      </c>
      <c r="M763" s="49">
        <f t="shared" si="153"/>
        <v>8.3918587304413568E-4</v>
      </c>
      <c r="N763" s="49">
        <f t="shared" si="153"/>
        <v>2.0847424888008142E-3</v>
      </c>
      <c r="O763" s="49">
        <f t="shared" si="153"/>
        <v>4.7474519259064468E-3</v>
      </c>
      <c r="P763" s="49">
        <f t="shared" si="153"/>
        <v>9.9730258390279668E-3</v>
      </c>
      <c r="Q763" s="49">
        <f t="shared" si="153"/>
        <v>1.9434486836979487E-2</v>
      </c>
      <c r="R763" s="49">
        <f t="shared" si="153"/>
        <v>3.530796791055707E-2</v>
      </c>
      <c r="S763" s="49">
        <f t="shared" si="153"/>
        <v>6.0077373857745961E-2</v>
      </c>
      <c r="T763" s="49">
        <f t="shared" si="153"/>
        <v>9.6146219358827584E-2</v>
      </c>
      <c r="U763" s="49">
        <f t="shared" si="153"/>
        <v>0.14530505322210827</v>
      </c>
      <c r="V763" s="49">
        <f t="shared" si="153"/>
        <v>0.20817798181876671</v>
      </c>
      <c r="W763" s="47">
        <v>0.24</v>
      </c>
    </row>
    <row r="764" spans="2:23" x14ac:dyDescent="0.25">
      <c r="B764" s="49">
        <f t="shared" si="152"/>
        <v>1.3737351566305695E-12</v>
      </c>
      <c r="C764" s="49">
        <f t="shared" si="152"/>
        <v>4.4522000564471614E-11</v>
      </c>
      <c r="D764" s="49">
        <f t="shared" si="152"/>
        <v>7.1537424801308114E-10</v>
      </c>
      <c r="E764" s="49">
        <f t="shared" si="152"/>
        <v>7.5985371626930199E-9</v>
      </c>
      <c r="F764" s="49">
        <f t="shared" si="152"/>
        <v>6.0025433776009571E-8</v>
      </c>
      <c r="G764" s="49">
        <f t="shared" si="152"/>
        <v>3.7618603461530389E-7</v>
      </c>
      <c r="H764" s="49">
        <f t="shared" si="152"/>
        <v>1.948468178233162E-6</v>
      </c>
      <c r="I764" s="49">
        <f t="shared" si="152"/>
        <v>8.5799210089205933E-6</v>
      </c>
      <c r="J764" s="49">
        <f t="shared" si="152"/>
        <v>3.2792889984857086E-5</v>
      </c>
      <c r="K764" s="49">
        <f t="shared" si="152"/>
        <v>1.1053167928922626E-4</v>
      </c>
      <c r="L764" s="49">
        <f t="shared" si="153"/>
        <v>3.3272018299944795E-4</v>
      </c>
      <c r="M764" s="49">
        <f t="shared" si="153"/>
        <v>9.0368827381654315E-4</v>
      </c>
      <c r="N764" s="49">
        <f t="shared" si="153"/>
        <v>2.2337109265655537E-3</v>
      </c>
      <c r="O764" s="49">
        <f t="shared" si="153"/>
        <v>5.0614205322449387E-3</v>
      </c>
      <c r="P764" s="49">
        <f t="shared" si="153"/>
        <v>1.0580421669132088E-2</v>
      </c>
      <c r="Q764" s="49">
        <f t="shared" si="153"/>
        <v>2.0518448048702745E-2</v>
      </c>
      <c r="R764" s="49">
        <f t="shared" si="153"/>
        <v>3.710016768355346E-2</v>
      </c>
      <c r="S764" s="49">
        <f t="shared" si="153"/>
        <v>6.2833049297779067E-2</v>
      </c>
      <c r="T764" s="49">
        <f t="shared" si="153"/>
        <v>0.10009971253308327</v>
      </c>
      <c r="U764" s="49">
        <f t="shared" si="153"/>
        <v>0.15061295766252514</v>
      </c>
      <c r="V764" s="49">
        <f t="shared" si="153"/>
        <v>0.21486438984388259</v>
      </c>
      <c r="W764" s="47">
        <v>0.23899999999999999</v>
      </c>
    </row>
    <row r="765" spans="2:23" x14ac:dyDescent="0.25">
      <c r="B765" s="49">
        <f t="shared" si="152"/>
        <v>1.5665258267778585E-12</v>
      </c>
      <c r="C765" s="49">
        <f t="shared" si="152"/>
        <v>5.0500058233256753E-11</v>
      </c>
      <c r="D765" s="49">
        <f t="shared" si="152"/>
        <v>8.0712173479855875E-10</v>
      </c>
      <c r="E765" s="49">
        <f t="shared" si="152"/>
        <v>8.5276784441908623E-9</v>
      </c>
      <c r="F765" s="49">
        <f t="shared" si="152"/>
        <v>6.7009835349781421E-8</v>
      </c>
      <c r="G765" s="49">
        <f t="shared" si="152"/>
        <v>4.1775010867792739E-7</v>
      </c>
      <c r="H765" s="49">
        <f t="shared" si="152"/>
        <v>2.1524207211988745E-6</v>
      </c>
      <c r="I765" s="49">
        <f t="shared" si="152"/>
        <v>9.4286080064881979E-6</v>
      </c>
      <c r="J765" s="49">
        <f t="shared" si="152"/>
        <v>3.5849767294330424E-5</v>
      </c>
      <c r="K765" s="49">
        <f t="shared" si="152"/>
        <v>1.2021242058971897E-4</v>
      </c>
      <c r="L765" s="49">
        <f t="shared" si="153"/>
        <v>3.6000882674001714E-4</v>
      </c>
      <c r="M765" s="49">
        <f t="shared" si="153"/>
        <v>9.72840983902542E-4</v>
      </c>
      <c r="N765" s="49">
        <f t="shared" si="153"/>
        <v>2.3925435344667972E-3</v>
      </c>
      <c r="O765" s="49">
        <f t="shared" si="153"/>
        <v>5.394343461501366E-3</v>
      </c>
      <c r="P765" s="49">
        <f t="shared" si="153"/>
        <v>1.1220954459418628E-2</v>
      </c>
      <c r="Q765" s="49">
        <f t="shared" si="153"/>
        <v>2.1655277673832588E-2</v>
      </c>
      <c r="R765" s="49">
        <f t="shared" si="153"/>
        <v>3.8969472560434489E-2</v>
      </c>
      <c r="S765" s="49">
        <f t="shared" si="153"/>
        <v>6.569152080419989E-2</v>
      </c>
      <c r="T765" s="49">
        <f t="shared" si="153"/>
        <v>0.10417819760098718</v>
      </c>
      <c r="U765" s="49">
        <f t="shared" si="153"/>
        <v>0.15605864948889897</v>
      </c>
      <c r="V765" s="49">
        <f t="shared" si="153"/>
        <v>0.22168675440724062</v>
      </c>
      <c r="W765" s="47">
        <v>0.23799999999999999</v>
      </c>
    </row>
    <row r="766" spans="2:23" x14ac:dyDescent="0.25">
      <c r="B766" s="49">
        <f t="shared" si="152"/>
        <v>1.7860651739662841E-12</v>
      </c>
      <c r="C766" s="49">
        <f t="shared" si="152"/>
        <v>5.7270104566169543E-11</v>
      </c>
      <c r="D766" s="49">
        <f t="shared" si="152"/>
        <v>9.1045279919229314E-10</v>
      </c>
      <c r="E766" s="49">
        <f t="shared" si="152"/>
        <v>9.5683739254858633E-9</v>
      </c>
      <c r="F766" s="49">
        <f t="shared" si="152"/>
        <v>7.4789776309251668E-8</v>
      </c>
      <c r="G766" s="49">
        <f t="shared" si="152"/>
        <v>4.6379382793628207E-7</v>
      </c>
      <c r="H766" s="49">
        <f t="shared" si="152"/>
        <v>2.3771121986759815E-6</v>
      </c>
      <c r="I766" s="49">
        <f t="shared" si="152"/>
        <v>1.0358452262463487E-5</v>
      </c>
      <c r="J766" s="49">
        <f t="shared" si="152"/>
        <v>3.9180546630119046E-5</v>
      </c>
      <c r="K766" s="49">
        <f t="shared" si="152"/>
        <v>1.3070256961276566E-4</v>
      </c>
      <c r="L766" s="49">
        <f t="shared" si="153"/>
        <v>3.894164675563457E-4</v>
      </c>
      <c r="M766" s="49">
        <f t="shared" si="153"/>
        <v>1.0469536829133422E-3</v>
      </c>
      <c r="N766" s="49">
        <f t="shared" si="153"/>
        <v>2.5618323565677493E-3</v>
      </c>
      <c r="O766" s="49">
        <f t="shared" si="153"/>
        <v>5.7472319697988525E-3</v>
      </c>
      <c r="P766" s="49">
        <f t="shared" si="153"/>
        <v>1.1896166796362431E-2</v>
      </c>
      <c r="Q766" s="49">
        <f t="shared" si="153"/>
        <v>2.2847067236332744E-2</v>
      </c>
      <c r="R766" s="49">
        <f t="shared" si="153"/>
        <v>4.0918372437292148E-2</v>
      </c>
      <c r="S766" s="49">
        <f t="shared" si="153"/>
        <v>6.8655317784896169E-2</v>
      </c>
      <c r="T766" s="49">
        <f t="shared" si="153"/>
        <v>0.10838370746212894</v>
      </c>
      <c r="U766" s="49">
        <f t="shared" si="153"/>
        <v>0.16164306899894487</v>
      </c>
      <c r="V766" s="49">
        <f t="shared" si="153"/>
        <v>0.2286444447170789</v>
      </c>
      <c r="W766" s="47">
        <v>0.23699999999999999</v>
      </c>
    </row>
    <row r="767" spans="2:23" x14ac:dyDescent="0.25">
      <c r="B767" s="49">
        <f t="shared" si="152"/>
        <v>2.036021866143512E-12</v>
      </c>
      <c r="C767" s="49">
        <f t="shared" si="152"/>
        <v>6.4935636079703103E-11</v>
      </c>
      <c r="D767" s="49">
        <f t="shared" si="152"/>
        <v>1.0268063840004699E-9</v>
      </c>
      <c r="E767" s="49">
        <f t="shared" si="152"/>
        <v>1.073376253113046E-8</v>
      </c>
      <c r="F767" s="49">
        <f t="shared" si="152"/>
        <v>8.345383995521655E-8</v>
      </c>
      <c r="G767" s="49">
        <f t="shared" si="152"/>
        <v>5.1478722734470034E-7</v>
      </c>
      <c r="H767" s="49">
        <f t="shared" si="152"/>
        <v>2.6245855289026109E-6</v>
      </c>
      <c r="I767" s="49">
        <f t="shared" si="152"/>
        <v>1.137692697650817E-5</v>
      </c>
      <c r="J767" s="49">
        <f t="shared" si="152"/>
        <v>4.2808687462967846E-5</v>
      </c>
      <c r="K767" s="49">
        <f t="shared" si="152"/>
        <v>1.4206622801081638E-4</v>
      </c>
      <c r="L767" s="49">
        <f t="shared" si="153"/>
        <v>4.2109717967939283E-4</v>
      </c>
      <c r="M767" s="49">
        <f t="shared" si="153"/>
        <v>1.1263546181317597E-3</v>
      </c>
      <c r="N767" s="49">
        <f t="shared" si="153"/>
        <v>2.7422003651850001E-3</v>
      </c>
      <c r="O767" s="49">
        <f t="shared" si="153"/>
        <v>6.1211418858180353E-3</v>
      </c>
      <c r="P767" s="49">
        <f t="shared" si="153"/>
        <v>1.2607655609143594E-2</v>
      </c>
      <c r="Q767" s="49">
        <f t="shared" si="153"/>
        <v>2.4095961081896239E-2</v>
      </c>
      <c r="R767" s="49">
        <f t="shared" si="153"/>
        <v>4.2949390180345111E-2</v>
      </c>
      <c r="S767" s="49">
        <f t="shared" si="153"/>
        <v>7.172696180299927E-2</v>
      </c>
      <c r="T767" s="49">
        <f t="shared" si="153"/>
        <v>0.11271821067972225</v>
      </c>
      <c r="U767" s="49">
        <f t="shared" si="153"/>
        <v>0.16736703378125609</v>
      </c>
      <c r="V767" s="49">
        <f t="shared" si="153"/>
        <v>0.2357366656400558</v>
      </c>
      <c r="W767" s="47">
        <v>0.23599999999999999</v>
      </c>
    </row>
    <row r="768" spans="2:23" x14ac:dyDescent="0.25">
      <c r="B768" s="49">
        <f t="shared" si="152"/>
        <v>2.3205619187194578E-12</v>
      </c>
      <c r="C768" s="49">
        <f t="shared" si="152"/>
        <v>7.3613485782936564E-11</v>
      </c>
      <c r="D768" s="49">
        <f t="shared" si="152"/>
        <v>1.1577971951777008E-9</v>
      </c>
      <c r="E768" s="49">
        <f t="shared" si="152"/>
        <v>1.203849972867957E-8</v>
      </c>
      <c r="F768" s="49">
        <f t="shared" si="152"/>
        <v>9.3100236799487561E-8</v>
      </c>
      <c r="G768" s="49">
        <f t="shared" si="152"/>
        <v>5.7124824084650229E-7</v>
      </c>
      <c r="H768" s="49">
        <f t="shared" si="152"/>
        <v>2.8970778842808812E-6</v>
      </c>
      <c r="I768" s="49">
        <f t="shared" si="152"/>
        <v>1.2492164535642391E-5</v>
      </c>
      <c r="J768" s="49">
        <f t="shared" si="152"/>
        <v>4.6759555183343252E-5</v>
      </c>
      <c r="K768" s="49">
        <f t="shared" si="152"/>
        <v>1.5437225149933466E-4</v>
      </c>
      <c r="L768" s="49">
        <f t="shared" si="153"/>
        <v>4.5521534919548072E-4</v>
      </c>
      <c r="M768" s="49">
        <f t="shared" si="153"/>
        <v>1.2113915580733482E-3</v>
      </c>
      <c r="N768" s="49">
        <f t="shared" si="153"/>
        <v>2.9343027407274136E-3</v>
      </c>
      <c r="O768" s="49">
        <f t="shared" si="153"/>
        <v>6.5171749330337958E-3</v>
      </c>
      <c r="P768" s="49">
        <f t="shared" si="153"/>
        <v>1.335707295472781E-2</v>
      </c>
      <c r="Q768" s="49">
        <f t="shared" si="153"/>
        <v>2.540415586072722E-2</v>
      </c>
      <c r="R768" s="49">
        <f t="shared" si="153"/>
        <v>4.5065079165943996E-2</v>
      </c>
      <c r="S768" s="49">
        <f t="shared" si="153"/>
        <v>7.4908962075839983E-2</v>
      </c>
      <c r="T768" s="49">
        <f t="shared" si="153"/>
        <v>0.11718360568781061</v>
      </c>
      <c r="U768" s="49">
        <f t="shared" si="153"/>
        <v>0.1732312331851138</v>
      </c>
      <c r="V768" s="49">
        <f t="shared" si="153"/>
        <v>0.24296245431520722</v>
      </c>
      <c r="W768" s="47">
        <v>0.23499999999999999</v>
      </c>
    </row>
    <row r="769" spans="2:23" x14ac:dyDescent="0.25">
      <c r="B769" s="49">
        <f t="shared" si="152"/>
        <v>2.6444153309573736E-12</v>
      </c>
      <c r="C769" s="49">
        <f t="shared" si="152"/>
        <v>8.343551717208685E-11</v>
      </c>
      <c r="D769" s="49">
        <f t="shared" si="152"/>
        <v>1.3052367971077377E-9</v>
      </c>
      <c r="E769" s="49">
        <f t="shared" si="152"/>
        <v>1.3498928860177389E-8</v>
      </c>
      <c r="F769" s="49">
        <f t="shared" si="152"/>
        <v>1.0383782374385568E-7</v>
      </c>
      <c r="G769" s="49">
        <f t="shared" si="152"/>
        <v>6.337474274267217E-7</v>
      </c>
      <c r="H769" s="49">
        <f t="shared" si="152"/>
        <v>3.1970384371656123E-6</v>
      </c>
      <c r="I769" s="49">
        <f t="shared" si="152"/>
        <v>1.3713011808854578E-5</v>
      </c>
      <c r="J769" s="49">
        <f t="shared" si="152"/>
        <v>5.1060566328966466E-5</v>
      </c>
      <c r="K769" s="49">
        <f t="shared" si="152"/>
        <v>1.6769457415014461E-4</v>
      </c>
      <c r="L769" s="49">
        <f t="shared" si="153"/>
        <v>4.9194629068033283E-4</v>
      </c>
      <c r="M769" s="49">
        <f t="shared" si="153"/>
        <v>1.3024327828753135E-3</v>
      </c>
      <c r="N769" s="49">
        <f t="shared" si="153"/>
        <v>3.1388281802323314E-3</v>
      </c>
      <c r="O769" s="49">
        <f t="shared" si="153"/>
        <v>6.9364800462003579E-3</v>
      </c>
      <c r="P769" s="49">
        <f t="shared" si="153"/>
        <v>1.4146126733941613E-2</v>
      </c>
      <c r="Q769" s="49">
        <f t="shared" si="153"/>
        <v>2.6773899864856492E-2</v>
      </c>
      <c r="R769" s="49">
        <f t="shared" si="153"/>
        <v>4.7268020620420945E-2</v>
      </c>
      <c r="S769" s="49">
        <f t="shared" si="153"/>
        <v>7.8203810782406596E-2</v>
      </c>
      <c r="T769" s="49">
        <f t="shared" si="153"/>
        <v>0.12178171490301168</v>
      </c>
      <c r="U769" s="49">
        <f t="shared" si="153"/>
        <v>0.17923622286306112</v>
      </c>
      <c r="V769" s="49">
        <f t="shared" si="153"/>
        <v>0.25032067702367183</v>
      </c>
      <c r="W769" s="47">
        <v>0.23400000000000001</v>
      </c>
    </row>
    <row r="770" spans="2:23" x14ac:dyDescent="0.25">
      <c r="B770" s="49">
        <f t="shared" si="152"/>
        <v>3.0129515453753229E-12</v>
      </c>
      <c r="C770" s="49">
        <f t="shared" si="152"/>
        <v>9.4550530238318355E-11</v>
      </c>
      <c r="D770" s="49">
        <f t="shared" si="152"/>
        <v>1.4711571936117812E-9</v>
      </c>
      <c r="E770" s="49">
        <f t="shared" si="152"/>
        <v>1.5133271391094432E-8</v>
      </c>
      <c r="F770" s="49">
        <f t="shared" si="152"/>
        <v>1.1578722809929448E-7</v>
      </c>
      <c r="G770" s="49">
        <f t="shared" si="152"/>
        <v>7.029131468456776E-7</v>
      </c>
      <c r="H770" s="49">
        <f t="shared" si="152"/>
        <v>3.5271476530733239E-6</v>
      </c>
      <c r="I770" s="49">
        <f t="shared" si="152"/>
        <v>1.5049089805950583E-5</v>
      </c>
      <c r="J770" s="49">
        <f t="shared" si="152"/>
        <v>5.5741344006242268E-5</v>
      </c>
      <c r="K770" s="49">
        <f t="shared" si="152"/>
        <v>1.8211255238973642E-4</v>
      </c>
      <c r="L770" s="49">
        <f t="shared" si="153"/>
        <v>5.3147689479681468E-4</v>
      </c>
      <c r="M770" s="49">
        <f t="shared" si="153"/>
        <v>1.3998681119973678E-3</v>
      </c>
      <c r="N770" s="49">
        <f t="shared" si="153"/>
        <v>3.3565002333416881E-3</v>
      </c>
      <c r="O770" s="49">
        <f t="shared" si="153"/>
        <v>7.3802546780655552E-3</v>
      </c>
      <c r="P770" s="49">
        <f t="shared" si="153"/>
        <v>1.4976581331834937E-2</v>
      </c>
      <c r="Q770" s="49">
        <f t="shared" si="153"/>
        <v>2.8207492212608414E-2</v>
      </c>
      <c r="R770" s="49">
        <f t="shared" si="153"/>
        <v>4.956082075554178E-2</v>
      </c>
      <c r="S770" s="49">
        <f t="shared" si="153"/>
        <v>8.1613978182128108E-2</v>
      </c>
      <c r="T770" s="49">
        <f t="shared" si="153"/>
        <v>0.12651427875227972</v>
      </c>
      <c r="U770" s="49">
        <f t="shared" si="153"/>
        <v>0.18538241940375863</v>
      </c>
      <c r="V770" s="49">
        <f t="shared" si="153"/>
        <v>0.2578100263312415</v>
      </c>
      <c r="W770" s="47">
        <v>0.23300000000000001</v>
      </c>
    </row>
    <row r="771" spans="2:23" x14ac:dyDescent="0.25">
      <c r="B771" s="49">
        <f t="shared" si="152"/>
        <v>3.4322648844839078E-12</v>
      </c>
      <c r="C771" s="49">
        <f t="shared" si="152"/>
        <v>1.0712640562229313E-10</v>
      </c>
      <c r="D771" s="49">
        <f t="shared" si="152"/>
        <v>1.6578371819631324E-9</v>
      </c>
      <c r="E771" s="49">
        <f t="shared" si="152"/>
        <v>1.6961838114407312E-8</v>
      </c>
      <c r="F771" s="49">
        <f t="shared" si="152"/>
        <v>1.2908208689145968E-7</v>
      </c>
      <c r="G771" s="49">
        <f t="shared" si="152"/>
        <v>7.7943722609081257E-7</v>
      </c>
      <c r="H771" s="49">
        <f t="shared" si="152"/>
        <v>3.8903382589025419E-6</v>
      </c>
      <c r="I771" s="49">
        <f t="shared" si="152"/>
        <v>1.6510858019327293E-5</v>
      </c>
      <c r="J771" s="49">
        <f t="shared" si="152"/>
        <v>6.0833884143726648E-5</v>
      </c>
      <c r="K771" s="49">
        <f t="shared" si="152"/>
        <v>1.9771132969731615E-4</v>
      </c>
      <c r="L771" s="49">
        <f t="shared" si="153"/>
        <v>5.7400630794008864E-4</v>
      </c>
      <c r="M771" s="49">
        <f t="shared" si="153"/>
        <v>1.5041099696406167E-3</v>
      </c>
      <c r="N771" s="49">
        <f t="shared" si="153"/>
        <v>3.588078664266602E-3</v>
      </c>
      <c r="O771" s="49">
        <f t="shared" si="153"/>
        <v>7.849746092009325E-3</v>
      </c>
      <c r="P771" s="49">
        <f t="shared" si="153"/>
        <v>1.5850258175386035E-2</v>
      </c>
      <c r="Q771" s="49">
        <f t="shared" si="153"/>
        <v>2.9707281872847161E-2</v>
      </c>
      <c r="R771" s="49">
        <f t="shared" si="153"/>
        <v>5.1946107695696915E-2</v>
      </c>
      <c r="S771" s="49">
        <f t="shared" si="153"/>
        <v>8.514190754854338E-2</v>
      </c>
      <c r="T771" s="49">
        <f t="shared" si="153"/>
        <v>0.13138294962899633</v>
      </c>
      <c r="U771" s="49">
        <f t="shared" si="153"/>
        <v>0.19167009507313149</v>
      </c>
      <c r="V771" s="49">
        <f t="shared" si="153"/>
        <v>0.26542901852061912</v>
      </c>
      <c r="W771" s="47">
        <v>0.23200000000000001</v>
      </c>
    </row>
    <row r="772" spans="2:23" x14ac:dyDescent="0.25">
      <c r="B772" s="49">
        <f t="shared" si="152"/>
        <v>3.9092712683968558E-12</v>
      </c>
      <c r="C772" s="49">
        <f t="shared" si="152"/>
        <v>1.213525162198611E-10</v>
      </c>
      <c r="D772" s="49">
        <f t="shared" si="152"/>
        <v>1.8678317997116129E-9</v>
      </c>
      <c r="E772" s="49">
        <f t="shared" si="152"/>
        <v>1.9007263561135724E-8</v>
      </c>
      <c r="F772" s="49">
        <f t="shared" si="152"/>
        <v>1.4387041290242887E-7</v>
      </c>
      <c r="G772" s="49">
        <f t="shared" si="152"/>
        <v>8.6408116114842958E-7</v>
      </c>
      <c r="H772" s="49">
        <f t="shared" si="152"/>
        <v>4.289818023559117E-6</v>
      </c>
      <c r="I772" s="49">
        <f t="shared" si="152"/>
        <v>1.8109683788232524E-5</v>
      </c>
      <c r="J772" s="49">
        <f t="shared" si="152"/>
        <v>6.6372733248945374E-5</v>
      </c>
      <c r="K772" s="49">
        <f t="shared" si="152"/>
        <v>2.1458222303060074E-4</v>
      </c>
      <c r="L772" s="49">
        <f t="shared" si="153"/>
        <v>6.1974664501238358E-4</v>
      </c>
      <c r="M772" s="49">
        <f t="shared" si="153"/>
        <v>1.6155944882030831E-3</v>
      </c>
      <c r="N772" s="49">
        <f t="shared" si="153"/>
        <v>3.8343608380817318E-3</v>
      </c>
      <c r="O772" s="49">
        <f t="shared" si="153"/>
        <v>8.3462526360176016E-3</v>
      </c>
      <c r="P772" s="49">
        <f t="shared" si="153"/>
        <v>1.6769036201372239E-2</v>
      </c>
      <c r="Q772" s="49">
        <f t="shared" si="153"/>
        <v>3.1275666521661839E-2</v>
      </c>
      <c r="R772" s="49">
        <f t="shared" si="153"/>
        <v>5.4426528193414155E-2</v>
      </c>
      <c r="S772" s="49">
        <f t="shared" si="153"/>
        <v>8.8790009922235777E-2</v>
      </c>
      <c r="T772" s="49">
        <f t="shared" si="153"/>
        <v>0.13638928579051537</v>
      </c>
      <c r="U772" s="49">
        <f t="shared" si="153"/>
        <v>0.19809937268217889</v>
      </c>
      <c r="V772" s="49">
        <f t="shared" si="153"/>
        <v>0.27317599132988157</v>
      </c>
      <c r="W772" s="47">
        <v>0.23100000000000001</v>
      </c>
    </row>
    <row r="773" spans="2:23" x14ac:dyDescent="0.25">
      <c r="B773" s="49">
        <f t="shared" ref="B773:K782" si="154">_xlfn.HYPGEOM.DIST(B$2,comau,tongtheN*$W773,tongtheN,TRUE)</f>
        <v>4.451817685114438E-12</v>
      </c>
      <c r="C773" s="49">
        <f t="shared" si="154"/>
        <v>1.3744243909277439E-10</v>
      </c>
      <c r="D773" s="49">
        <f t="shared" si="154"/>
        <v>2.1040052202488923E-9</v>
      </c>
      <c r="E773" s="49">
        <f t="shared" si="154"/>
        <v>2.1294766104023155E-8</v>
      </c>
      <c r="F773" s="49">
        <f t="shared" si="154"/>
        <v>1.6031609999504084E-7</v>
      </c>
      <c r="G773" s="49">
        <f t="shared" si="154"/>
        <v>9.5768290255249013E-7</v>
      </c>
      <c r="H773" s="49">
        <f t="shared" si="154"/>
        <v>4.7290944988665972E-6</v>
      </c>
      <c r="I773" s="49">
        <f t="shared" si="154"/>
        <v>1.9857917047121427E-5</v>
      </c>
      <c r="J773" s="49">
        <f t="shared" si="154"/>
        <v>7.2395178374159234E-5</v>
      </c>
      <c r="K773" s="49">
        <f t="shared" si="154"/>
        <v>2.3282313204008736E-4</v>
      </c>
      <c r="L773" s="49">
        <f t="shared" ref="L773:V782" si="155">_xlfn.HYPGEOM.DIST(L$2,comau,tongtheN*$W773,tongtheN,TRUE)</f>
        <v>6.6892373640407973E-4</v>
      </c>
      <c r="M773" s="49">
        <f t="shared" si="155"/>
        <v>1.7347826499946159E-3</v>
      </c>
      <c r="N773" s="49">
        <f t="shared" si="155"/>
        <v>4.0961831294740328E-3</v>
      </c>
      <c r="O773" s="49">
        <f t="shared" si="155"/>
        <v>8.8711249931051218E-3</v>
      </c>
      <c r="P773" s="49">
        <f t="shared" si="155"/>
        <v>1.7734852227014573E-2</v>
      </c>
      <c r="Q773" s="49">
        <f t="shared" si="155"/>
        <v>3.2915091224215688E-2</v>
      </c>
      <c r="R773" s="49">
        <f t="shared" si="155"/>
        <v>5.7004744130270943E-2</v>
      </c>
      <c r="S773" s="49">
        <f t="shared" si="155"/>
        <v>9.2560658688198127E-2</v>
      </c>
      <c r="T773" s="49">
        <f t="shared" si="155"/>
        <v>0.14153474521112092</v>
      </c>
      <c r="U773" s="49">
        <f t="shared" si="155"/>
        <v>0.20467022060025949</v>
      </c>
      <c r="V773" s="49">
        <f t="shared" si="155"/>
        <v>0.28104910201331501</v>
      </c>
      <c r="W773" s="47">
        <v>0.23</v>
      </c>
    </row>
    <row r="774" spans="2:23" x14ac:dyDescent="0.25">
      <c r="B774" s="49">
        <f t="shared" si="154"/>
        <v>5.0688060750001808E-12</v>
      </c>
      <c r="C774" s="49">
        <f t="shared" si="154"/>
        <v>1.556370045106365E-10</v>
      </c>
      <c r="D774" s="49">
        <f t="shared" si="154"/>
        <v>2.3695674931646114E-9</v>
      </c>
      <c r="E774" s="49">
        <f t="shared" si="154"/>
        <v>2.3852436500280993E-8</v>
      </c>
      <c r="F774" s="49">
        <f t="shared" si="154"/>
        <v>1.7860058146322812E-7</v>
      </c>
      <c r="G774" s="49">
        <f t="shared" si="154"/>
        <v>1.0611642773357651E-6</v>
      </c>
      <c r="H774" s="49">
        <f t="shared" si="154"/>
        <v>5.2120018798542937E-6</v>
      </c>
      <c r="I774" s="49">
        <f t="shared" si="154"/>
        <v>2.1768970842945619E-5</v>
      </c>
      <c r="J774" s="49">
        <f t="shared" si="154"/>
        <v>7.8941450032071167E-5</v>
      </c>
      <c r="K774" s="49">
        <f t="shared" si="154"/>
        <v>2.5253897216467262E-4</v>
      </c>
      <c r="L774" s="49">
        <f t="shared" si="155"/>
        <v>7.2177791024716274E-4</v>
      </c>
      <c r="M774" s="49">
        <f t="shared" si="155"/>
        <v>1.8621614673271318E-3</v>
      </c>
      <c r="N774" s="49">
        <f t="shared" si="155"/>
        <v>4.3744223518392975E-3</v>
      </c>
      <c r="O774" s="49">
        <f t="shared" si="155"/>
        <v>9.4257674030037517E-3</v>
      </c>
      <c r="P774" s="49">
        <f t="shared" si="155"/>
        <v>1.8749701215791406E-2</v>
      </c>
      <c r="Q774" s="49">
        <f t="shared" si="155"/>
        <v>3.4628046934578993E-2</v>
      </c>
      <c r="R774" s="49">
        <f t="shared" si="155"/>
        <v>5.9683428800788446E-2</v>
      </c>
      <c r="S774" s="49">
        <f t="shared" si="155"/>
        <v>9.6456183983668703E-2</v>
      </c>
      <c r="T774" s="49">
        <f t="shared" si="155"/>
        <v>0.14682067940513258</v>
      </c>
      <c r="U774" s="49">
        <f t="shared" si="155"/>
        <v>0.21138244793288349</v>
      </c>
      <c r="V774" s="49">
        <f t="shared" si="155"/>
        <v>0.28904632574028982</v>
      </c>
      <c r="W774" s="47">
        <v>0.22900000000000001</v>
      </c>
    </row>
    <row r="775" spans="2:23" x14ac:dyDescent="0.25">
      <c r="B775" s="49">
        <f t="shared" si="154"/>
        <v>5.7703335048527885E-12</v>
      </c>
      <c r="C775" s="49">
        <f t="shared" si="154"/>
        <v>1.7620772339515221E-10</v>
      </c>
      <c r="D775" s="49">
        <f t="shared" si="154"/>
        <v>2.6681155699845946E-9</v>
      </c>
      <c r="E775" s="49">
        <f t="shared" si="154"/>
        <v>2.6711557904762384E-8</v>
      </c>
      <c r="F775" s="49">
        <f t="shared" si="154"/>
        <v>1.9892465645810463E-7</v>
      </c>
      <c r="G775" s="49">
        <f t="shared" si="154"/>
        <v>1.1755391045141545E-6</v>
      </c>
      <c r="H775" s="49">
        <f t="shared" si="154"/>
        <v>5.7427301554933775E-6</v>
      </c>
      <c r="I775" s="49">
        <f t="shared" si="154"/>
        <v>2.3857408030685854E-5</v>
      </c>
      <c r="J775" s="49">
        <f t="shared" si="154"/>
        <v>8.6054938838931862E-5</v>
      </c>
      <c r="K775" s="49">
        <f t="shared" si="154"/>
        <v>2.73842132732816E-4</v>
      </c>
      <c r="L775" s="49">
        <f t="shared" si="155"/>
        <v>7.7856481099177908E-4</v>
      </c>
      <c r="M775" s="49">
        <f t="shared" si="155"/>
        <v>1.9982452009803947E-3</v>
      </c>
      <c r="N775" s="49">
        <f t="shared" si="155"/>
        <v>4.6699972043799855E-3</v>
      </c>
      <c r="O775" s="49">
        <f t="shared" si="155"/>
        <v>1.001163884962681E-2</v>
      </c>
      <c r="P775" s="49">
        <f t="shared" si="155"/>
        <v>1.9815636430625814E-2</v>
      </c>
      <c r="Q775" s="49">
        <f t="shared" si="155"/>
        <v>3.6417068806494313E-2</v>
      </c>
      <c r="R775" s="49">
        <f t="shared" si="155"/>
        <v>6.2465262977471202E-2</v>
      </c>
      <c r="S775" s="49">
        <f t="shared" si="155"/>
        <v>0.10047886694331501</v>
      </c>
      <c r="T775" s="49">
        <f t="shared" si="155"/>
        <v>0.15224832723570983</v>
      </c>
      <c r="U775" s="49">
        <f t="shared" si="155"/>
        <v>0.21823569988337024</v>
      </c>
      <c r="V775" s="49">
        <f t="shared" si="155"/>
        <v>0.29716545434737318</v>
      </c>
      <c r="W775" s="47">
        <v>0.22800000000000001</v>
      </c>
    </row>
    <row r="776" spans="2:23" x14ac:dyDescent="0.25">
      <c r="B776" s="49">
        <f t="shared" si="154"/>
        <v>6.5678507480524563E-12</v>
      </c>
      <c r="C776" s="49">
        <f t="shared" si="154"/>
        <v>1.9946063941022E-10</v>
      </c>
      <c r="D776" s="49">
        <f t="shared" si="154"/>
        <v>3.0036791053217842E-9</v>
      </c>
      <c r="E776" s="49">
        <f t="shared" si="154"/>
        <v>2.9906960699157881E-8</v>
      </c>
      <c r="F776" s="49">
        <f t="shared" si="154"/>
        <v>2.2151050096493018E-7</v>
      </c>
      <c r="G776" s="49">
        <f t="shared" si="154"/>
        <v>1.3019220661007761E-6</v>
      </c>
      <c r="H776" s="49">
        <f t="shared" si="154"/>
        <v>6.3258567337456723E-6</v>
      </c>
      <c r="I776" s="49">
        <f t="shared" si="154"/>
        <v>2.6139034582183391E-5</v>
      </c>
      <c r="J776" s="49">
        <f t="shared" si="154"/>
        <v>9.3782426699995573E-5</v>
      </c>
      <c r="K776" s="49">
        <f t="shared" si="154"/>
        <v>2.9685296122364745E-4</v>
      </c>
      <c r="L776" s="49">
        <f t="shared" si="155"/>
        <v>8.3955625533565343E-4</v>
      </c>
      <c r="M776" s="49">
        <f t="shared" si="155"/>
        <v>2.1435766169158005E-3</v>
      </c>
      <c r="N776" s="49">
        <f t="shared" si="155"/>
        <v>4.9838697346032872E-3</v>
      </c>
      <c r="O776" s="49">
        <f t="shared" si="155"/>
        <v>1.0630254208515943E-2</v>
      </c>
      <c r="P776" s="49">
        <f t="shared" si="155"/>
        <v>2.0934769466469768E-2</v>
      </c>
      <c r="Q776" s="49">
        <f t="shared" si="155"/>
        <v>3.8284734308192826E-2</v>
      </c>
      <c r="R776" s="49">
        <f t="shared" si="155"/>
        <v>6.5352930755752395E-2</v>
      </c>
      <c r="S776" s="49">
        <f t="shared" si="155"/>
        <v>0.10463093378956181</v>
      </c>
      <c r="T776" s="49">
        <f t="shared" si="155"/>
        <v>0.15781880872566378</v>
      </c>
      <c r="U776" s="49">
        <f t="shared" si="155"/>
        <v>0.22522945331789734</v>
      </c>
      <c r="V776" s="49">
        <f t="shared" si="155"/>
        <v>0.30540409545816727</v>
      </c>
      <c r="W776" s="47">
        <v>0.22700000000000001</v>
      </c>
    </row>
    <row r="777" spans="2:23" x14ac:dyDescent="0.25">
      <c r="B777" s="49">
        <f t="shared" si="154"/>
        <v>7.47434165895629E-12</v>
      </c>
      <c r="C777" s="49">
        <f t="shared" si="154"/>
        <v>2.257406575032327E-10</v>
      </c>
      <c r="D777" s="49">
        <f t="shared" si="154"/>
        <v>3.3807715783338971E-9</v>
      </c>
      <c r="E777" s="49">
        <f t="shared" si="154"/>
        <v>3.3477415828579612E-8</v>
      </c>
      <c r="F777" s="49">
        <f t="shared" si="154"/>
        <v>2.4660388136043639E-7</v>
      </c>
      <c r="G777" s="49">
        <f t="shared" si="154"/>
        <v>1.4415384009015688E-6</v>
      </c>
      <c r="H777" s="49">
        <f t="shared" si="154"/>
        <v>6.9663807384409282E-6</v>
      </c>
      <c r="I777" s="49">
        <f t="shared" si="154"/>
        <v>2.8630999970393878E-5</v>
      </c>
      <c r="J777" s="49">
        <f t="shared" si="154"/>
        <v>1.0217433339078838E-4</v>
      </c>
      <c r="K777" s="49">
        <f t="shared" si="154"/>
        <v>3.2170027487141828E-4</v>
      </c>
      <c r="L777" s="49">
        <f t="shared" si="155"/>
        <v>9.0504112650892886E-4</v>
      </c>
      <c r="M777" s="49">
        <f t="shared" si="155"/>
        <v>2.2987282809727645E-3</v>
      </c>
      <c r="N777" s="49">
        <f t="shared" si="155"/>
        <v>5.3170468133540141E-3</v>
      </c>
      <c r="O777" s="49">
        <f t="shared" si="155"/>
        <v>1.1283185348164085E-2</v>
      </c>
      <c r="P777" s="49">
        <f t="shared" si="155"/>
        <v>2.21092701541463E-2</v>
      </c>
      <c r="Q777" s="49">
        <f t="shared" si="155"/>
        <v>4.0233661134570983E-2</v>
      </c>
      <c r="R777" s="49">
        <f t="shared" si="155"/>
        <v>6.8349115178262268E-2</v>
      </c>
      <c r="S777" s="49">
        <f t="shared" si="155"/>
        <v>0.10891454977676288</v>
      </c>
      <c r="T777" s="49">
        <f t="shared" si="155"/>
        <v>0.1635331188873356</v>
      </c>
      <c r="U777" s="49">
        <f t="shared" si="155"/>
        <v>0.23236301255358077</v>
      </c>
      <c r="V777" s="49">
        <f t="shared" si="155"/>
        <v>0.31375967198477367</v>
      </c>
      <c r="W777" s="47">
        <v>0.22600000000000001</v>
      </c>
    </row>
    <row r="778" spans="2:23" x14ac:dyDescent="0.25">
      <c r="B778" s="49">
        <f t="shared" si="154"/>
        <v>8.504526035866944E-12</v>
      </c>
      <c r="C778" s="49">
        <f t="shared" si="154"/>
        <v>2.5543640692254756E-10</v>
      </c>
      <c r="D778" s="49">
        <f t="shared" si="154"/>
        <v>3.8044473402492975E-9</v>
      </c>
      <c r="E778" s="49">
        <f t="shared" si="154"/>
        <v>3.7466070717340757E-8</v>
      </c>
      <c r="F778" s="49">
        <f t="shared" si="154"/>
        <v>2.7447659027463632E-7</v>
      </c>
      <c r="G778" s="49">
        <f t="shared" si="154"/>
        <v>1.5957344940143843E-6</v>
      </c>
      <c r="H778" s="49">
        <f t="shared" si="154"/>
        <v>7.6697601900561681E-6</v>
      </c>
      <c r="I778" s="49">
        <f t="shared" si="154"/>
        <v>3.1351905119610065E-5</v>
      </c>
      <c r="J778" s="49">
        <f t="shared" si="154"/>
        <v>1.1128497942706141E-4</v>
      </c>
      <c r="K778" s="49">
        <f t="shared" si="154"/>
        <v>3.4852190082407779E-4</v>
      </c>
      <c r="L778" s="49">
        <f t="shared" si="155"/>
        <v>9.7532630788347988E-4</v>
      </c>
      <c r="M778" s="49">
        <f t="shared" si="155"/>
        <v>2.4643038911318811E-3</v>
      </c>
      <c r="N778" s="49">
        <f t="shared" si="155"/>
        <v>5.6705816192399545E-3</v>
      </c>
      <c r="O778" s="49">
        <f t="shared" si="155"/>
        <v>1.1972062178799869E-2</v>
      </c>
      <c r="P778" s="49">
        <f t="shared" si="155"/>
        <v>2.3341366327167368E-2</v>
      </c>
      <c r="Q778" s="49">
        <f t="shared" si="155"/>
        <v>4.2266504910292206E-2</v>
      </c>
      <c r="R778" s="49">
        <f t="shared" si="155"/>
        <v>7.1456493638509491E-2</v>
      </c>
      <c r="S778" s="49">
        <f t="shared" si="155"/>
        <v>0.11333181299883398</v>
      </c>
      <c r="T778" s="49">
        <f t="shared" si="155"/>
        <v>0.16939212158931924</v>
      </c>
      <c r="U778" s="49">
        <f t="shared" si="155"/>
        <v>0.23963550538929304</v>
      </c>
      <c r="V778" s="49">
        <f t="shared" si="155"/>
        <v>0.32222942202394145</v>
      </c>
      <c r="W778" s="47">
        <v>0.22500000000000001</v>
      </c>
    </row>
    <row r="779" spans="2:23" x14ac:dyDescent="0.25">
      <c r="B779" s="49">
        <f t="shared" si="154"/>
        <v>9.6750890118189969E-12</v>
      </c>
      <c r="C779" s="49">
        <f t="shared" si="154"/>
        <v>2.889857036902448E-10</v>
      </c>
      <c r="D779" s="49">
        <f t="shared" si="154"/>
        <v>4.2803652612358398E-9</v>
      </c>
      <c r="E779" s="49">
        <f t="shared" si="154"/>
        <v>4.192093225410915E-8</v>
      </c>
      <c r="F779" s="49">
        <f t="shared" si="154"/>
        <v>3.0542912632813067E-7</v>
      </c>
      <c r="G779" s="49">
        <f t="shared" si="154"/>
        <v>1.76598944107131E-6</v>
      </c>
      <c r="H779" s="49">
        <f t="shared" si="154"/>
        <v>8.4419522979913528E-6</v>
      </c>
      <c r="I779" s="49">
        <f t="shared" si="154"/>
        <v>3.4321918442026458E-5</v>
      </c>
      <c r="J779" s="49">
        <f t="shared" si="154"/>
        <v>1.2117286615661624E-4</v>
      </c>
      <c r="K779" s="49">
        <f t="shared" si="154"/>
        <v>3.7746524609222375E-4</v>
      </c>
      <c r="L779" s="49">
        <f t="shared" si="155"/>
        <v>1.0507376568352951E-3</v>
      </c>
      <c r="M779" s="49">
        <f t="shared" si="155"/>
        <v>2.6409396467676235E-3</v>
      </c>
      <c r="N779" s="49">
        <f t="shared" si="155"/>
        <v>6.0455751290190447E-3</v>
      </c>
      <c r="O779" s="49">
        <f t="shared" si="155"/>
        <v>1.2698573641906994E-2</v>
      </c>
      <c r="P779" s="49">
        <f t="shared" si="155"/>
        <v>2.4633343443124744E-2</v>
      </c>
      <c r="Q779" s="49">
        <f t="shared" si="155"/>
        <v>4.4385956677648684E-2</v>
      </c>
      <c r="R779" s="49">
        <f t="shared" si="155"/>
        <v>7.4677733064836049E-2</v>
      </c>
      <c r="S779" s="49">
        <f t="shared" si="155"/>
        <v>0.11788474807091853</v>
      </c>
      <c r="T779" s="49">
        <f t="shared" si="155"/>
        <v>0.17539654347848913</v>
      </c>
      <c r="U779" s="49">
        <f t="shared" si="155"/>
        <v>0.24704587939894851</v>
      </c>
      <c r="V779" s="49">
        <f t="shared" si="155"/>
        <v>0.33081039916015137</v>
      </c>
      <c r="W779" s="47">
        <v>0.224</v>
      </c>
    </row>
    <row r="780" spans="2:23" x14ac:dyDescent="0.25">
      <c r="B780" s="49">
        <f t="shared" si="154"/>
        <v>1.1004940400973265E-11</v>
      </c>
      <c r="C780" s="49">
        <f t="shared" si="154"/>
        <v>3.2688168528277321E-10</v>
      </c>
      <c r="D780" s="49">
        <f t="shared" si="154"/>
        <v>4.8148597247532388E-9</v>
      </c>
      <c r="E780" s="49">
        <f t="shared" si="154"/>
        <v>4.6895401796665221E-8</v>
      </c>
      <c r="F780" s="49">
        <f t="shared" si="154"/>
        <v>3.3979364132778833E-7</v>
      </c>
      <c r="G780" s="49">
        <f t="shared" si="154"/>
        <v>1.9539276728592697E-6</v>
      </c>
      <c r="H780" s="49">
        <f t="shared" si="154"/>
        <v>9.2894571084609295E-6</v>
      </c>
      <c r="I780" s="49">
        <f t="shared" si="154"/>
        <v>3.7562900512265427E-5</v>
      </c>
      <c r="J780" s="49">
        <f t="shared" si="154"/>
        <v>1.3190097404726565E-4</v>
      </c>
      <c r="K780" s="49">
        <f t="shared" si="154"/>
        <v>4.0868789854818722E-4</v>
      </c>
      <c r="L780" s="49">
        <f t="shared" si="155"/>
        <v>1.131621019740224E-3</v>
      </c>
      <c r="M780" s="49">
        <f t="shared" si="155"/>
        <v>2.8293056541379468E-3</v>
      </c>
      <c r="N780" s="49">
        <f t="shared" si="155"/>
        <v>6.4431776102188967E-3</v>
      </c>
      <c r="O780" s="49">
        <f t="shared" si="155"/>
        <v>1.346446863344444E-2</v>
      </c>
      <c r="P780" s="49">
        <f t="shared" si="155"/>
        <v>2.5987544051150842E-2</v>
      </c>
      <c r="Q780" s="49">
        <f t="shared" si="155"/>
        <v>4.6594740163346582E-2</v>
      </c>
      <c r="R780" s="49">
        <f t="shared" si="155"/>
        <v>7.8015484886230863E-2</v>
      </c>
      <c r="S780" s="49">
        <f t="shared" si="155"/>
        <v>0.12257529969662886</v>
      </c>
      <c r="T780" s="49">
        <f t="shared" si="155"/>
        <v>0.18154696797648406</v>
      </c>
      <c r="U780" s="49">
        <f t="shared" si="155"/>
        <v>0.25459289850682126</v>
      </c>
      <c r="V780" s="49">
        <f t="shared" si="155"/>
        <v>0.33949947318699264</v>
      </c>
      <c r="W780" s="47">
        <v>0.223</v>
      </c>
    </row>
    <row r="781" spans="2:23" x14ac:dyDescent="0.25">
      <c r="B781" s="49">
        <f t="shared" si="154"/>
        <v>1.2515507866020237E-11</v>
      </c>
      <c r="C781" s="49">
        <f t="shared" si="154"/>
        <v>3.6967969896038241E-10</v>
      </c>
      <c r="D781" s="49">
        <f t="shared" si="154"/>
        <v>5.4150198005302614E-9</v>
      </c>
      <c r="E781" s="49">
        <f t="shared" si="154"/>
        <v>5.2448867652133322E-8</v>
      </c>
      <c r="F781" s="49">
        <f t="shared" si="154"/>
        <v>3.7793718069470905E-7</v>
      </c>
      <c r="G781" s="49">
        <f t="shared" si="154"/>
        <v>2.1613327330621455E-6</v>
      </c>
      <c r="H781" s="49">
        <f t="shared" si="154"/>
        <v>1.0219364769711789E-5</v>
      </c>
      <c r="I781" s="49">
        <f t="shared" si="154"/>
        <v>4.1098537964204039E-5</v>
      </c>
      <c r="J781" s="49">
        <f t="shared" si="154"/>
        <v>1.4353708018698675E-4</v>
      </c>
      <c r="K781" s="49">
        <f t="shared" si="154"/>
        <v>4.4235826025567146E-4</v>
      </c>
      <c r="L781" s="49">
        <f t="shared" si="155"/>
        <v>1.2183432889271029E-3</v>
      </c>
      <c r="M781" s="49">
        <f t="shared" si="155"/>
        <v>3.0301073671709232E-3</v>
      </c>
      <c r="N781" s="49">
        <f t="shared" si="155"/>
        <v>6.8645901119470353E-3</v>
      </c>
      <c r="O781" s="49">
        <f t="shared" si="155"/>
        <v>1.4271556853422665E-2</v>
      </c>
      <c r="P781" s="49">
        <f t="shared" si="155"/>
        <v>2.7406367096872008E-2</v>
      </c>
      <c r="Q781" s="49">
        <f t="shared" si="155"/>
        <v>4.8895608818750637E-2</v>
      </c>
      <c r="R781" s="49">
        <f t="shared" si="155"/>
        <v>8.1472379782439153E-2</v>
      </c>
      <c r="S781" s="49">
        <f t="shared" si="155"/>
        <v>0.12740532613332414</v>
      </c>
      <c r="T781" s="49">
        <f t="shared" si="155"/>
        <v>0.18784382937032459</v>
      </c>
      <c r="U781" s="49">
        <f t="shared" si="155"/>
        <v>0.26227513986437934</v>
      </c>
      <c r="V781" s="49">
        <f t="shared" si="155"/>
        <v>0.34829333125706896</v>
      </c>
      <c r="W781" s="47">
        <v>0.222</v>
      </c>
    </row>
    <row r="782" spans="2:23" x14ac:dyDescent="0.25">
      <c r="B782" s="49">
        <f t="shared" si="154"/>
        <v>1.423106826480627E-11</v>
      </c>
      <c r="C782" s="49">
        <f t="shared" si="154"/>
        <v>4.1800503489441298E-10</v>
      </c>
      <c r="D782" s="49">
        <f t="shared" si="154"/>
        <v>6.0887775193035452E-9</v>
      </c>
      <c r="E782" s="49">
        <f t="shared" si="154"/>
        <v>5.8647361044192523E-8</v>
      </c>
      <c r="F782" s="49">
        <f t="shared" si="154"/>
        <v>4.2026524528344057E-7</v>
      </c>
      <c r="G782" s="49">
        <f t="shared" si="154"/>
        <v>2.3901623095243138E-6</v>
      </c>
      <c r="H782" s="49">
        <f t="shared" si="154"/>
        <v>1.1239406694992201E-5</v>
      </c>
      <c r="I782" s="49">
        <f t="shared" si="154"/>
        <v>4.4954487228650624E-5</v>
      </c>
      <c r="J782" s="49">
        <f t="shared" si="154"/>
        <v>1.5615409605468345E-4</v>
      </c>
      <c r="K782" s="49">
        <f t="shared" si="154"/>
        <v>4.7865621442865852E-4</v>
      </c>
      <c r="L782" s="49">
        <f t="shared" si="155"/>
        <v>1.3112935023476852E-3</v>
      </c>
      <c r="M782" s="49">
        <f t="shared" si="155"/>
        <v>3.2440870624079383E-3</v>
      </c>
      <c r="N782" s="49">
        <f t="shared" si="155"/>
        <v>7.3110659495316168E-3</v>
      </c>
      <c r="O782" s="49">
        <f t="shared" si="155"/>
        <v>1.5121709574196222E-2</v>
      </c>
      <c r="P782" s="49">
        <f t="shared" si="155"/>
        <v>2.8892267056238118E-2</v>
      </c>
      <c r="Q782" s="49">
        <f t="shared" si="155"/>
        <v>5.1291342628522529E-2</v>
      </c>
      <c r="R782" s="49">
        <f t="shared" si="155"/>
        <v>8.5051022221647968E-2</v>
      </c>
      <c r="S782" s="49">
        <f t="shared" si="155"/>
        <v>0.13237659256890755</v>
      </c>
      <c r="T782" s="49">
        <f t="shared" si="155"/>
        <v>0.19428740701751857</v>
      </c>
      <c r="U782" s="49">
        <f t="shared" si="155"/>
        <v>0.27009099104782003</v>
      </c>
      <c r="V782" s="49">
        <f t="shared" si="155"/>
        <v>0.35718847946980337</v>
      </c>
      <c r="W782" s="47">
        <v>0.221</v>
      </c>
    </row>
    <row r="783" spans="2:23" x14ac:dyDescent="0.25">
      <c r="B783" s="49">
        <f t="shared" ref="B783:K792" si="156">_xlfn.HYPGEOM.DIST(B$2,comau,tongtheN*$W783,tongtheN,TRUE)</f>
        <v>1.6179122089269655E-11</v>
      </c>
      <c r="C783" s="49">
        <f t="shared" si="156"/>
        <v>4.7256160608781373E-10</v>
      </c>
      <c r="D783" s="49">
        <f t="shared" si="156"/>
        <v>6.8450062743970972E-9</v>
      </c>
      <c r="E783" s="49">
        <f t="shared" si="156"/>
        <v>6.5564282189153648E-8</v>
      </c>
      <c r="F783" s="49">
        <f t="shared" si="156"/>
        <v>4.6722570534680982E-7</v>
      </c>
      <c r="G783" s="49">
        <f t="shared" si="156"/>
        <v>2.6425646276778589E-6</v>
      </c>
      <c r="H783" s="49">
        <f t="shared" si="156"/>
        <v>1.2358010923579803E-5</v>
      </c>
      <c r="I783" s="49">
        <f t="shared" si="156"/>
        <v>4.9158528766148209E-5</v>
      </c>
      <c r="J783" s="49">
        <f t="shared" si="156"/>
        <v>1.698304266628464E-4</v>
      </c>
      <c r="K783" s="49">
        <f t="shared" si="156"/>
        <v>5.1777382733275419E-4</v>
      </c>
      <c r="L783" s="49">
        <f t="shared" ref="L783:V792" si="157">_xlfn.HYPGEOM.DIST(L$2,comau,tongtheN*$W783,tongtheN,TRUE)</f>
        <v>1.4108839866481459E-3</v>
      </c>
      <c r="M783" s="49">
        <f t="shared" si="157"/>
        <v>3.4720253467474065E-3</v>
      </c>
      <c r="N783" s="49">
        <f t="shared" si="157"/>
        <v>7.7839121782996368E-3</v>
      </c>
      <c r="O783" s="49">
        <f t="shared" si="157"/>
        <v>1.6016860319528672E-2</v>
      </c>
      <c r="P783" s="49">
        <f t="shared" si="157"/>
        <v>3.0447752889587783E-2</v>
      </c>
      <c r="Q783" s="49">
        <f t="shared" si="157"/>
        <v>5.3784744683071158E-2</v>
      </c>
      <c r="R783" s="49">
        <f t="shared" si="157"/>
        <v>8.8753984789904011E-2</v>
      </c>
      <c r="S783" s="49">
        <f t="shared" si="157"/>
        <v>0.13749076442455047</v>
      </c>
      <c r="T783" s="49">
        <f t="shared" si="157"/>
        <v>0.20087781968641297</v>
      </c>
      <c r="U783" s="49">
        <f t="shared" si="157"/>
        <v>0.27803864759517416</v>
      </c>
      <c r="V783" s="49">
        <f t="shared" si="157"/>
        <v>0.36618124490513659</v>
      </c>
      <c r="W783" s="47">
        <v>0.22</v>
      </c>
    </row>
    <row r="784" spans="2:23" x14ac:dyDescent="0.25">
      <c r="B784" s="49">
        <f t="shared" si="156"/>
        <v>1.8390816534445294E-11</v>
      </c>
      <c r="C784" s="49">
        <f t="shared" si="156"/>
        <v>5.3414168919942757E-10</v>
      </c>
      <c r="D784" s="49">
        <f t="shared" si="156"/>
        <v>7.6936304881576826E-9</v>
      </c>
      <c r="E784" s="49">
        <f t="shared" si="156"/>
        <v>7.3281203773089355E-8</v>
      </c>
      <c r="F784" s="49">
        <f t="shared" si="156"/>
        <v>5.1931310022383706E-7</v>
      </c>
      <c r="G784" s="49">
        <f t="shared" si="156"/>
        <v>2.9208963236467009E-6</v>
      </c>
      <c r="H784" s="49">
        <f t="shared" si="156"/>
        <v>1.3584362001301099E-5</v>
      </c>
      <c r="I784" s="49">
        <f t="shared" si="156"/>
        <v>5.3740732486450933E-5</v>
      </c>
      <c r="J784" s="49">
        <f t="shared" si="156"/>
        <v>1.8465035221652232E-4</v>
      </c>
      <c r="K784" s="49">
        <f t="shared" si="156"/>
        <v>5.599160864534936E-4</v>
      </c>
      <c r="L784" s="49">
        <f t="shared" si="157"/>
        <v>1.5175515442432954E-3</v>
      </c>
      <c r="M784" s="49">
        <f t="shared" si="157"/>
        <v>3.7147426964054841E-3</v>
      </c>
      <c r="N784" s="49">
        <f t="shared" si="157"/>
        <v>8.2844910514592463E-3</v>
      </c>
      <c r="O784" s="49">
        <f t="shared" si="157"/>
        <v>1.6959005446205641E-2</v>
      </c>
      <c r="P784" s="49">
        <f t="shared" si="157"/>
        <v>3.2075386807334662E-2</v>
      </c>
      <c r="Q784" s="49">
        <f t="shared" si="157"/>
        <v>5.6378637510713314E-2</v>
      </c>
      <c r="R784" s="49">
        <f t="shared" si="157"/>
        <v>9.2583802317379768E-2</v>
      </c>
      <c r="S784" s="49">
        <f t="shared" si="157"/>
        <v>0.14274940059873029</v>
      </c>
      <c r="T784" s="49">
        <f t="shared" si="157"/>
        <v>0.20761502005309029</v>
      </c>
      <c r="U784" s="49">
        <f t="shared" si="157"/>
        <v>0.28611611090142786</v>
      </c>
      <c r="V784" s="49">
        <f t="shared" si="157"/>
        <v>0.3752677781100906</v>
      </c>
      <c r="W784" s="47">
        <v>0.219</v>
      </c>
    </row>
    <row r="785" spans="2:23" x14ac:dyDescent="0.25">
      <c r="B785" s="49">
        <f t="shared" si="156"/>
        <v>2.090142343842573E-11</v>
      </c>
      <c r="C785" s="49">
        <f t="shared" si="156"/>
        <v>6.0363685391245803E-10</v>
      </c>
      <c r="D785" s="49">
        <f t="shared" si="156"/>
        <v>8.6457478063462562E-9</v>
      </c>
      <c r="E785" s="49">
        <f t="shared" si="156"/>
        <v>8.1888759858105903E-8</v>
      </c>
      <c r="F785" s="49">
        <f t="shared" si="156"/>
        <v>5.7707336039783325E-7</v>
      </c>
      <c r="G785" s="49">
        <f t="shared" si="156"/>
        <v>3.2277419240797906E-6</v>
      </c>
      <c r="H785" s="49">
        <f t="shared" si="156"/>
        <v>1.4928465724392177E-5</v>
      </c>
      <c r="I785" s="49">
        <f t="shared" si="156"/>
        <v>5.8733635085041991E-5</v>
      </c>
      <c r="J785" s="49">
        <f t="shared" si="156"/>
        <v>2.0070443347641609E-4</v>
      </c>
      <c r="K785" s="49">
        <f t="shared" si="156"/>
        <v>6.0530167626309255E-4</v>
      </c>
      <c r="L785" s="49">
        <f t="shared" si="157"/>
        <v>1.6317586848999558E-3</v>
      </c>
      <c r="M785" s="49">
        <f t="shared" si="157"/>
        <v>3.9731010252655585E-3</v>
      </c>
      <c r="N785" s="49">
        <f t="shared" si="157"/>
        <v>8.8142214567048828E-3</v>
      </c>
      <c r="O785" s="49">
        <f t="shared" si="157"/>
        <v>1.795020461968785E-2</v>
      </c>
      <c r="P785" s="49">
        <f t="shared" si="157"/>
        <v>3.3777782838706409E-2</v>
      </c>
      <c r="Q785" s="49">
        <f t="shared" si="157"/>
        <v>5.9075859166025084E-2</v>
      </c>
      <c r="R785" s="49">
        <f t="shared" si="157"/>
        <v>9.6542965807533049E-2</v>
      </c>
      <c r="S785" s="49">
        <f t="shared" si="157"/>
        <v>0.14815394666893855</v>
      </c>
      <c r="T785" s="49">
        <f t="shared" si="157"/>
        <v>0.21449878937646455</v>
      </c>
      <c r="U785" s="49">
        <f t="shared" si="157"/>
        <v>0.29432118648963684</v>
      </c>
      <c r="V785" s="49">
        <f t="shared" si="157"/>
        <v>0.38444405604373927</v>
      </c>
      <c r="W785" s="47">
        <v>0.218</v>
      </c>
    </row>
    <row r="786" spans="2:23" x14ac:dyDescent="0.25">
      <c r="B786" s="49">
        <f t="shared" si="156"/>
        <v>2.3750879125499867E-11</v>
      </c>
      <c r="C786" s="49">
        <f t="shared" si="156"/>
        <v>6.8205022359454839E-10</v>
      </c>
      <c r="D786" s="49">
        <f t="shared" si="156"/>
        <v>9.7137652220933802E-9</v>
      </c>
      <c r="E786" s="49">
        <f t="shared" si="156"/>
        <v>9.1487629053485018E-8</v>
      </c>
      <c r="F786" s="49">
        <f t="shared" si="156"/>
        <v>6.4110899190823901E-7</v>
      </c>
      <c r="G786" s="49">
        <f t="shared" si="156"/>
        <v>3.5659350700206257E-6</v>
      </c>
      <c r="H786" s="49">
        <f t="shared" si="156"/>
        <v>1.6401219114322932E-5</v>
      </c>
      <c r="I786" s="49">
        <f t="shared" si="156"/>
        <v>6.4172430067455682E-5</v>
      </c>
      <c r="J786" s="49">
        <f t="shared" si="156"/>
        <v>2.1808994205722268E-4</v>
      </c>
      <c r="K786" s="49">
        <f t="shared" si="156"/>
        <v>6.5416379291947078E-4</v>
      </c>
      <c r="L786" s="49">
        <f t="shared" si="157"/>
        <v>1.7539949022305353E-3</v>
      </c>
      <c r="M786" s="49">
        <f t="shared" si="157"/>
        <v>4.2480052805323083E-3</v>
      </c>
      <c r="N786" s="49">
        <f t="shared" si="157"/>
        <v>9.3745803258049529E-3</v>
      </c>
      <c r="O786" s="49">
        <f t="shared" si="157"/>
        <v>1.8992581175032518E-2</v>
      </c>
      <c r="P786" s="49">
        <f t="shared" si="157"/>
        <v>3.5557605195059266E-2</v>
      </c>
      <c r="Q786" s="49">
        <f t="shared" si="157"/>
        <v>6.1879259071450893E-2</v>
      </c>
      <c r="R786" s="49">
        <f t="shared" si="157"/>
        <v>0.10063391617623596</v>
      </c>
      <c r="S786" s="49">
        <f t="shared" si="157"/>
        <v>0.15370572806832161</v>
      </c>
      <c r="T786" s="49">
        <f t="shared" si="157"/>
        <v>0.22152873237357004</v>
      </c>
      <c r="U786" s="49">
        <f t="shared" si="157"/>
        <v>0.30265148267534836</v>
      </c>
      <c r="V786" s="49">
        <f t="shared" si="157"/>
        <v>0.39370588548489799</v>
      </c>
      <c r="W786" s="47">
        <v>0.217</v>
      </c>
    </row>
    <row r="787" spans="2:23" x14ac:dyDescent="0.25">
      <c r="B787" s="49">
        <f t="shared" si="156"/>
        <v>2.6984394075141937E-11</v>
      </c>
      <c r="C787" s="49">
        <f t="shared" si="156"/>
        <v>7.7051022686120345E-10</v>
      </c>
      <c r="D787" s="49">
        <f t="shared" si="156"/>
        <v>1.0911550684359534E-8</v>
      </c>
      <c r="E787" s="49">
        <f t="shared" si="156"/>
        <v>1.0218962167355915E-7</v>
      </c>
      <c r="F787" s="49">
        <f t="shared" si="156"/>
        <v>7.1208476672455615E-7</v>
      </c>
      <c r="G787" s="49">
        <f t="shared" si="156"/>
        <v>3.9385816331379754E-6</v>
      </c>
      <c r="H787" s="49">
        <f t="shared" si="156"/>
        <v>1.8014486016397775E-5</v>
      </c>
      <c r="I787" s="49">
        <f t="shared" si="156"/>
        <v>7.0095171274123436E-5</v>
      </c>
      <c r="J787" s="49">
        <f t="shared" si="156"/>
        <v>2.3691131693549336E-4</v>
      </c>
      <c r="K787" s="49">
        <f t="shared" si="156"/>
        <v>7.0675099922903742E-4</v>
      </c>
      <c r="L787" s="49">
        <f t="shared" si="157"/>
        <v>1.8847779953802828E-3</v>
      </c>
      <c r="M787" s="49">
        <f t="shared" si="157"/>
        <v>4.5404050633320626E-3</v>
      </c>
      <c r="N787" s="49">
        <f t="shared" si="157"/>
        <v>9.967104011067646E-3</v>
      </c>
      <c r="O787" s="49">
        <f t="shared" si="157"/>
        <v>2.0088322354059416E-2</v>
      </c>
      <c r="P787" s="49">
        <f t="shared" si="157"/>
        <v>3.7417566419422427E-2</v>
      </c>
      <c r="Q787" s="49">
        <f t="shared" si="157"/>
        <v>6.479169360990826E-2</v>
      </c>
      <c r="R787" s="49">
        <f t="shared" si="157"/>
        <v>0.10485903780894196</v>
      </c>
      <c r="S787" s="49">
        <f t="shared" si="157"/>
        <v>0.15940594325547797</v>
      </c>
      <c r="T787" s="49">
        <f t="shared" si="157"/>
        <v>0.22870427231730811</v>
      </c>
      <c r="U787" s="49">
        <f t="shared" si="157"/>
        <v>0.31110440964105573</v>
      </c>
      <c r="V787" s="49">
        <f t="shared" si="157"/>
        <v>0.40304890690529127</v>
      </c>
      <c r="W787" s="47">
        <v>0.216</v>
      </c>
    </row>
    <row r="788" spans="2:23" x14ac:dyDescent="0.25">
      <c r="B788" s="49">
        <f t="shared" si="156"/>
        <v>3.065314134137474E-11</v>
      </c>
      <c r="C788" s="49">
        <f t="shared" si="156"/>
        <v>8.7028601847758551E-10</v>
      </c>
      <c r="D788" s="49">
        <f t="shared" si="156"/>
        <v>1.2254601915544471E-8</v>
      </c>
      <c r="E788" s="49">
        <f t="shared" si="156"/>
        <v>1.1411888157616254E-7</v>
      </c>
      <c r="F788" s="49">
        <f t="shared" si="156"/>
        <v>7.9073396662761793E-7</v>
      </c>
      <c r="G788" s="49">
        <f t="shared" si="156"/>
        <v>4.3490848844721576E-6</v>
      </c>
      <c r="H788" s="49">
        <f t="shared" si="156"/>
        <v>1.9781178741623467E-5</v>
      </c>
      <c r="I788" s="49">
        <f t="shared" si="156"/>
        <v>7.6542990761994256E-5</v>
      </c>
      <c r="J788" s="49">
        <f t="shared" si="156"/>
        <v>2.572806484840247E-4</v>
      </c>
      <c r="K788" s="49">
        <f t="shared" si="156"/>
        <v>7.633281211962468E-4</v>
      </c>
      <c r="L788" s="49">
        <f t="shared" si="157"/>
        <v>2.0246554360625652E-3</v>
      </c>
      <c r="M788" s="49">
        <f t="shared" si="157"/>
        <v>4.8512962716146584E-3</v>
      </c>
      <c r="N788" s="49">
        <f t="shared" si="157"/>
        <v>1.0593389622211541E-2</v>
      </c>
      <c r="O788" s="49">
        <f t="shared" si="157"/>
        <v>2.1239679409499015E-2</v>
      </c>
      <c r="P788" s="49">
        <f t="shared" si="157"/>
        <v>3.9360425314092048E-2</v>
      </c>
      <c r="Q788" s="49">
        <f t="shared" si="157"/>
        <v>6.7816021466826942E-2</v>
      </c>
      <c r="R788" s="49">
        <f t="shared" si="157"/>
        <v>0.10922065194504756</v>
      </c>
      <c r="S788" s="49">
        <f t="shared" si="157"/>
        <v>0.16525565689650271</v>
      </c>
      <c r="T788" s="49">
        <f t="shared" si="157"/>
        <v>0.23602464637910217</v>
      </c>
      <c r="U788" s="49">
        <f t="shared" si="157"/>
        <v>0.31967717893653974</v>
      </c>
      <c r="V788" s="49">
        <f t="shared" si="157"/>
        <v>0.41246859880966125</v>
      </c>
      <c r="W788" s="47">
        <v>0.215</v>
      </c>
    </row>
    <row r="789" spans="2:23" x14ac:dyDescent="0.25">
      <c r="B789" s="49">
        <f t="shared" si="156"/>
        <v>3.4815033774032091E-11</v>
      </c>
      <c r="C789" s="49">
        <f t="shared" si="156"/>
        <v>9.8280476903795142E-10</v>
      </c>
      <c r="D789" s="49">
        <f t="shared" si="156"/>
        <v>1.3760234350662242E-8</v>
      </c>
      <c r="E789" s="49">
        <f t="shared" si="156"/>
        <v>1.2741321444113318E-7</v>
      </c>
      <c r="F789" s="49">
        <f t="shared" si="156"/>
        <v>8.7786523241698942E-7</v>
      </c>
      <c r="G789" s="49">
        <f t="shared" si="156"/>
        <v>4.801172888548662E-6</v>
      </c>
      <c r="H789" s="49">
        <f t="shared" si="156"/>
        <v>2.1715346199546611E-5</v>
      </c>
      <c r="I789" s="49">
        <f t="shared" si="156"/>
        <v>8.3560331944247039E-5</v>
      </c>
      <c r="J789" s="49">
        <f t="shared" si="156"/>
        <v>2.7931819139188126E-4</v>
      </c>
      <c r="K789" s="49">
        <f t="shared" si="156"/>
        <v>8.2417718746898342E-4</v>
      </c>
      <c r="L789" s="49">
        <f t="shared" si="157"/>
        <v>2.1742057809531539E-3</v>
      </c>
      <c r="M789" s="49">
        <f t="shared" si="157"/>
        <v>5.181722762408681E-3</v>
      </c>
      <c r="N789" s="49">
        <f t="shared" si="157"/>
        <v>1.1255096316790071E-2</v>
      </c>
      <c r="O789" s="49">
        <f t="shared" si="157"/>
        <v>2.2448967566646758E-2</v>
      </c>
      <c r="P789" s="49">
        <f t="shared" si="157"/>
        <v>4.1388984638315383E-2</v>
      </c>
      <c r="Q789" s="49">
        <f t="shared" si="157"/>
        <v>7.0955098720821272E-2</v>
      </c>
      <c r="R789" s="49">
        <f t="shared" si="157"/>
        <v>0.11372100989966016</v>
      </c>
      <c r="S789" s="49">
        <f t="shared" si="157"/>
        <v>0.1712557930792879</v>
      </c>
      <c r="T789" s="49">
        <f t="shared" si="157"/>
        <v>0.24348890123900424</v>
      </c>
      <c r="U789" s="49">
        <f t="shared" si="157"/>
        <v>0.32836680342015223</v>
      </c>
      <c r="V789" s="49">
        <f t="shared" si="157"/>
        <v>0.4219602825425427</v>
      </c>
      <c r="W789" s="47">
        <v>0.214</v>
      </c>
    </row>
    <row r="790" spans="2:23" x14ac:dyDescent="0.25">
      <c r="B790" s="49">
        <f t="shared" si="156"/>
        <v>3.9535601361053597E-11</v>
      </c>
      <c r="C790" s="49">
        <f t="shared" si="156"/>
        <v>1.1096710462970715E-9</v>
      </c>
      <c r="D790" s="49">
        <f t="shared" si="156"/>
        <v>1.5447790318219733E-8</v>
      </c>
      <c r="E790" s="49">
        <f t="shared" si="156"/>
        <v>1.4222555541662411E-7</v>
      </c>
      <c r="F790" s="49">
        <f t="shared" si="156"/>
        <v>9.7437007490085365E-7</v>
      </c>
      <c r="G790" s="49">
        <f t="shared" si="156"/>
        <v>5.2989283093273658E-6</v>
      </c>
      <c r="H790" s="49">
        <f t="shared" si="156"/>
        <v>2.3832268999594909E-5</v>
      </c>
      <c r="I790" s="49">
        <f t="shared" si="156"/>
        <v>9.1195198936045422E-5</v>
      </c>
      <c r="J790" s="49">
        <f t="shared" si="156"/>
        <v>3.0315290787025722E-4</v>
      </c>
      <c r="K790" s="49">
        <f t="shared" si="156"/>
        <v>8.8959841296752163E-4</v>
      </c>
      <c r="L790" s="49">
        <f t="shared" si="157"/>
        <v>2.334040129299185E-3</v>
      </c>
      <c r="M790" s="49">
        <f t="shared" si="157"/>
        <v>5.5327780301649707E-3</v>
      </c>
      <c r="N790" s="49">
        <f t="shared" si="157"/>
        <v>1.1953946536941188E-2</v>
      </c>
      <c r="O790" s="49">
        <f t="shared" si="157"/>
        <v>2.3718565832847125E-2</v>
      </c>
      <c r="P790" s="49">
        <f t="shared" si="157"/>
        <v>4.35060885683606E-2</v>
      </c>
      <c r="Q790" s="49">
        <f t="shared" si="157"/>
        <v>7.421177368300981E-2</v>
      </c>
      <c r="R790" s="49">
        <f t="shared" si="157"/>
        <v>0.11836228613410771</v>
      </c>
      <c r="S790" s="49">
        <f t="shared" si="157"/>
        <v>0.1774071285808535</v>
      </c>
      <c r="T790" s="49">
        <f t="shared" si="157"/>
        <v>0.25109588898586593</v>
      </c>
      <c r="U790" s="49">
        <f t="shared" si="157"/>
        <v>0.33717009765511463</v>
      </c>
      <c r="V790" s="49">
        <f t="shared" si="157"/>
        <v>0.43151912756010302</v>
      </c>
      <c r="W790" s="47">
        <v>0.21299999999999999</v>
      </c>
    </row>
    <row r="791" spans="2:23" x14ac:dyDescent="0.25">
      <c r="B791" s="49">
        <f t="shared" si="156"/>
        <v>4.4888981436473385E-11</v>
      </c>
      <c r="C791" s="49">
        <f t="shared" si="156"/>
        <v>1.2526885371681917E-9</v>
      </c>
      <c r="D791" s="49">
        <f t="shared" si="156"/>
        <v>1.7338871812655969E-8</v>
      </c>
      <c r="E791" s="49">
        <f t="shared" si="156"/>
        <v>1.5872559034093252E-7</v>
      </c>
      <c r="F791" s="49">
        <f t="shared" si="156"/>
        <v>1.0812311091550996E-6</v>
      </c>
      <c r="G791" s="49">
        <f t="shared" si="156"/>
        <v>5.8468208290545444E-6</v>
      </c>
      <c r="H791" s="49">
        <f t="shared" si="156"/>
        <v>2.6148562029958866E-5</v>
      </c>
      <c r="I791" s="49">
        <f t="shared" si="156"/>
        <v>9.94994231023644E-5</v>
      </c>
      <c r="J791" s="49">
        <f t="shared" si="156"/>
        <v>3.2892304258438991E-4</v>
      </c>
      <c r="K791" s="49">
        <f t="shared" si="156"/>
        <v>9.5991122795673609E-4</v>
      </c>
      <c r="L791" s="49">
        <f t="shared" si="157"/>
        <v>2.5048036254268938E-3</v>
      </c>
      <c r="M791" s="49">
        <f t="shared" si="157"/>
        <v>5.9056068975891236E-3</v>
      </c>
      <c r="N791" s="49">
        <f t="shared" si="157"/>
        <v>1.2691727184850161E-2</v>
      </c>
      <c r="O791" s="49">
        <f t="shared" si="157"/>
        <v>2.5050916644958968E-2</v>
      </c>
      <c r="P791" s="49">
        <f t="shared" si="157"/>
        <v>4.5714619912585741E-2</v>
      </c>
      <c r="Q791" s="49">
        <f t="shared" si="157"/>
        <v>7.7588881485852898E-2</v>
      </c>
      <c r="R791" s="49">
        <f t="shared" si="157"/>
        <v>0.12314657118761463</v>
      </c>
      <c r="S791" s="49">
        <f t="shared" si="157"/>
        <v>0.18371028620936949</v>
      </c>
      <c r="T791" s="49">
        <f t="shared" si="157"/>
        <v>0.25884426333004984</v>
      </c>
      <c r="U791" s="49">
        <f t="shared" si="157"/>
        <v>0.34608367877383539</v>
      </c>
      <c r="V791" s="49">
        <f t="shared" si="157"/>
        <v>0.44114015716353355</v>
      </c>
      <c r="W791" s="47">
        <v>0.21199999999999999</v>
      </c>
    </row>
    <row r="792" spans="2:23" x14ac:dyDescent="0.25">
      <c r="B792" s="49">
        <f t="shared" si="156"/>
        <v>5.0959036101667163E-11</v>
      </c>
      <c r="C792" s="49">
        <f t="shared" si="156"/>
        <v>1.4138843885563703E-9</v>
      </c>
      <c r="D792" s="49">
        <f t="shared" si="156"/>
        <v>1.945759946220242E-8</v>
      </c>
      <c r="E792" s="49">
        <f t="shared" si="156"/>
        <v>1.7710154614990497E-7</v>
      </c>
      <c r="F792" s="49">
        <f t="shared" si="156"/>
        <v>1.1995310789923173E-6</v>
      </c>
      <c r="G792" s="49">
        <f t="shared" si="156"/>
        <v>6.4497423967241728E-6</v>
      </c>
      <c r="H792" s="49">
        <f t="shared" si="156"/>
        <v>2.8682285056280217E-5</v>
      </c>
      <c r="I792" s="49">
        <f t="shared" si="156"/>
        <v>1.085289478535192E-4</v>
      </c>
      <c r="J792" s="49">
        <f t="shared" si="156"/>
        <v>3.567767307901259E-4</v>
      </c>
      <c r="K792" s="49">
        <f t="shared" si="156"/>
        <v>1.0354553537848228E-3</v>
      </c>
      <c r="L792" s="49">
        <f t="shared" si="157"/>
        <v>2.6871770056479311E-3</v>
      </c>
      <c r="M792" s="49">
        <f t="shared" si="157"/>
        <v>6.3014072150177581E-3</v>
      </c>
      <c r="N792" s="49">
        <f t="shared" si="157"/>
        <v>1.347029072893508E-2</v>
      </c>
      <c r="O792" s="49">
        <f t="shared" si="157"/>
        <v>2.644852534481194E-2</v>
      </c>
      <c r="P792" s="49">
        <f t="shared" si="157"/>
        <v>4.8017497074472636E-2</v>
      </c>
      <c r="Q792" s="49">
        <f t="shared" si="157"/>
        <v>8.1089238423293908E-2</v>
      </c>
      <c r="R792" s="49">
        <f t="shared" si="157"/>
        <v>0.12807586448374367</v>
      </c>
      <c r="S792" s="49">
        <f t="shared" si="157"/>
        <v>0.19016572824320682</v>
      </c>
      <c r="T792" s="49">
        <f t="shared" si="157"/>
        <v>0.26673247615110318</v>
      </c>
      <c r="U792" s="49">
        <f t="shared" si="157"/>
        <v>0.35510396782214532</v>
      </c>
      <c r="V792" s="49">
        <f t="shared" si="157"/>
        <v>0.45081825468912012</v>
      </c>
      <c r="W792" s="47">
        <v>0.21099999999999999</v>
      </c>
    </row>
    <row r="793" spans="2:23" x14ac:dyDescent="0.25">
      <c r="B793" s="49">
        <f t="shared" ref="B793:K802" si="158">_xlfn.HYPGEOM.DIST(B$2,comau,tongtheN*$W793,tongtheN,TRUE)</f>
        <v>5.7840613009472093E-11</v>
      </c>
      <c r="C793" s="49">
        <f t="shared" si="158"/>
        <v>1.5955364777028238E-9</v>
      </c>
      <c r="D793" s="49">
        <f t="shared" si="158"/>
        <v>2.1830900576776011E-8</v>
      </c>
      <c r="E793" s="49">
        <f t="shared" si="158"/>
        <v>1.9756216761547405E-7</v>
      </c>
      <c r="F793" s="49">
        <f t="shared" si="158"/>
        <v>1.3304627444922566E-6</v>
      </c>
      <c r="G793" s="49">
        <f t="shared" si="158"/>
        <v>7.1130455395996557E-6</v>
      </c>
      <c r="H793" s="49">
        <f t="shared" si="158"/>
        <v>3.1453061917461987E-5</v>
      </c>
      <c r="I793" s="49">
        <f t="shared" si="158"/>
        <v>1.1834413278495768E-4</v>
      </c>
      <c r="J793" s="49">
        <f t="shared" si="158"/>
        <v>3.8687264119024214E-4</v>
      </c>
      <c r="K793" s="49">
        <f t="shared" si="158"/>
        <v>1.1165919264669126E-3</v>
      </c>
      <c r="L793" s="49">
        <f t="shared" ref="L793:V802" si="159">_xlfn.HYPGEOM.DIST(L$2,comau,tongtheN*$W793,tongtheN,TRUE)</f>
        <v>2.8818781888620805E-3</v>
      </c>
      <c r="M793" s="49">
        <f t="shared" si="159"/>
        <v>6.7214315640289988E-3</v>
      </c>
      <c r="N793" s="49">
        <f t="shared" si="159"/>
        <v>1.4291556232377961E-2</v>
      </c>
      <c r="O793" s="49">
        <f t="shared" si="159"/>
        <v>2.7913959472537338E-2</v>
      </c>
      <c r="P793" s="49">
        <f t="shared" si="159"/>
        <v>5.0417670757013894E-2</v>
      </c>
      <c r="Q793" s="49">
        <f t="shared" si="159"/>
        <v>8.471563604495623E-2</v>
      </c>
      <c r="R793" s="49">
        <f t="shared" si="159"/>
        <v>0.13315206702631269</v>
      </c>
      <c r="S793" s="49">
        <f t="shared" si="159"/>
        <v>0.19677374999012287</v>
      </c>
      <c r="T793" s="49">
        <f t="shared" si="159"/>
        <v>0.27475877440247798</v>
      </c>
      <c r="U793" s="49">
        <f t="shared" si="159"/>
        <v>0.36422719159406985</v>
      </c>
      <c r="V793" s="49">
        <f t="shared" si="159"/>
        <v>0.46054817014820593</v>
      </c>
      <c r="W793" s="47">
        <v>0.21</v>
      </c>
    </row>
    <row r="794" spans="2:23" x14ac:dyDescent="0.25">
      <c r="B794" s="49">
        <f t="shared" si="158"/>
        <v>6.5640967686471634E-11</v>
      </c>
      <c r="C794" s="49">
        <f t="shared" si="158"/>
        <v>1.8002039589558066E-9</v>
      </c>
      <c r="D794" s="49">
        <f t="shared" si="158"/>
        <v>2.4488829470801711E-8</v>
      </c>
      <c r="E794" s="49">
        <f t="shared" si="158"/>
        <v>2.2033889924185864E-7</v>
      </c>
      <c r="F794" s="49">
        <f t="shared" si="158"/>
        <v>1.4753397118482866E-6</v>
      </c>
      <c r="G794" s="49">
        <f t="shared" si="158"/>
        <v>7.8425849891675827E-6</v>
      </c>
      <c r="H794" s="49">
        <f t="shared" si="158"/>
        <v>3.4482208932805199E-5</v>
      </c>
      <c r="I794" s="49">
        <f t="shared" si="158"/>
        <v>1.2901007831019263E-4</v>
      </c>
      <c r="J794" s="49">
        <f t="shared" si="158"/>
        <v>4.19380655060014E-4</v>
      </c>
      <c r="K794" s="49">
        <f t="shared" si="158"/>
        <v>1.2037046692377851E-3</v>
      </c>
      <c r="L794" s="49">
        <f t="shared" si="159"/>
        <v>3.0896639099378979E-3</v>
      </c>
      <c r="M794" s="49">
        <f t="shared" si="159"/>
        <v>7.1669889606016477E-3</v>
      </c>
      <c r="N794" s="49">
        <f t="shared" si="159"/>
        <v>1.5157510295250226E-2</v>
      </c>
      <c r="O794" s="49">
        <f t="shared" si="159"/>
        <v>2.944984786757783E-2</v>
      </c>
      <c r="P794" s="49">
        <f t="shared" si="159"/>
        <v>5.2918120402305917E-2</v>
      </c>
      <c r="Q794" s="49">
        <f t="shared" si="159"/>
        <v>8.8470835008152143E-2</v>
      </c>
      <c r="R794" s="49">
        <f t="shared" si="159"/>
        <v>0.13837697400066562</v>
      </c>
      <c r="S794" s="49">
        <f t="shared" si="159"/>
        <v>0.20353447349027043</v>
      </c>
      <c r="T794" s="49">
        <f t="shared" si="159"/>
        <v>0.28292119739508342</v>
      </c>
      <c r="U794" s="49">
        <f t="shared" si="159"/>
        <v>0.37344938496650598</v>
      </c>
      <c r="V794" s="49">
        <f t="shared" si="159"/>
        <v>0.47032452730863805</v>
      </c>
      <c r="W794" s="47">
        <v>0.20899999999999999</v>
      </c>
    </row>
    <row r="795" spans="2:23" x14ac:dyDescent="0.25">
      <c r="B795" s="49">
        <f t="shared" si="158"/>
        <v>7.4481367845405138E-11</v>
      </c>
      <c r="C795" s="49">
        <f t="shared" si="158"/>
        <v>2.0307614742762329E-9</v>
      </c>
      <c r="D795" s="49">
        <f t="shared" si="158"/>
        <v>2.7464923598641833E-8</v>
      </c>
      <c r="E795" s="49">
        <f t="shared" si="158"/>
        <v>2.4568829298570566E-7</v>
      </c>
      <c r="F795" s="49">
        <f t="shared" si="158"/>
        <v>1.6356082917186411E-6</v>
      </c>
      <c r="G795" s="49">
        <f t="shared" si="158"/>
        <v>8.6447628920542036E-6</v>
      </c>
      <c r="H795" s="49">
        <f t="shared" si="158"/>
        <v>3.7792873173500681E-5</v>
      </c>
      <c r="I795" s="49">
        <f t="shared" si="158"/>
        <v>1.4059697198926942E-4</v>
      </c>
      <c r="J795" s="49">
        <f t="shared" si="158"/>
        <v>4.5448258322298637E-4</v>
      </c>
      <c r="K795" s="49">
        <f t="shared" si="158"/>
        <v>1.2972011151335153E-3</v>
      </c>
      <c r="L795" s="49">
        <f t="shared" si="159"/>
        <v>3.3113313947186001E-3</v>
      </c>
      <c r="M795" s="49">
        <f t="shared" si="159"/>
        <v>7.6394465527465831E-3</v>
      </c>
      <c r="N795" s="49">
        <f t="shared" si="159"/>
        <v>1.6070207901103559E-2</v>
      </c>
      <c r="O795" s="49">
        <f t="shared" si="159"/>
        <v>3.1058879567127707E-2</v>
      </c>
      <c r="P795" s="49">
        <f t="shared" si="159"/>
        <v>5.5521850360720645E-2</v>
      </c>
      <c r="Q795" s="49">
        <f t="shared" si="159"/>
        <v>9.2357558692527361E-2</v>
      </c>
      <c r="R795" s="49">
        <f t="shared" si="159"/>
        <v>0.14375226729731527</v>
      </c>
      <c r="S795" s="49">
        <f t="shared" si="159"/>
        <v>0.21044784138736453</v>
      </c>
      <c r="T795" s="49">
        <f t="shared" si="159"/>
        <v>0.29121757448101632</v>
      </c>
      <c r="U795" s="49">
        <f t="shared" si="159"/>
        <v>0.38276639374167082</v>
      </c>
      <c r="V795" s="49">
        <f t="shared" si="159"/>
        <v>0.48014183120754705</v>
      </c>
      <c r="W795" s="47">
        <v>0.20799999999999999</v>
      </c>
    </row>
    <row r="796" spans="2:23" x14ac:dyDescent="0.25">
      <c r="B796" s="49">
        <f t="shared" si="158"/>
        <v>8.4498902698098243E-11</v>
      </c>
      <c r="C796" s="49">
        <f t="shared" si="158"/>
        <v>2.2904374597997413E-9</v>
      </c>
      <c r="D796" s="49">
        <f t="shared" si="158"/>
        <v>3.0796599418945999E-8</v>
      </c>
      <c r="E796" s="49">
        <f t="shared" si="158"/>
        <v>2.7389466447887601E-7</v>
      </c>
      <c r="F796" s="49">
        <f t="shared" si="158"/>
        <v>1.812860479774713E-6</v>
      </c>
      <c r="G796" s="49">
        <f t="shared" si="158"/>
        <v>9.5265778969186393E-6</v>
      </c>
      <c r="H796" s="49">
        <f t="shared" si="158"/>
        <v>4.1410181292306374E-5</v>
      </c>
      <c r="I796" s="49">
        <f t="shared" si="158"/>
        <v>1.531804578098465E-4</v>
      </c>
      <c r="J796" s="49">
        <f t="shared" si="158"/>
        <v>4.9237292248657338E-4</v>
      </c>
      <c r="K796" s="49">
        <f t="shared" si="158"/>
        <v>1.3975138805869664E-3</v>
      </c>
      <c r="L796" s="49">
        <f t="shared" si="159"/>
        <v>3.5477200752501445E-3</v>
      </c>
      <c r="M796" s="49">
        <f t="shared" si="159"/>
        <v>8.1402313071286293E-3</v>
      </c>
      <c r="N796" s="49">
        <f t="shared" si="159"/>
        <v>1.7031773158534595E-2</v>
      </c>
      <c r="O796" s="49">
        <f t="shared" si="159"/>
        <v>3.2743802491741671E-2</v>
      </c>
      <c r="P796" s="49">
        <f t="shared" si="159"/>
        <v>5.8231885784630025E-2</v>
      </c>
      <c r="Q796" s="49">
        <f t="shared" si="159"/>
        <v>9.6378486583266074E-2</v>
      </c>
      <c r="R796" s="49">
        <f t="shared" si="159"/>
        <v>0.14927950797612694</v>
      </c>
      <c r="S796" s="49">
        <f t="shared" si="159"/>
        <v>0.21751361099280939</v>
      </c>
      <c r="T796" s="49">
        <f t="shared" si="159"/>
        <v>0.2996455231581982</v>
      </c>
      <c r="U796" s="49">
        <f t="shared" si="159"/>
        <v>0.39217387800378678</v>
      </c>
      <c r="V796" s="49">
        <f t="shared" si="159"/>
        <v>0.48999447608355123</v>
      </c>
      <c r="W796" s="47">
        <v>0.20699999999999999</v>
      </c>
    </row>
    <row r="797" spans="2:23" x14ac:dyDescent="0.25">
      <c r="B797" s="49">
        <f t="shared" si="158"/>
        <v>9.5848523153897565E-11</v>
      </c>
      <c r="C797" s="49">
        <f t="shared" si="158"/>
        <v>2.582857030927452E-9</v>
      </c>
      <c r="D797" s="49">
        <f t="shared" si="158"/>
        <v>3.4525592322339596E-8</v>
      </c>
      <c r="E797" s="49">
        <f t="shared" si="158"/>
        <v>3.0527302263361223E-7</v>
      </c>
      <c r="F797" s="49">
        <f t="shared" si="158"/>
        <v>2.008848161258405E-6</v>
      </c>
      <c r="G797" s="49">
        <f t="shared" si="158"/>
        <v>1.0495678430204049E-5</v>
      </c>
      <c r="H797" s="49">
        <f t="shared" si="158"/>
        <v>4.5361399648072077E-5</v>
      </c>
      <c r="I797" s="49">
        <f t="shared" si="158"/>
        <v>1.6684202973365071E-4</v>
      </c>
      <c r="J797" s="49">
        <f t="shared" si="158"/>
        <v>5.3325965317195338E-4</v>
      </c>
      <c r="K797" s="49">
        <f t="shared" si="158"/>
        <v>1.5051019909351486E-3</v>
      </c>
      <c r="L797" s="49">
        <f t="shared" si="159"/>
        <v>3.7997133435582926E-3</v>
      </c>
      <c r="M797" s="49">
        <f t="shared" si="159"/>
        <v>8.6708316787801228E-3</v>
      </c>
      <c r="N797" s="49">
        <f t="shared" si="159"/>
        <v>1.804439992786783E-2</v>
      </c>
      <c r="O797" s="49">
        <f t="shared" si="159"/>
        <v>3.4507421907873627E-2</v>
      </c>
      <c r="P797" s="49">
        <f t="shared" si="159"/>
        <v>6.1051268242280451E-2</v>
      </c>
      <c r="Q797" s="49">
        <f t="shared" si="159"/>
        <v>0.10053624742993129</v>
      </c>
      <c r="R797" s="49">
        <f t="shared" si="159"/>
        <v>0.15496012869035225</v>
      </c>
      <c r="S797" s="49">
        <f t="shared" si="159"/>
        <v>0.22473134856806201</v>
      </c>
      <c r="T797" s="49">
        <f t="shared" si="159"/>
        <v>0.30820244761612486</v>
      </c>
      <c r="U797" s="49">
        <f t="shared" si="159"/>
        <v>0.40166731599487038</v>
      </c>
      <c r="V797" s="49">
        <f t="shared" si="159"/>
        <v>0.49987675371470708</v>
      </c>
      <c r="W797" s="47">
        <v>0.20599999999999999</v>
      </c>
    </row>
    <row r="798" spans="2:23" x14ac:dyDescent="0.25">
      <c r="B798" s="49">
        <f t="shared" si="158"/>
        <v>1.0871673789052653E-10</v>
      </c>
      <c r="C798" s="49">
        <f t="shared" si="158"/>
        <v>2.9123809302637031E-9</v>
      </c>
      <c r="D798" s="49">
        <f t="shared" si="158"/>
        <v>3.8702121928848773E-8</v>
      </c>
      <c r="E798" s="49">
        <f t="shared" si="158"/>
        <v>3.4020295562910621E-7</v>
      </c>
      <c r="F798" s="49">
        <f t="shared" si="158"/>
        <v>2.2256883843227457E-6</v>
      </c>
      <c r="G798" s="49">
        <f t="shared" si="158"/>
        <v>1.1561350147855719E-5</v>
      </c>
      <c r="H798" s="49">
        <f t="shared" si="158"/>
        <v>4.96798624148727E-5</v>
      </c>
      <c r="I798" s="49">
        <f t="shared" si="158"/>
        <v>1.8168231902815349E-4</v>
      </c>
      <c r="J798" s="49">
        <f t="shared" si="158"/>
        <v>5.7740324111963954E-4</v>
      </c>
      <c r="K798" s="49">
        <f t="shared" si="158"/>
        <v>1.6205517622182887E-3</v>
      </c>
      <c r="L798" s="49">
        <f t="shared" si="159"/>
        <v>4.0684712775777071E-3</v>
      </c>
      <c r="M798" s="49">
        <f t="shared" si="159"/>
        <v>9.2332810894355122E-3</v>
      </c>
      <c r="N798" s="49">
        <f t="shared" si="159"/>
        <v>1.9111263498377645E-2</v>
      </c>
      <c r="O798" s="49">
        <f t="shared" si="159"/>
        <v>3.6354171121956567E-2</v>
      </c>
      <c r="P798" s="49">
        <f t="shared" si="159"/>
        <v>6.3985541923814337E-2</v>
      </c>
      <c r="Q798" s="49">
        <f t="shared" si="159"/>
        <v>0.10483705199498487</v>
      </c>
      <c r="R798" s="49">
        <f t="shared" si="159"/>
        <v>0.16080035367207543</v>
      </c>
      <c r="S798" s="49">
        <f t="shared" si="159"/>
        <v>0.23210662763967416</v>
      </c>
      <c r="T798" s="49">
        <f t="shared" si="159"/>
        <v>0.31689282543687031</v>
      </c>
      <c r="U798" s="49">
        <f t="shared" si="159"/>
        <v>0.41125001996432331</v>
      </c>
      <c r="V798" s="49">
        <f t="shared" si="159"/>
        <v>0.50979112554324602</v>
      </c>
      <c r="W798" s="47">
        <v>0.20499999999999999</v>
      </c>
    </row>
    <row r="799" spans="2:23" x14ac:dyDescent="0.25">
      <c r="B799" s="49">
        <f t="shared" si="158"/>
        <v>1.2328013312951827E-10</v>
      </c>
      <c r="C799" s="49">
        <f t="shared" si="158"/>
        <v>3.2830320036075437E-9</v>
      </c>
      <c r="D799" s="49">
        <f t="shared" si="158"/>
        <v>4.3371165377986866E-8</v>
      </c>
      <c r="E799" s="49">
        <f t="shared" si="158"/>
        <v>3.7901299739958935E-7</v>
      </c>
      <c r="F799" s="49">
        <f t="shared" si="158"/>
        <v>2.4651413438697161E-6</v>
      </c>
      <c r="G799" s="49">
        <f t="shared" si="158"/>
        <v>1.2730951359327373E-5</v>
      </c>
      <c r="H799" s="49">
        <f t="shared" si="158"/>
        <v>5.4390476803034432E-5</v>
      </c>
      <c r="I799" s="49">
        <f t="shared" si="158"/>
        <v>1.9777115954444597E-4</v>
      </c>
      <c r="J799" s="49">
        <f t="shared" si="158"/>
        <v>6.2496785912744045E-4</v>
      </c>
      <c r="K799" s="49">
        <f t="shared" si="158"/>
        <v>1.7441873405904453E-3</v>
      </c>
      <c r="L799" s="49">
        <f t="shared" si="159"/>
        <v>4.3545237365619025E-3</v>
      </c>
      <c r="M799" s="49">
        <f t="shared" si="159"/>
        <v>9.8282603952432167E-3</v>
      </c>
      <c r="N799" s="49">
        <f t="shared" si="159"/>
        <v>2.0232923628744581E-2</v>
      </c>
      <c r="O799" s="49">
        <f t="shared" si="159"/>
        <v>3.8283891230247259E-2</v>
      </c>
      <c r="P799" s="49">
        <f t="shared" si="159"/>
        <v>6.7032882676394873E-2</v>
      </c>
      <c r="Q799" s="49">
        <f t="shared" si="159"/>
        <v>0.10927624585032641</v>
      </c>
      <c r="R799" s="49">
        <f t="shared" si="159"/>
        <v>0.16679161111115806</v>
      </c>
      <c r="S799" s="49">
        <f t="shared" si="159"/>
        <v>0.23962633365729152</v>
      </c>
      <c r="T799" s="49">
        <f t="shared" si="159"/>
        <v>0.32569915759661444</v>
      </c>
      <c r="U799" s="49">
        <f t="shared" si="159"/>
        <v>0.42090115685869323</v>
      </c>
      <c r="V799" s="49">
        <f t="shared" si="159"/>
        <v>0.51971519066850302</v>
      </c>
      <c r="W799" s="47">
        <v>0.20399999999999999</v>
      </c>
    </row>
    <row r="800" spans="2:23" x14ac:dyDescent="0.25">
      <c r="B800" s="49">
        <f t="shared" si="158"/>
        <v>1.397577228685162E-10</v>
      </c>
      <c r="C800" s="49">
        <f t="shared" si="158"/>
        <v>3.6998273338770558E-9</v>
      </c>
      <c r="D800" s="49">
        <f t="shared" si="158"/>
        <v>4.8589260964694224E-8</v>
      </c>
      <c r="E800" s="49">
        <f t="shared" si="158"/>
        <v>4.221206880168481E-7</v>
      </c>
      <c r="F800" s="49">
        <f t="shared" si="158"/>
        <v>2.7294779976316613E-6</v>
      </c>
      <c r="G800" s="49">
        <f t="shared" si="158"/>
        <v>1.401417254059041E-5</v>
      </c>
      <c r="H800" s="49">
        <f t="shared" si="158"/>
        <v>5.952698275044027E-5</v>
      </c>
      <c r="I800" s="49">
        <f t="shared" si="158"/>
        <v>2.1520694507041148E-4</v>
      </c>
      <c r="J800" s="49">
        <f t="shared" si="158"/>
        <v>6.761982081769398E-4</v>
      </c>
      <c r="K800" s="49">
        <f t="shared" si="158"/>
        <v>1.8765340952133765E-3</v>
      </c>
      <c r="L800" s="49">
        <f t="shared" si="159"/>
        <v>4.6588518305060765E-3</v>
      </c>
      <c r="M800" s="49">
        <f t="shared" si="159"/>
        <v>1.0457367731960635E-2</v>
      </c>
      <c r="N800" s="49">
        <f t="shared" si="159"/>
        <v>2.1411643759974782E-2</v>
      </c>
      <c r="O800" s="49">
        <f t="shared" si="159"/>
        <v>4.0299333061075873E-2</v>
      </c>
      <c r="P800" s="49">
        <f t="shared" si="159"/>
        <v>7.019605966816847E-2</v>
      </c>
      <c r="Q800" s="49">
        <f t="shared" si="159"/>
        <v>0.11385590452884875</v>
      </c>
      <c r="R800" s="49">
        <f t="shared" si="159"/>
        <v>0.1729345120042442</v>
      </c>
      <c r="S800" s="49">
        <f t="shared" si="159"/>
        <v>0.24728905294289519</v>
      </c>
      <c r="T800" s="49">
        <f t="shared" si="159"/>
        <v>0.33461790044115325</v>
      </c>
      <c r="U800" s="49">
        <f t="shared" si="159"/>
        <v>0.43061550315522074</v>
      </c>
      <c r="V800" s="49">
        <f t="shared" si="159"/>
        <v>0.52964294989910921</v>
      </c>
      <c r="W800" s="47">
        <v>0.20300000000000001</v>
      </c>
    </row>
    <row r="801" spans="2:23" x14ac:dyDescent="0.25">
      <c r="B801" s="49">
        <f t="shared" si="158"/>
        <v>1.5842934558198817E-10</v>
      </c>
      <c r="C801" s="49">
        <f t="shared" si="158"/>
        <v>4.169210887227798E-9</v>
      </c>
      <c r="D801" s="49">
        <f t="shared" si="158"/>
        <v>5.442954144341799E-8</v>
      </c>
      <c r="E801" s="49">
        <f t="shared" si="158"/>
        <v>4.7007118204528474E-7</v>
      </c>
      <c r="F801" s="49">
        <f t="shared" si="158"/>
        <v>3.0216996388000632E-6</v>
      </c>
      <c r="G801" s="49">
        <f t="shared" si="158"/>
        <v>1.5424023389535385E-5</v>
      </c>
      <c r="H801" s="49">
        <f t="shared" si="158"/>
        <v>6.5135604000719047E-5</v>
      </c>
      <c r="I801" s="49">
        <f t="shared" si="158"/>
        <v>2.3412805058226703E-4</v>
      </c>
      <c r="J801" s="49">
        <f t="shared" si="158"/>
        <v>7.3145033244498498E-4</v>
      </c>
      <c r="K801" s="49">
        <f t="shared" si="158"/>
        <v>2.018391379377382E-3</v>
      </c>
      <c r="L801" s="49">
        <f t="shared" si="159"/>
        <v>4.9830399349993565E-3</v>
      </c>
      <c r="M801" s="49">
        <f t="shared" si="159"/>
        <v>1.1123401835968594E-2</v>
      </c>
      <c r="N801" s="49">
        <f t="shared" si="159"/>
        <v>2.2651864846741157E-2</v>
      </c>
      <c r="O801" s="49">
        <f t="shared" si="159"/>
        <v>4.2406870873849388E-2</v>
      </c>
      <c r="P801" s="49">
        <f t="shared" si="159"/>
        <v>7.3483404793433238E-2</v>
      </c>
      <c r="Q801" s="49">
        <f t="shared" si="159"/>
        <v>0.11858601871623503</v>
      </c>
      <c r="R801" s="49">
        <f t="shared" si="159"/>
        <v>0.17924014560762974</v>
      </c>
      <c r="S801" s="49">
        <f t="shared" si="159"/>
        <v>0.2551063182779657</v>
      </c>
      <c r="T801" s="49">
        <f t="shared" si="159"/>
        <v>0.34366047914081566</v>
      </c>
      <c r="U801" s="49">
        <f t="shared" si="159"/>
        <v>0.44040406656762787</v>
      </c>
      <c r="V801" s="49">
        <f t="shared" si="159"/>
        <v>0.53958494031396764</v>
      </c>
      <c r="W801" s="47">
        <v>0.20200000000000001</v>
      </c>
    </row>
    <row r="802" spans="2:23" x14ac:dyDescent="0.25">
      <c r="B802" s="49">
        <f t="shared" si="158"/>
        <v>1.795672925227943E-10</v>
      </c>
      <c r="C802" s="49">
        <f t="shared" si="158"/>
        <v>4.6973085858455225E-9</v>
      </c>
      <c r="D802" s="49">
        <f t="shared" si="158"/>
        <v>6.0959730870667705E-8</v>
      </c>
      <c r="E802" s="49">
        <f t="shared" si="158"/>
        <v>5.2335444733132453E-7</v>
      </c>
      <c r="F802" s="49">
        <f t="shared" si="158"/>
        <v>3.344412142755981E-6</v>
      </c>
      <c r="G802" s="49">
        <f t="shared" si="158"/>
        <v>1.6971350953535504E-5</v>
      </c>
      <c r="H802" s="49">
        <f t="shared" si="158"/>
        <v>7.1253060381706678E-5</v>
      </c>
      <c r="I802" s="49">
        <f t="shared" si="158"/>
        <v>2.5463811168204221E-4</v>
      </c>
      <c r="J802" s="49">
        <f t="shared" si="158"/>
        <v>7.9097200232968584E-4</v>
      </c>
      <c r="K802" s="49">
        <f t="shared" si="158"/>
        <v>2.1702653860228697E-3</v>
      </c>
      <c r="L802" s="49">
        <f t="shared" si="159"/>
        <v>5.3279727945277711E-3</v>
      </c>
      <c r="M802" s="49">
        <f t="shared" si="159"/>
        <v>1.182767257960444E-2</v>
      </c>
      <c r="N802" s="49">
        <f t="shared" si="159"/>
        <v>2.3955175602774648E-2</v>
      </c>
      <c r="O802" s="49">
        <f t="shared" si="159"/>
        <v>4.4607921004114148E-2</v>
      </c>
      <c r="P802" s="49">
        <f t="shared" si="159"/>
        <v>7.6895377530313044E-2</v>
      </c>
      <c r="Q802" s="49">
        <f t="shared" si="159"/>
        <v>0.12346509457285502</v>
      </c>
      <c r="R802" s="49">
        <f t="shared" si="159"/>
        <v>0.18570413110824133</v>
      </c>
      <c r="S802" s="49">
        <f t="shared" si="159"/>
        <v>0.26307033554795184</v>
      </c>
      <c r="T802" s="49">
        <f t="shared" si="159"/>
        <v>0.35281583727738886</v>
      </c>
      <c r="U802" s="49">
        <f t="shared" si="159"/>
        <v>0.45025341953393944</v>
      </c>
      <c r="V802" s="49">
        <f t="shared" si="159"/>
        <v>0.54952680360977524</v>
      </c>
      <c r="W802" s="47">
        <v>0.20100000000000001</v>
      </c>
    </row>
    <row r="803" spans="2:23" x14ac:dyDescent="0.25">
      <c r="B803" s="49">
        <f t="shared" ref="B803:K812" si="160">_xlfn.HYPGEOM.DIST(B$2,comau,tongtheN*$W803,tongtheN,TRUE)</f>
        <v>2.0349362352702806E-10</v>
      </c>
      <c r="C803" s="49">
        <f t="shared" si="160"/>
        <v>5.2913588978091487E-9</v>
      </c>
      <c r="D803" s="49">
        <f t="shared" si="160"/>
        <v>6.8259857358214681E-8</v>
      </c>
      <c r="E803" s="49">
        <f t="shared" si="160"/>
        <v>5.8255027418958522E-7</v>
      </c>
      <c r="F803" s="49">
        <f t="shared" si="160"/>
        <v>3.700708768508523E-6</v>
      </c>
      <c r="G803" s="49">
        <f t="shared" si="160"/>
        <v>1.8669101335741143E-5</v>
      </c>
      <c r="H803" s="49">
        <f t="shared" si="160"/>
        <v>7.7923556207092014E-5</v>
      </c>
      <c r="I803" s="49">
        <f t="shared" si="160"/>
        <v>2.7686352530009826E-4</v>
      </c>
      <c r="J803" s="49">
        <f t="shared" si="160"/>
        <v>8.5507135878987357E-4</v>
      </c>
      <c r="K803" s="49">
        <f t="shared" si="160"/>
        <v>2.3328044219689797E-3</v>
      </c>
      <c r="L803" s="49">
        <f t="shared" ref="L803:V812" si="161">_xlfn.HYPGEOM.DIST(L$2,comau,tongtheN*$W803,tongtheN,TRUE)</f>
        <v>5.6948362620845459E-3</v>
      </c>
      <c r="M803" s="49">
        <f t="shared" si="161"/>
        <v>1.2572070611541674E-2</v>
      </c>
      <c r="N803" s="49">
        <f t="shared" si="161"/>
        <v>2.5324193800262632E-2</v>
      </c>
      <c r="O803" s="49">
        <f t="shared" si="161"/>
        <v>4.6905586753718462E-2</v>
      </c>
      <c r="P803" s="49">
        <f t="shared" si="161"/>
        <v>8.0435009799705554E-2</v>
      </c>
      <c r="Q803" s="49">
        <f t="shared" si="161"/>
        <v>0.12849530140495846</v>
      </c>
      <c r="R803" s="49">
        <f t="shared" si="161"/>
        <v>0.19232697208469438</v>
      </c>
      <c r="S803" s="49">
        <f t="shared" si="161"/>
        <v>0.27117942012037116</v>
      </c>
      <c r="T803" s="49">
        <f t="shared" si="161"/>
        <v>0.36208009566803384</v>
      </c>
      <c r="U803" s="49">
        <f t="shared" si="161"/>
        <v>0.46015805988776032</v>
      </c>
      <c r="V803" s="49">
        <f t="shared" si="161"/>
        <v>0.55946241246113615</v>
      </c>
      <c r="W803" s="47">
        <v>0.2</v>
      </c>
    </row>
    <row r="804" spans="2:23" x14ac:dyDescent="0.25">
      <c r="B804" s="49">
        <f t="shared" si="160"/>
        <v>2.3057197003477578E-10</v>
      </c>
      <c r="C804" s="49">
        <f t="shared" si="160"/>
        <v>5.9594793839595216E-9</v>
      </c>
      <c r="D804" s="49">
        <f t="shared" si="160"/>
        <v>7.6419055366656163E-8</v>
      </c>
      <c r="E804" s="49">
        <f t="shared" si="160"/>
        <v>6.4829996403810428E-7</v>
      </c>
      <c r="F804" s="49">
        <f t="shared" si="160"/>
        <v>4.0939869549250083E-6</v>
      </c>
      <c r="G804" s="49">
        <f t="shared" si="160"/>
        <v>2.0531392230078041E-5</v>
      </c>
      <c r="H804" s="49">
        <f t="shared" si="160"/>
        <v>8.5194944482139482E-5</v>
      </c>
      <c r="I804" s="49">
        <f t="shared" si="160"/>
        <v>3.009400948837046E-4</v>
      </c>
      <c r="J804" s="49">
        <f t="shared" si="160"/>
        <v>9.2407690001971589E-4</v>
      </c>
      <c r="K804" s="49">
        <f t="shared" si="160"/>
        <v>2.5066939861644638E-3</v>
      </c>
      <c r="L804" s="49">
        <f t="shared" si="161"/>
        <v>6.0848733009360063E-3</v>
      </c>
      <c r="M804" s="49">
        <f t="shared" si="161"/>
        <v>1.335855869511068E-2</v>
      </c>
      <c r="N804" s="49">
        <f t="shared" si="161"/>
        <v>2.6761607236927581E-2</v>
      </c>
      <c r="O804" s="49">
        <f t="shared" si="161"/>
        <v>4.9303010929865193E-2</v>
      </c>
      <c r="P804" s="49">
        <f t="shared" si="161"/>
        <v>8.4105311194782359E-2</v>
      </c>
      <c r="Q804" s="49">
        <f t="shared" si="161"/>
        <v>0.13367870446621111</v>
      </c>
      <c r="R804" s="49">
        <f t="shared" si="161"/>
        <v>0.19910899140263685</v>
      </c>
      <c r="S804" s="49">
        <f t="shared" si="161"/>
        <v>0.27943166457473473</v>
      </c>
      <c r="T804" s="49">
        <f t="shared" si="161"/>
        <v>0.37144916549255375</v>
      </c>
      <c r="U804" s="49">
        <f t="shared" si="161"/>
        <v>0.47011234533216339</v>
      </c>
      <c r="V804" s="49">
        <f t="shared" si="161"/>
        <v>0.56938560529802618</v>
      </c>
      <c r="W804" s="47">
        <v>0.19900000000000001</v>
      </c>
    </row>
    <row r="805" spans="2:23" x14ac:dyDescent="0.25">
      <c r="B805" s="49">
        <f t="shared" si="160"/>
        <v>2.6121283886883409E-10</v>
      </c>
      <c r="C805" s="49">
        <f t="shared" si="160"/>
        <v>6.7107718142035056E-9</v>
      </c>
      <c r="D805" s="49">
        <f t="shared" si="160"/>
        <v>8.5536580933936389E-8</v>
      </c>
      <c r="E805" s="49">
        <f t="shared" si="160"/>
        <v>7.2131268275514526E-7</v>
      </c>
      <c r="F805" s="49">
        <f t="shared" si="160"/>
        <v>4.5279771991262914E-6</v>
      </c>
      <c r="G805" s="49">
        <f t="shared" si="160"/>
        <v>2.2573614121608258E-5</v>
      </c>
      <c r="H805" s="49">
        <f t="shared" si="160"/>
        <v>9.3119009754030781E-5</v>
      </c>
      <c r="I805" s="49">
        <f t="shared" si="160"/>
        <v>3.2701367221022739E-4</v>
      </c>
      <c r="J805" s="49">
        <f t="shared" si="160"/>
        <v>9.9833866794143337E-4</v>
      </c>
      <c r="K805" s="49">
        <f t="shared" si="160"/>
        <v>2.6926585279506672E-3</v>
      </c>
      <c r="L805" s="49">
        <f t="shared" si="161"/>
        <v>6.4993859481386109E-3</v>
      </c>
      <c r="M805" s="49">
        <f t="shared" si="161"/>
        <v>1.4189172976790622E-2</v>
      </c>
      <c r="N805" s="49">
        <f t="shared" si="161"/>
        <v>2.8270173051020302E-2</v>
      </c>
      <c r="O805" s="49">
        <f t="shared" si="161"/>
        <v>5.1803372173741147E-2</v>
      </c>
      <c r="P805" s="49">
        <f t="shared" si="161"/>
        <v>8.7909262295837731E-2</v>
      </c>
      <c r="Q805" s="49">
        <f t="shared" si="161"/>
        <v>0.13901725672643336</v>
      </c>
      <c r="R805" s="49">
        <f t="shared" si="161"/>
        <v>0.20605032414058069</v>
      </c>
      <c r="S805" s="49">
        <f t="shared" si="161"/>
        <v>0.28782493566402512</v>
      </c>
      <c r="T805" s="49">
        <f t="shared" si="161"/>
        <v>0.38091875097678457</v>
      </c>
      <c r="U805" s="49">
        <f t="shared" si="161"/>
        <v>0.48011050143256662</v>
      </c>
      <c r="V805" s="49">
        <f t="shared" si="161"/>
        <v>0.57929019719217667</v>
      </c>
      <c r="W805" s="47">
        <v>0.19800000000000001</v>
      </c>
    </row>
    <row r="806" spans="2:23" x14ac:dyDescent="0.25">
      <c r="B806" s="49">
        <f t="shared" si="160"/>
        <v>2.9587958475143742E-10</v>
      </c>
      <c r="C806" s="49">
        <f t="shared" si="160"/>
        <v>7.5554396511385124E-9</v>
      </c>
      <c r="D806" s="49">
        <f t="shared" si="160"/>
        <v>9.5722937628957697E-8</v>
      </c>
      <c r="E806" s="49">
        <f t="shared" si="160"/>
        <v>8.0237245102681744E-7</v>
      </c>
      <c r="F806" s="49">
        <f t="shared" si="160"/>
        <v>5.0067745673686192E-6</v>
      </c>
      <c r="G806" s="49">
        <f t="shared" si="160"/>
        <v>2.481253974735102E-5</v>
      </c>
      <c r="H806" s="49">
        <f t="shared" si="160"/>
        <v>1.0175177117119706E-4</v>
      </c>
      <c r="I806" s="49">
        <f t="shared" si="160"/>
        <v>3.5524083786514824E-4</v>
      </c>
      <c r="J806" s="49">
        <f t="shared" si="160"/>
        <v>1.0782294907483432E-3</v>
      </c>
      <c r="K806" s="49">
        <f t="shared" si="160"/>
        <v>2.8914632590977835E-3</v>
      </c>
      <c r="L806" s="49">
        <f t="shared" si="161"/>
        <v>6.9397372863299351E-3</v>
      </c>
      <c r="M806" s="49">
        <f t="shared" si="161"/>
        <v>1.5066024164289406E-2</v>
      </c>
      <c r="N806" s="49">
        <f t="shared" si="161"/>
        <v>2.9852716819446033E-2</v>
      </c>
      <c r="O806" s="49">
        <f t="shared" si="161"/>
        <v>5.4409880983397128E-2</v>
      </c>
      <c r="P806" s="49">
        <f t="shared" si="161"/>
        <v>9.1849807705084649E-2</v>
      </c>
      <c r="Q806" s="49">
        <f t="shared" si="161"/>
        <v>0.14451279053709834</v>
      </c>
      <c r="R806" s="49">
        <f t="shared" si="161"/>
        <v>0.21315091069567471</v>
      </c>
      <c r="S806" s="49">
        <f t="shared" si="161"/>
        <v>0.29635687172651859</v>
      </c>
      <c r="T806" s="49">
        <f t="shared" si="161"/>
        <v>0.39048435265044046</v>
      </c>
      <c r="U806" s="49">
        <f t="shared" si="161"/>
        <v>0.49014663009123965</v>
      </c>
      <c r="V806" s="49">
        <f t="shared" si="161"/>
        <v>0.58916999095050948</v>
      </c>
      <c r="W806" s="47">
        <v>0.19700000000000001</v>
      </c>
    </row>
    <row r="807" spans="2:23" x14ac:dyDescent="0.25">
      <c r="B807" s="49">
        <f t="shared" si="160"/>
        <v>3.3509513488134213E-10</v>
      </c>
      <c r="C807" s="49">
        <f t="shared" si="160"/>
        <v>8.504919331610917E-9</v>
      </c>
      <c r="D807" s="49">
        <f t="shared" si="160"/>
        <v>1.0710112502176839E-7</v>
      </c>
      <c r="E807" s="49">
        <f t="shared" si="160"/>
        <v>8.9234583343445754E-7</v>
      </c>
      <c r="F807" s="49">
        <f t="shared" si="160"/>
        <v>5.5348730670212613E-6</v>
      </c>
      <c r="G807" s="49">
        <f t="shared" si="160"/>
        <v>2.7266442444632929E-5</v>
      </c>
      <c r="H807" s="49">
        <f t="shared" si="160"/>
        <v>1.1115380703686851E-4</v>
      </c>
      <c r="I807" s="49">
        <f t="shared" si="160"/>
        <v>3.8578962226710171E-4</v>
      </c>
      <c r="J807" s="49">
        <f t="shared" si="160"/>
        <v>1.1641462830525827E-3</v>
      </c>
      <c r="K807" s="49">
        <f t="shared" si="160"/>
        <v>3.1039160188241488E-3</v>
      </c>
      <c r="L807" s="49">
        <f t="shared" si="161"/>
        <v>7.4073534183797599E-3</v>
      </c>
      <c r="M807" s="49">
        <f t="shared" si="161"/>
        <v>1.5991298603671971E-2</v>
      </c>
      <c r="N807" s="49">
        <f t="shared" si="161"/>
        <v>3.151213142669302E-2</v>
      </c>
      <c r="O807" s="49">
        <f t="shared" si="161"/>
        <v>5.712577542382799E-2</v>
      </c>
      <c r="P807" s="49">
        <f t="shared" si="161"/>
        <v>9.5929848806909065E-2</v>
      </c>
      <c r="Q807" s="49">
        <f t="shared" si="161"/>
        <v>0.150167009213863</v>
      </c>
      <c r="R807" s="49">
        <f t="shared" si="161"/>
        <v>0.22041049009815336</v>
      </c>
      <c r="S807" s="49">
        <f t="shared" si="161"/>
        <v>0.30502488057233901</v>
      </c>
      <c r="T807" s="49">
        <f t="shared" si="161"/>
        <v>0.40014127118688297</v>
      </c>
      <c r="U807" s="49">
        <f t="shared" si="161"/>
        <v>0.50021471848936239</v>
      </c>
      <c r="V807" s="49">
        <f t="shared" si="161"/>
        <v>0.59901878838599654</v>
      </c>
      <c r="W807" s="47">
        <v>0.19600000000000001</v>
      </c>
    </row>
    <row r="808" spans="2:23" x14ac:dyDescent="0.25">
      <c r="B808" s="49">
        <f t="shared" si="160"/>
        <v>3.7944955915131468E-10</v>
      </c>
      <c r="C808" s="49">
        <f t="shared" si="160"/>
        <v>9.572026939380575E-9</v>
      </c>
      <c r="D808" s="49">
        <f t="shared" si="160"/>
        <v>1.1980802268492692E-7</v>
      </c>
      <c r="E808" s="49">
        <f t="shared" si="160"/>
        <v>9.9219039378626785E-7</v>
      </c>
      <c r="F808" s="49">
        <f t="shared" si="160"/>
        <v>6.1172031269326902E-6</v>
      </c>
      <c r="G808" s="49">
        <f t="shared" si="160"/>
        <v>2.9955224057047489E-5</v>
      </c>
      <c r="H808" s="49">
        <f t="shared" si="160"/>
        <v>1.2139060220918444E-4</v>
      </c>
      <c r="I808" s="49">
        <f t="shared" si="160"/>
        <v>4.1884026917373888E-4</v>
      </c>
      <c r="J808" s="49">
        <f t="shared" si="160"/>
        <v>1.2565114051345972E-3</v>
      </c>
      <c r="K808" s="49">
        <f t="shared" si="160"/>
        <v>3.3308691907379725E-3</v>
      </c>
      <c r="L808" s="49">
        <f t="shared" si="161"/>
        <v>7.903725439002484E-3</v>
      </c>
      <c r="M808" s="49">
        <f t="shared" si="161"/>
        <v>1.6967259244519365E-2</v>
      </c>
      <c r="N808" s="49">
        <f t="shared" si="161"/>
        <v>3.3251375692161599E-2</v>
      </c>
      <c r="O808" s="49">
        <f t="shared" si="161"/>
        <v>5.9954316517846412E-2</v>
      </c>
      <c r="P808" s="49">
        <f t="shared" si="161"/>
        <v>0.10015223626042273</v>
      </c>
      <c r="Q808" s="49">
        <f t="shared" si="161"/>
        <v>0.15598147855774186</v>
      </c>
      <c r="R808" s="49">
        <f t="shared" si="161"/>
        <v>0.22782859356371413</v>
      </c>
      <c r="S808" s="49">
        <f t="shared" si="161"/>
        <v>0.31382613786829494</v>
      </c>
      <c r="T808" s="49">
        <f t="shared" si="161"/>
        <v>0.4098846118305754</v>
      </c>
      <c r="U808" s="49">
        <f t="shared" si="161"/>
        <v>0.51030864848052004</v>
      </c>
      <c r="V808" s="49">
        <f t="shared" si="161"/>
        <v>0.6088304017349655</v>
      </c>
      <c r="W808" s="47">
        <v>0.19500000000000001</v>
      </c>
    </row>
    <row r="809" spans="2:23" x14ac:dyDescent="0.25">
      <c r="B809" s="49">
        <f t="shared" si="160"/>
        <v>4.2960859109148478E-10</v>
      </c>
      <c r="C809" s="49">
        <f t="shared" si="160"/>
        <v>1.077112204274727E-8</v>
      </c>
      <c r="D809" s="49">
        <f t="shared" si="160"/>
        <v>1.3399592408698334E-7</v>
      </c>
      <c r="E809" s="49">
        <f t="shared" si="160"/>
        <v>1.1029639904655796E-6</v>
      </c>
      <c r="F809" s="49">
        <f t="shared" si="160"/>
        <v>6.7591724535748782E-6</v>
      </c>
      <c r="G809" s="49">
        <f t="shared" si="160"/>
        <v>3.2900553113645461E-5</v>
      </c>
      <c r="H809" s="49">
        <f t="shared" si="160"/>
        <v>1.3253291976947422E-4</v>
      </c>
      <c r="I809" s="49">
        <f t="shared" si="160"/>
        <v>4.5458604365161844E-4</v>
      </c>
      <c r="J809" s="49">
        <f t="shared" si="160"/>
        <v>1.3557740827220134E-3</v>
      </c>
      <c r="K809" s="49">
        <f t="shared" si="160"/>
        <v>3.5732216703485693E-3</v>
      </c>
      <c r="L809" s="49">
        <f t="shared" si="161"/>
        <v>8.4304113969336514E-3</v>
      </c>
      <c r="M809" s="49">
        <f t="shared" si="161"/>
        <v>1.7996246481639677E-2</v>
      </c>
      <c r="N809" s="49">
        <f t="shared" si="161"/>
        <v>3.5073472743480084E-2</v>
      </c>
      <c r="O809" s="49">
        <f t="shared" si="161"/>
        <v>6.2898783312123036E-2</v>
      </c>
      <c r="P809" s="49">
        <f t="shared" si="161"/>
        <v>0.10451976223252896</v>
      </c>
      <c r="Q809" s="49">
        <f t="shared" si="161"/>
        <v>0.16195761833795908</v>
      </c>
      <c r="R809" s="49">
        <f t="shared" si="161"/>
        <v>0.23540453831367339</v>
      </c>
      <c r="S809" s="49">
        <f t="shared" si="161"/>
        <v>0.32275758604387023</v>
      </c>
      <c r="T809" s="49">
        <f t="shared" si="161"/>
        <v>0.41970928941590113</v>
      </c>
      <c r="U809" s="49">
        <f t="shared" si="161"/>
        <v>0.5204222064175491</v>
      </c>
      <c r="V809" s="49">
        <f t="shared" si="161"/>
        <v>0.61859866518881745</v>
      </c>
      <c r="W809" s="47">
        <v>0.19400000000000001</v>
      </c>
    </row>
    <row r="810" spans="2:23" x14ac:dyDescent="0.25">
      <c r="B810" s="49">
        <f t="shared" si="160"/>
        <v>4.8632321752690544E-10</v>
      </c>
      <c r="C810" s="49">
        <f t="shared" si="160"/>
        <v>1.2118290671782594E-8</v>
      </c>
      <c r="D810" s="49">
        <f t="shared" si="160"/>
        <v>1.4983423622047256E-7</v>
      </c>
      <c r="E810" s="49">
        <f t="shared" si="160"/>
        <v>1.2258349923901869E-6</v>
      </c>
      <c r="F810" s="49">
        <f t="shared" si="160"/>
        <v>7.4667105519467955E-6</v>
      </c>
      <c r="G810" s="49">
        <f t="shared" si="160"/>
        <v>3.6126014045111197E-5</v>
      </c>
      <c r="H810" s="49">
        <f t="shared" si="160"/>
        <v>1.4465719845159928E-4</v>
      </c>
      <c r="I810" s="49">
        <f t="shared" si="160"/>
        <v>4.9323408653932882E-4</v>
      </c>
      <c r="J810" s="49">
        <f t="shared" si="160"/>
        <v>1.4624118886423134E-3</v>
      </c>
      <c r="K810" s="49">
        <f t="shared" si="160"/>
        <v>3.8319208814794775E-3</v>
      </c>
      <c r="L810" s="49">
        <f t="shared" si="161"/>
        <v>8.9890382407522076E-3</v>
      </c>
      <c r="M810" s="49">
        <f t="shared" si="161"/>
        <v>1.9080678861384724E-2</v>
      </c>
      <c r="N810" s="49">
        <f t="shared" si="161"/>
        <v>3.6981508123419632E-2</v>
      </c>
      <c r="O810" s="49">
        <f t="shared" si="161"/>
        <v>6.5962467613551401E-2</v>
      </c>
      <c r="P810" s="49">
        <f t="shared" si="161"/>
        <v>0.10903515238119726</v>
      </c>
      <c r="Q810" s="49">
        <f t="shared" si="161"/>
        <v>0.16809669376085237</v>
      </c>
      <c r="R810" s="49">
        <f t="shared" si="161"/>
        <v>0.24313742169307329</v>
      </c>
      <c r="S810" s="49">
        <f t="shared" si="161"/>
        <v>0.3318159337400336</v>
      </c>
      <c r="T810" s="49">
        <f t="shared" si="161"/>
        <v>0.42961003397912789</v>
      </c>
      <c r="U810" s="49">
        <f t="shared" si="161"/>
        <v>0.53054909339244782</v>
      </c>
      <c r="V810" s="49">
        <f t="shared" si="161"/>
        <v>0.62831744650699628</v>
      </c>
      <c r="W810" s="47">
        <v>0.193</v>
      </c>
    </row>
    <row r="811" spans="2:23" x14ac:dyDescent="0.25">
      <c r="B811" s="49">
        <f t="shared" si="160"/>
        <v>5.5044046940579268E-10</v>
      </c>
      <c r="C811" s="49">
        <f t="shared" si="160"/>
        <v>1.3631549632892537E-8</v>
      </c>
      <c r="D811" s="49">
        <f t="shared" si="160"/>
        <v>1.6751136243661053E-7</v>
      </c>
      <c r="E811" s="49">
        <f t="shared" si="160"/>
        <v>1.3620935036004783E-6</v>
      </c>
      <c r="F811" s="49">
        <f t="shared" si="160"/>
        <v>8.246317223420089E-6</v>
      </c>
      <c r="G811" s="49">
        <f t="shared" si="160"/>
        <v>3.9657268251532366E-5</v>
      </c>
      <c r="H811" s="49">
        <f t="shared" si="160"/>
        <v>1.5784597739852444E-4</v>
      </c>
      <c r="I811" s="49">
        <f t="shared" si="160"/>
        <v>5.3500631747562845E-4</v>
      </c>
      <c r="J811" s="49">
        <f t="shared" si="160"/>
        <v>1.5769322875963958E-3</v>
      </c>
      <c r="K811" s="49">
        <f t="shared" si="160"/>
        <v>4.1079648395768191E-3</v>
      </c>
      <c r="L811" s="49">
        <f t="shared" si="161"/>
        <v>9.5813037408963193E-3</v>
      </c>
      <c r="M811" s="49">
        <f t="shared" si="161"/>
        <v>2.0223053640189281E-2</v>
      </c>
      <c r="N811" s="49">
        <f t="shared" si="161"/>
        <v>3.897862761811071E-2</v>
      </c>
      <c r="O811" s="49">
        <f t="shared" si="161"/>
        <v>6.9148668392034679E-2</v>
      </c>
      <c r="P811" s="49">
        <f t="shared" si="161"/>
        <v>0.11370105760007547</v>
      </c>
      <c r="Q811" s="49">
        <f t="shared" si="161"/>
        <v>0.17439980695050439</v>
      </c>
      <c r="R811" s="49">
        <f t="shared" si="161"/>
        <v>0.25102611561723609</v>
      </c>
      <c r="S811" s="49">
        <f t="shared" si="161"/>
        <v>0.3409976558216149</v>
      </c>
      <c r="T811" s="49">
        <f t="shared" si="161"/>
        <v>0.43958139696315596</v>
      </c>
      <c r="U811" s="49">
        <f t="shared" si="161"/>
        <v>0.54068293586717375</v>
      </c>
      <c r="V811" s="49">
        <f t="shared" si="161"/>
        <v>0.63798065867711617</v>
      </c>
      <c r="W811" s="47">
        <v>0.192</v>
      </c>
    </row>
    <row r="812" spans="2:23" x14ac:dyDescent="0.25">
      <c r="B812" s="49">
        <f t="shared" si="160"/>
        <v>6.2291556247569132E-10</v>
      </c>
      <c r="C812" s="49">
        <f t="shared" si="160"/>
        <v>1.5331074606241912E-8</v>
      </c>
      <c r="D812" s="49">
        <f t="shared" si="160"/>
        <v>1.8723678775123555E-7</v>
      </c>
      <c r="E812" s="49">
        <f t="shared" si="160"/>
        <v>1.5131636925675798E-6</v>
      </c>
      <c r="F812" s="49">
        <f t="shared" si="160"/>
        <v>9.1051153776099557E-6</v>
      </c>
      <c r="G812" s="49">
        <f t="shared" si="160"/>
        <v>4.3522227890037049E-5</v>
      </c>
      <c r="H812" s="49">
        <f t="shared" si="160"/>
        <v>1.721883498873506E-4</v>
      </c>
      <c r="I812" s="49">
        <f t="shared" si="160"/>
        <v>5.8014038860241905E-4</v>
      </c>
      <c r="J812" s="49">
        <f t="shared" si="160"/>
        <v>1.6998742451867052E-3</v>
      </c>
      <c r="K812" s="49">
        <f t="shared" si="160"/>
        <v>4.4024042595439345E-3</v>
      </c>
      <c r="L812" s="49">
        <f t="shared" si="161"/>
        <v>1.0208978379865202E-2</v>
      </c>
      <c r="M812" s="49">
        <f t="shared" si="161"/>
        <v>2.1425947182514827E-2</v>
      </c>
      <c r="N812" s="49">
        <f t="shared" si="161"/>
        <v>4.1068034794411463E-2</v>
      </c>
      <c r="O812" s="49">
        <f t="shared" si="161"/>
        <v>7.2460685846734416E-2</v>
      </c>
      <c r="P812" s="49">
        <f t="shared" si="161"/>
        <v>0.11852004553715584</v>
      </c>
      <c r="Q812" s="49">
        <f t="shared" si="161"/>
        <v>0.18086788846810706</v>
      </c>
      <c r="R812" s="49">
        <f t="shared" si="161"/>
        <v>0.25906926137745112</v>
      </c>
      <c r="S812" s="49">
        <f t="shared" si="161"/>
        <v>0.3502989939725506</v>
      </c>
      <c r="T812" s="49">
        <f t="shared" si="161"/>
        <v>0.44961775801246734</v>
      </c>
      <c r="U812" s="49">
        <f t="shared" si="161"/>
        <v>0.55081729667109935</v>
      </c>
      <c r="V812" s="49">
        <f t="shared" si="161"/>
        <v>0.64758227158740911</v>
      </c>
      <c r="W812" s="47">
        <v>0.191</v>
      </c>
    </row>
    <row r="813" spans="2:23" x14ac:dyDescent="0.25">
      <c r="B813" s="49">
        <f t="shared" ref="B813:K822" si="162">_xlfn.HYPGEOM.DIST(B$2,comau,tongtheN*$W813,tongtheN,TRUE)</f>
        <v>7.0482555466828422E-10</v>
      </c>
      <c r="C813" s="49">
        <f t="shared" si="162"/>
        <v>1.7239454746774146E-8</v>
      </c>
      <c r="D813" s="49">
        <f t="shared" si="162"/>
        <v>2.0924338785727563E-7</v>
      </c>
      <c r="E813" s="49">
        <f t="shared" si="162"/>
        <v>1.6806173310903534E-6</v>
      </c>
      <c r="F813" s="49">
        <f t="shared" si="162"/>
        <v>1.0050908522073523E-5</v>
      </c>
      <c r="G813" s="49">
        <f t="shared" si="162"/>
        <v>4.775124330714451E-5</v>
      </c>
      <c r="H813" s="49">
        <f t="shared" si="162"/>
        <v>1.8778044774077224E-4</v>
      </c>
      <c r="I813" s="49">
        <f t="shared" si="162"/>
        <v>6.28890691085658E-4</v>
      </c>
      <c r="J813" s="49">
        <f t="shared" si="162"/>
        <v>1.8318099022039569E-3</v>
      </c>
      <c r="K813" s="49">
        <f t="shared" si="162"/>
        <v>4.7163447053455067E-3</v>
      </c>
      <c r="L813" s="49">
        <f t="shared" ref="L813:V822" si="163">_xlfn.HYPGEOM.DIST(L$2,comau,tongtheN*$W813,tongtheN,TRUE)</f>
        <v>1.0873907202035101E-2</v>
      </c>
      <c r="M813" s="49">
        <f t="shared" si="163"/>
        <v>2.2692015184969962E-2</v>
      </c>
      <c r="N813" s="49">
        <f t="shared" si="163"/>
        <v>4.325298823448484E-2</v>
      </c>
      <c r="O813" s="49">
        <f t="shared" si="163"/>
        <v>7.5901815133910672E-2</v>
      </c>
      <c r="P813" s="49">
        <f t="shared" si="163"/>
        <v>0.12349459190176916</v>
      </c>
      <c r="Q813" s="49">
        <f t="shared" si="163"/>
        <v>0.18750168889831384</v>
      </c>
      <c r="R813" s="49">
        <f t="shared" si="163"/>
        <v>0.26726526483648266</v>
      </c>
      <c r="S813" s="49">
        <f t="shared" si="163"/>
        <v>0.35971595789201738</v>
      </c>
      <c r="T813" s="49">
        <f t="shared" si="163"/>
        <v>0.4597133323535928</v>
      </c>
      <c r="U813" s="49">
        <f t="shared" si="163"/>
        <v>0.56094568633895925</v>
      </c>
      <c r="V813" s="49">
        <f t="shared" si="163"/>
        <v>0.65711632367582484</v>
      </c>
      <c r="W813" s="47">
        <v>0.19</v>
      </c>
    </row>
    <row r="814" spans="2:23" x14ac:dyDescent="0.25">
      <c r="B814" s="49">
        <f t="shared" si="162"/>
        <v>7.9738470743398677E-10</v>
      </c>
      <c r="C814" s="49">
        <f t="shared" si="162"/>
        <v>1.9381976815142021E-8</v>
      </c>
      <c r="D814" s="49">
        <f t="shared" si="162"/>
        <v>2.3378998524497421E-7</v>
      </c>
      <c r="E814" s="49">
        <f t="shared" si="162"/>
        <v>1.8661886571893134E-6</v>
      </c>
      <c r="F814" s="49">
        <f t="shared" si="162"/>
        <v>1.1092243322284984E-5</v>
      </c>
      <c r="G814" s="49">
        <f t="shared" si="162"/>
        <v>5.2377305100244165E-5</v>
      </c>
      <c r="H814" s="49">
        <f t="shared" si="162"/>
        <v>2.0472595822120524E-4</v>
      </c>
      <c r="I814" s="49">
        <f t="shared" si="162"/>
        <v>6.8152941662462992E-4</v>
      </c>
      <c r="J814" s="49">
        <f t="shared" si="162"/>
        <v>1.9733463150286294E-3</v>
      </c>
      <c r="K814" s="49">
        <f t="shared" si="162"/>
        <v>5.050948778210637E-3</v>
      </c>
      <c r="L814" s="49">
        <f t="shared" si="163"/>
        <v>1.1578011613933558E-2</v>
      </c>
      <c r="M814" s="49">
        <f t="shared" si="163"/>
        <v>2.4023992712999626E-2</v>
      </c>
      <c r="N814" s="49">
        <f t="shared" si="163"/>
        <v>4.5536798455929367E-2</v>
      </c>
      <c r="O814" s="49">
        <f t="shared" si="163"/>
        <v>7.9475339755610469E-2</v>
      </c>
      <c r="P814" s="49">
        <f t="shared" si="163"/>
        <v>0.12862707157579703</v>
      </c>
      <c r="Q814" s="49">
        <f t="shared" si="163"/>
        <v>0.19430177053198525</v>
      </c>
      <c r="R814" s="49">
        <f t="shared" si="163"/>
        <v>0.27561229204459525</v>
      </c>
      <c r="S814" s="49">
        <f t="shared" si="163"/>
        <v>0.36924432710791344</v>
      </c>
      <c r="T814" s="49">
        <f t="shared" si="163"/>
        <v>0.46986217875388259</v>
      </c>
      <c r="U814" s="49">
        <f t="shared" si="163"/>
        <v>0.57106157476122821</v>
      </c>
      <c r="V814" s="49">
        <f t="shared" si="163"/>
        <v>0.66657693351972003</v>
      </c>
      <c r="W814" s="47">
        <v>0.189</v>
      </c>
    </row>
    <row r="815" spans="2:23" x14ac:dyDescent="0.25">
      <c r="B815" s="49">
        <f t="shared" si="162"/>
        <v>9.0196176110714934E-10</v>
      </c>
      <c r="C815" s="49">
        <f t="shared" si="162"/>
        <v>2.178694220408883E-8</v>
      </c>
      <c r="D815" s="49">
        <f t="shared" si="162"/>
        <v>2.6116417821133446E-7</v>
      </c>
      <c r="E815" s="49">
        <f t="shared" si="162"/>
        <v>2.0717906867679553E-6</v>
      </c>
      <c r="F815" s="49">
        <f t="shared" si="162"/>
        <v>1.2238477655037714E-5</v>
      </c>
      <c r="G815" s="49">
        <f t="shared" si="162"/>
        <v>5.7436261855304127E-5</v>
      </c>
      <c r="H815" s="49">
        <f t="shared" si="162"/>
        <v>2.2313667528336013E-4</v>
      </c>
      <c r="I815" s="49">
        <f t="shared" si="162"/>
        <v>7.3834767614090302E-4</v>
      </c>
      <c r="J815" s="49">
        <f t="shared" si="162"/>
        <v>2.1251272628360677E-3</v>
      </c>
      <c r="K815" s="49">
        <f t="shared" si="162"/>
        <v>5.4074383398261244E-3</v>
      </c>
      <c r="L815" s="49">
        <f t="shared" si="163"/>
        <v>1.2323291125223191E-2</v>
      </c>
      <c r="M815" s="49">
        <f t="shared" si="163"/>
        <v>2.5424694036165821E-2</v>
      </c>
      <c r="N815" s="49">
        <f t="shared" si="163"/>
        <v>4.7922824506146641E-2</v>
      </c>
      <c r="O815" s="49">
        <f t="shared" si="163"/>
        <v>8.3184524609680566E-2</v>
      </c>
      <c r="P815" s="49">
        <f t="shared" si="163"/>
        <v>0.13391974954664385</v>
      </c>
      <c r="Q815" s="49">
        <f t="shared" si="163"/>
        <v>0.20126849917595097</v>
      </c>
      <c r="R815" s="49">
        <f t="shared" si="163"/>
        <v>0.28410826530648331</v>
      </c>
      <c r="S815" s="49">
        <f t="shared" si="163"/>
        <v>0.37887965342243224</v>
      </c>
      <c r="T815" s="49">
        <f t="shared" si="163"/>
        <v>0.4800582080492925</v>
      </c>
      <c r="U815" s="49">
        <f t="shared" si="163"/>
        <v>0.58115840311707068</v>
      </c>
      <c r="V815" s="49">
        <f t="shared" si="163"/>
        <v>0.6759583113294827</v>
      </c>
      <c r="W815" s="47">
        <v>0.188</v>
      </c>
    </row>
    <row r="816" spans="2:23" x14ac:dyDescent="0.25">
      <c r="B816" s="49">
        <f t="shared" si="162"/>
        <v>1.0200993599751354E-9</v>
      </c>
      <c r="C816" s="49">
        <f t="shared" si="162"/>
        <v>2.4486020602333716E-8</v>
      </c>
      <c r="D816" s="49">
        <f t="shared" si="162"/>
        <v>2.9168547115473653E-7</v>
      </c>
      <c r="E816" s="49">
        <f t="shared" si="162"/>
        <v>2.299533110063645E-6</v>
      </c>
      <c r="F816" s="49">
        <f t="shared" si="162"/>
        <v>1.3499854611292636E-5</v>
      </c>
      <c r="G816" s="49">
        <f t="shared" si="162"/>
        <v>6.2967054673746632E-5</v>
      </c>
      <c r="H816" s="49">
        <f t="shared" si="162"/>
        <v>2.4313308714157231E-4</v>
      </c>
      <c r="I816" s="49">
        <f t="shared" si="162"/>
        <v>7.9965667785184501E-4</v>
      </c>
      <c r="J816" s="49">
        <f t="shared" si="162"/>
        <v>2.2878351221077226E-3</v>
      </c>
      <c r="K816" s="49">
        <f t="shared" si="162"/>
        <v>5.7870967664434567E-3</v>
      </c>
      <c r="L816" s="49">
        <f t="shared" si="163"/>
        <v>1.3111825020044767E-2</v>
      </c>
      <c r="M816" s="49">
        <f t="shared" si="163"/>
        <v>2.6897012247727545E-2</v>
      </c>
      <c r="N816" s="49">
        <f t="shared" si="163"/>
        <v>5.0414470220061611E-2</v>
      </c>
      <c r="O816" s="49">
        <f t="shared" si="163"/>
        <v>8.7032608702911574E-2</v>
      </c>
      <c r="P816" s="49">
        <f t="shared" si="163"/>
        <v>0.13937477168119364</v>
      </c>
      <c r="Q816" s="49">
        <f t="shared" si="163"/>
        <v>0.20840203612140429</v>
      </c>
      <c r="R816" s="49">
        <f t="shared" si="163"/>
        <v>0.29275085972926795</v>
      </c>
      <c r="S816" s="49">
        <f t="shared" si="163"/>
        <v>0.38861726400273727</v>
      </c>
      <c r="T816" s="49">
        <f t="shared" si="163"/>
        <v>0.49029519222922724</v>
      </c>
      <c r="U816" s="49">
        <f t="shared" si="163"/>
        <v>0.59122959605820768</v>
      </c>
      <c r="V816" s="49">
        <f t="shared" si="163"/>
        <v>0.68525477030935622</v>
      </c>
      <c r="W816" s="47">
        <v>0.187</v>
      </c>
    </row>
    <row r="817" spans="2:23" x14ac:dyDescent="0.25">
      <c r="B817" s="49">
        <f t="shared" si="162"/>
        <v>1.1535358913966765E-9</v>
      </c>
      <c r="C817" s="49">
        <f t="shared" si="162"/>
        <v>2.7514644455812845E-8</v>
      </c>
      <c r="D817" s="49">
        <f t="shared" si="162"/>
        <v>3.2570873742196158E-7</v>
      </c>
      <c r="E817" s="49">
        <f t="shared" si="162"/>
        <v>2.551741921123342E-6</v>
      </c>
      <c r="F817" s="49">
        <f t="shared" si="162"/>
        <v>1.488758293967968E-5</v>
      </c>
      <c r="G817" s="49">
        <f t="shared" si="162"/>
        <v>6.9011969670547071E-5</v>
      </c>
      <c r="H817" s="49">
        <f t="shared" si="162"/>
        <v>2.6484500218964911E-4</v>
      </c>
      <c r="I817" s="49">
        <f t="shared" si="162"/>
        <v>8.6578896693861299E-4</v>
      </c>
      <c r="J817" s="49">
        <f t="shared" si="162"/>
        <v>2.4621928087408544E-3</v>
      </c>
      <c r="K817" s="49">
        <f t="shared" si="162"/>
        <v>6.1912712293322614E-3</v>
      </c>
      <c r="L817" s="49">
        <f t="shared" si="163"/>
        <v>1.394577394775319E-2</v>
      </c>
      <c r="M817" s="49">
        <f t="shared" si="163"/>
        <v>2.8443918653923869E-2</v>
      </c>
      <c r="N817" s="49">
        <f t="shared" si="163"/>
        <v>5.3015180130820454E-2</v>
      </c>
      <c r="O817" s="49">
        <f t="shared" si="163"/>
        <v>9.1022797530474486E-2</v>
      </c>
      <c r="P817" s="49">
        <f t="shared" si="163"/>
        <v>0.14499415536165761</v>
      </c>
      <c r="Q817" s="49">
        <f t="shared" si="163"/>
        <v>0.21570233030360042</v>
      </c>
      <c r="R817" s="49">
        <f t="shared" si="163"/>
        <v>0.30153750028107518</v>
      </c>
      <c r="S817" s="49">
        <f t="shared" si="163"/>
        <v>0.39845226512777543</v>
      </c>
      <c r="T817" s="49">
        <f t="shared" si="163"/>
        <v>0.5005667740643277</v>
      </c>
      <c r="U817" s="49">
        <f t="shared" si="163"/>
        <v>0.60126857411042023</v>
      </c>
      <c r="V817" s="49">
        <f t="shared" si="163"/>
        <v>0.69446073784839446</v>
      </c>
      <c r="W817" s="47">
        <v>0.186</v>
      </c>
    </row>
    <row r="818" spans="2:23" x14ac:dyDescent="0.25">
      <c r="B818" s="49">
        <f t="shared" si="162"/>
        <v>1.3042300354339609E-9</v>
      </c>
      <c r="C818" s="49">
        <f t="shared" si="162"/>
        <v>3.0912448849643201E-8</v>
      </c>
      <c r="D818" s="49">
        <f t="shared" si="162"/>
        <v>3.6362804912708903E-7</v>
      </c>
      <c r="E818" s="49">
        <f t="shared" si="162"/>
        <v>2.8309809417890416E-6</v>
      </c>
      <c r="F818" s="49">
        <f t="shared" si="162"/>
        <v>1.6413924459478793E-5</v>
      </c>
      <c r="G818" s="49">
        <f t="shared" si="162"/>
        <v>7.5616909698063083E-5</v>
      </c>
      <c r="H818" s="49">
        <f t="shared" si="162"/>
        <v>2.8841221539270767E-4</v>
      </c>
      <c r="I818" s="49">
        <f t="shared" si="162"/>
        <v>9.3709972901450213E-4</v>
      </c>
      <c r="J818" s="49">
        <f t="shared" si="162"/>
        <v>2.6489657878186286E-3</v>
      </c>
      <c r="K818" s="49">
        <f t="shared" si="162"/>
        <v>6.6213749964914442E-3</v>
      </c>
      <c r="L818" s="49">
        <f t="shared" si="163"/>
        <v>1.4827381421465755E-2</v>
      </c>
      <c r="M818" s="49">
        <f t="shared" si="163"/>
        <v>3.0068461918120352E-2</v>
      </c>
      <c r="N818" s="49">
        <f t="shared" si="163"/>
        <v>5.5728435023667047E-2</v>
      </c>
      <c r="O818" s="49">
        <f t="shared" si="163"/>
        <v>9.5158255126301605E-2</v>
      </c>
      <c r="P818" s="49">
        <f t="shared" si="163"/>
        <v>0.15077978000591746</v>
      </c>
      <c r="Q818" s="49">
        <f t="shared" si="163"/>
        <v>0.2231691106863731</v>
      </c>
      <c r="R818" s="49">
        <f t="shared" si="163"/>
        <v>0.3104653593892</v>
      </c>
      <c r="S818" s="49">
        <f t="shared" si="163"/>
        <v>0.40837954660020953</v>
      </c>
      <c r="T818" s="49">
        <f t="shared" si="163"/>
        <v>0.51086647726037149</v>
      </c>
      <c r="U818" s="49">
        <f t="shared" si="163"/>
        <v>0.61126876625783</v>
      </c>
      <c r="V818" s="49">
        <f t="shared" si="163"/>
        <v>0.70357076650475681</v>
      </c>
      <c r="W818" s="47">
        <v>0.185</v>
      </c>
    </row>
    <row r="819" spans="2:23" x14ac:dyDescent="0.25">
      <c r="B819" s="49">
        <f t="shared" si="162"/>
        <v>1.4743883574370978E-9</v>
      </c>
      <c r="C819" s="49">
        <f t="shared" si="162"/>
        <v>3.472376194832441E-8</v>
      </c>
      <c r="D819" s="49">
        <f t="shared" si="162"/>
        <v>4.0588091182133969E-7</v>
      </c>
      <c r="E819" s="49">
        <f t="shared" si="162"/>
        <v>3.1400754160464153E-6</v>
      </c>
      <c r="F819" s="49">
        <f t="shared" si="162"/>
        <v>1.8092289012122725E-5</v>
      </c>
      <c r="G819" s="49">
        <f t="shared" si="162"/>
        <v>8.2831686625920407E-5</v>
      </c>
      <c r="H819" s="49">
        <f t="shared" si="162"/>
        <v>3.1398521735244623E-4</v>
      </c>
      <c r="I819" s="49">
        <f t="shared" si="162"/>
        <v>1.0139681595850659E-3</v>
      </c>
      <c r="J819" s="49">
        <f t="shared" si="162"/>
        <v>2.8489641508452337E-3</v>
      </c>
      <c r="K819" s="49">
        <f t="shared" si="162"/>
        <v>7.0788897499827075E-3</v>
      </c>
      <c r="L819" s="49">
        <f t="shared" si="163"/>
        <v>1.5758975212217179E-2</v>
      </c>
      <c r="M819" s="49">
        <f t="shared" si="163"/>
        <v>3.1773766944773602E-2</v>
      </c>
      <c r="N819" s="49">
        <f t="shared" si="163"/>
        <v>5.8557747123897684E-2</v>
      </c>
      <c r="O819" s="49">
        <f t="shared" si="163"/>
        <v>9.9442095790605436E-2</v>
      </c>
      <c r="P819" s="49">
        <f t="shared" si="163"/>
        <v>0.15673337749672189</v>
      </c>
      <c r="Q819" s="49">
        <f t="shared" si="163"/>
        <v>0.230801878905849</v>
      </c>
      <c r="R819" s="49">
        <f t="shared" si="163"/>
        <v>0.31953135510601183</v>
      </c>
      <c r="S819" s="49">
        <f t="shared" si="163"/>
        <v>0.41839378683027584</v>
      </c>
      <c r="T819" s="49">
        <f t="shared" si="163"/>
        <v>0.52118771711925627</v>
      </c>
      <c r="U819" s="49">
        <f t="shared" si="163"/>
        <v>0.62122362267362019</v>
      </c>
      <c r="V819" s="49">
        <f t="shared" si="163"/>
        <v>0.71257954474649976</v>
      </c>
      <c r="W819" s="47">
        <v>0.184</v>
      </c>
    </row>
    <row r="820" spans="2:23" x14ac:dyDescent="0.25">
      <c r="B820" s="49">
        <f t="shared" si="162"/>
        <v>1.6664963163067305E-9</v>
      </c>
      <c r="C820" s="49">
        <f t="shared" si="162"/>
        <v>3.8998151701841979E-8</v>
      </c>
      <c r="D820" s="49">
        <f t="shared" si="162"/>
        <v>4.5295294568870267E-7</v>
      </c>
      <c r="E820" s="49">
        <f t="shared" si="162"/>
        <v>3.4821378661649131E-6</v>
      </c>
      <c r="F820" s="49">
        <f t="shared" si="162"/>
        <v>1.9937337563206858E-5</v>
      </c>
      <c r="G820" s="49">
        <f t="shared" si="162"/>
        <v>9.0710335586572437E-5</v>
      </c>
      <c r="H820" s="49">
        <f t="shared" si="162"/>
        <v>3.4172594832881633E-4</v>
      </c>
      <c r="I820" s="49">
        <f t="shared" si="162"/>
        <v>1.0967989016652851E-3</v>
      </c>
      <c r="J820" s="49">
        <f t="shared" si="162"/>
        <v>3.0630447599704694E-3</v>
      </c>
      <c r="K820" s="49">
        <f t="shared" si="162"/>
        <v>7.5653679126770016E-3</v>
      </c>
      <c r="L820" s="49">
        <f t="shared" si="163"/>
        <v>1.674296862589671E-2</v>
      </c>
      <c r="M820" s="49">
        <f t="shared" si="163"/>
        <v>3.3563033488006218E-2</v>
      </c>
      <c r="N820" s="49">
        <f t="shared" si="163"/>
        <v>6.1506654910532164E-2</v>
      </c>
      <c r="O820" s="49">
        <f t="shared" si="163"/>
        <v>0.10387737550234691</v>
      </c>
      <c r="P820" s="49">
        <f t="shared" si="163"/>
        <v>0.16285652254573968</v>
      </c>
      <c r="Q820" s="49">
        <f t="shared" si="163"/>
        <v>0.23859990220837632</v>
      </c>
      <c r="R820" s="49">
        <f t="shared" si="163"/>
        <v>0.32873214986969779</v>
      </c>
      <c r="S820" s="49">
        <f t="shared" si="163"/>
        <v>0.42848945859611887</v>
      </c>
      <c r="T820" s="49">
        <f t="shared" si="163"/>
        <v>0.53152381168540852</v>
      </c>
      <c r="U820" s="49">
        <f t="shared" si="163"/>
        <v>0.63112662755959281</v>
      </c>
      <c r="V820" s="49">
        <f t="shared" si="163"/>
        <v>0.72148190741260043</v>
      </c>
      <c r="W820" s="47">
        <v>0.183</v>
      </c>
    </row>
    <row r="821" spans="2:23" x14ac:dyDescent="0.25">
      <c r="B821" s="49">
        <f t="shared" si="162"/>
        <v>1.883353106271366E-9</v>
      </c>
      <c r="C821" s="49">
        <f t="shared" si="162"/>
        <v>4.3791035157503983E-8</v>
      </c>
      <c r="D821" s="49">
        <f t="shared" si="162"/>
        <v>5.0538305910570179E-7</v>
      </c>
      <c r="E821" s="49">
        <f t="shared" si="162"/>
        <v>3.8605964189328851E-6</v>
      </c>
      <c r="F821" s="49">
        <f t="shared" si="162"/>
        <v>2.1965094112823878E-5</v>
      </c>
      <c r="G821" s="49">
        <f t="shared" si="162"/>
        <v>9.9311452678919724E-5</v>
      </c>
      <c r="H821" s="49">
        <f t="shared" si="162"/>
        <v>3.7180859958191689E-4</v>
      </c>
      <c r="I821" s="49">
        <f t="shared" si="162"/>
        <v>1.1860235536807718E-3</v>
      </c>
      <c r="J821" s="49">
        <f t="shared" si="162"/>
        <v>3.2921134584188894E-3</v>
      </c>
      <c r="K821" s="49">
        <f t="shared" si="162"/>
        <v>8.0824349776025626E-3</v>
      </c>
      <c r="L821" s="49">
        <f t="shared" si="163"/>
        <v>1.7781861649520236E-2</v>
      </c>
      <c r="M821" s="49">
        <f t="shared" si="163"/>
        <v>3.5439534469489629E-2</v>
      </c>
      <c r="N821" s="49">
        <f t="shared" si="163"/>
        <v>6.4578717548227832E-2</v>
      </c>
      <c r="O821" s="49">
        <f t="shared" si="163"/>
        <v>0.10846708302616968</v>
      </c>
      <c r="P821" s="49">
        <f t="shared" si="163"/>
        <v>0.16915062302020725</v>
      </c>
      <c r="Q821" s="49">
        <f t="shared" si="163"/>
        <v>0.24656220671832538</v>
      </c>
      <c r="R821" s="49">
        <f t="shared" si="163"/>
        <v>0.3380641498860007</v>
      </c>
      <c r="S821" s="49">
        <f t="shared" si="163"/>
        <v>0.43866083548266482</v>
      </c>
      <c r="T821" s="49">
        <f t="shared" si="163"/>
        <v>0.54186799335357139</v>
      </c>
      <c r="U821" s="49">
        <f t="shared" si="163"/>
        <v>0.64097131205564029</v>
      </c>
      <c r="V821" s="49">
        <f t="shared" si="163"/>
        <v>0.73027284585828944</v>
      </c>
      <c r="W821" s="47">
        <v>0.182</v>
      </c>
    </row>
    <row r="822" spans="2:23" x14ac:dyDescent="0.25">
      <c r="B822" s="49">
        <f t="shared" si="162"/>
        <v>2.1281108005207688E-9</v>
      </c>
      <c r="C822" s="49">
        <f t="shared" si="162"/>
        <v>4.9164357418069285E-8</v>
      </c>
      <c r="D822" s="49">
        <f t="shared" si="162"/>
        <v>5.6376916496878426E-7</v>
      </c>
      <c r="E822" s="49">
        <f t="shared" si="162"/>
        <v>4.2792258285654179E-6</v>
      </c>
      <c r="F822" s="49">
        <f t="shared" si="162"/>
        <v>2.4193067120915349E-5</v>
      </c>
      <c r="G822" s="49">
        <f t="shared" si="162"/>
        <v>1.0869855770862831E-4</v>
      </c>
      <c r="H822" s="49">
        <f t="shared" si="162"/>
        <v>4.0442046447742907E-4</v>
      </c>
      <c r="I822" s="49">
        <f t="shared" si="162"/>
        <v>1.2821022497271559E-3</v>
      </c>
      <c r="J822" s="49">
        <f t="shared" si="162"/>
        <v>3.5371273460029786E-3</v>
      </c>
      <c r="K822" s="49">
        <f t="shared" si="162"/>
        <v>8.6317918324550508E-3</v>
      </c>
      <c r="L822" s="49">
        <f t="shared" si="163"/>
        <v>1.887824195277607E-2</v>
      </c>
      <c r="M822" s="49">
        <f t="shared" si="163"/>
        <v>3.7406613990289897E-2</v>
      </c>
      <c r="N822" s="49">
        <f t="shared" si="163"/>
        <v>6.7777508930901981E-2</v>
      </c>
      <c r="O822" s="49">
        <f t="shared" si="163"/>
        <v>0.11321413072507529</v>
      </c>
      <c r="P822" s="49">
        <f t="shared" si="163"/>
        <v>0.17561691026158288</v>
      </c>
      <c r="Q822" s="49">
        <f t="shared" si="163"/>
        <v>0.25468757107180751</v>
      </c>
      <c r="R822" s="49">
        <f t="shared" si="163"/>
        <v>0.3475235051556258</v>
      </c>
      <c r="S822" s="49">
        <f t="shared" si="163"/>
        <v>0.44890199899865546</v>
      </c>
      <c r="T822" s="49">
        <f t="shared" si="163"/>
        <v>0.55221342091159265</v>
      </c>
      <c r="U822" s="49">
        <f t="shared" si="163"/>
        <v>0.65075126717922716</v>
      </c>
      <c r="V822" s="49">
        <f t="shared" si="163"/>
        <v>0.73894751774960177</v>
      </c>
      <c r="W822" s="47">
        <v>0.18099999999999999</v>
      </c>
    </row>
    <row r="823" spans="2:23" x14ac:dyDescent="0.25">
      <c r="B823" s="49">
        <f t="shared" ref="B823:K832" si="164">_xlfn.HYPGEOM.DIST(B$2,comau,tongtheN*$W823,tongtheN,TRUE)</f>
        <v>2.4043183215726004E-9</v>
      </c>
      <c r="C823" s="49">
        <f t="shared" si="164"/>
        <v>5.5187348063353665E-8</v>
      </c>
      <c r="D823" s="49">
        <f t="shared" si="164"/>
        <v>6.2877449519706723E-7</v>
      </c>
      <c r="E823" s="49">
        <f t="shared" si="164"/>
        <v>4.7421814426453285E-6</v>
      </c>
      <c r="F823" s="49">
        <f t="shared" si="164"/>
        <v>2.6640381206421748E-5</v>
      </c>
      <c r="G823" s="49">
        <f t="shared" si="164"/>
        <v>1.1894048363357767E-4</v>
      </c>
      <c r="H823" s="49">
        <f t="shared" si="164"/>
        <v>4.3976284187657638E-4</v>
      </c>
      <c r="I823" s="49">
        <f t="shared" si="164"/>
        <v>1.3855253141944095E-3</v>
      </c>
      <c r="J823" s="49">
        <f t="shared" si="164"/>
        <v>3.799097118233891E-3</v>
      </c>
      <c r="K823" s="49">
        <f t="shared" si="164"/>
        <v>9.2152170711772476E-3</v>
      </c>
      <c r="L823" s="49">
        <f t="shared" ref="L823:V832" si="165">_xlfn.HYPGEOM.DIST(L$2,comau,tongtheN*$W823,tongtheN,TRUE)</f>
        <v>2.0034785730181966E-2</v>
      </c>
      <c r="M823" s="49">
        <f t="shared" si="165"/>
        <v>3.9467685021355711E-2</v>
      </c>
      <c r="N823" s="49">
        <f t="shared" si="165"/>
        <v>7.1106611331594849E-2</v>
      </c>
      <c r="O823" s="49">
        <f t="shared" si="165"/>
        <v>0.11812134509197013</v>
      </c>
      <c r="P823" s="49">
        <f t="shared" si="165"/>
        <v>0.18225642942723605</v>
      </c>
      <c r="Q823" s="49">
        <f t="shared" si="165"/>
        <v>0.26297452045274039</v>
      </c>
      <c r="R823" s="49">
        <f t="shared" si="165"/>
        <v>0.35710611017064803</v>
      </c>
      <c r="S823" s="49">
        <f t="shared" si="165"/>
        <v>0.45920684636887804</v>
      </c>
      <c r="T823" s="49">
        <f t="shared" si="165"/>
        <v>0.56255319198930875</v>
      </c>
      <c r="U823" s="49">
        <f t="shared" si="165"/>
        <v>0.66046015675406189</v>
      </c>
      <c r="V823" s="49">
        <f t="shared" si="165"/>
        <v>0.74750125647280663</v>
      </c>
      <c r="W823" s="47">
        <v>0.18</v>
      </c>
    </row>
    <row r="824" spans="2:23" x14ac:dyDescent="0.25">
      <c r="B824" s="49">
        <f t="shared" si="164"/>
        <v>2.7159708265281665E-9</v>
      </c>
      <c r="C824" s="49">
        <f t="shared" si="164"/>
        <v>6.1937363712968676E-8</v>
      </c>
      <c r="D824" s="49">
        <f t="shared" si="164"/>
        <v>7.011345743017394E-7</v>
      </c>
      <c r="E824" s="49">
        <f t="shared" si="164"/>
        <v>5.2540363788591028E-6</v>
      </c>
      <c r="F824" s="49">
        <f t="shared" si="164"/>
        <v>2.9327919934455864E-5</v>
      </c>
      <c r="G824" s="49">
        <f t="shared" si="164"/>
        <v>1.3011179447614595E-4</v>
      </c>
      <c r="H824" s="49">
        <f t="shared" si="164"/>
        <v>4.7805199440680257E-4</v>
      </c>
      <c r="I824" s="49">
        <f t="shared" si="164"/>
        <v>1.4968149926782236E-3</v>
      </c>
      <c r="J824" s="49">
        <f t="shared" si="164"/>
        <v>4.0790894671466505E-3</v>
      </c>
      <c r="K824" s="49">
        <f t="shared" si="164"/>
        <v>9.8345692838349673E-3</v>
      </c>
      <c r="L824" s="49">
        <f t="shared" si="165"/>
        <v>2.1254258368594396E-2</v>
      </c>
      <c r="M824" s="49">
        <f t="shared" si="165"/>
        <v>4.1626226757426089E-2</v>
      </c>
      <c r="N824" s="49">
        <f t="shared" si="165"/>
        <v>7.4569608654266331E-2</v>
      </c>
      <c r="O824" s="49">
        <f t="shared" si="165"/>
        <v>0.12319145701508649</v>
      </c>
      <c r="P824" s="49">
        <f t="shared" si="165"/>
        <v>0.18907002988781069</v>
      </c>
      <c r="Q824" s="49">
        <f t="shared" si="165"/>
        <v>0.27142132106779354</v>
      </c>
      <c r="R824" s="49">
        <f t="shared" si="165"/>
        <v>0.36680760530156942</v>
      </c>
      <c r="S824" s="49">
        <f t="shared" si="165"/>
        <v>0.46956909899580024</v>
      </c>
      <c r="T824" s="49">
        <f t="shared" si="165"/>
        <v>0.57288035588249109</v>
      </c>
      <c r="U824" s="49">
        <f t="shared" si="165"/>
        <v>0.67009173028626645</v>
      </c>
      <c r="V824" s="49">
        <f t="shared" si="165"/>
        <v>0.75592958012543565</v>
      </c>
      <c r="W824" s="47">
        <v>0.17899999999999999</v>
      </c>
    </row>
    <row r="825" spans="2:23" x14ac:dyDescent="0.25">
      <c r="B825" s="49">
        <f t="shared" si="164"/>
        <v>3.0675651661894165E-9</v>
      </c>
      <c r="C825" s="49">
        <f t="shared" si="164"/>
        <v>6.9500826361104544E-8</v>
      </c>
      <c r="D825" s="49">
        <f t="shared" si="164"/>
        <v>7.8166491892063415E-7</v>
      </c>
      <c r="E825" s="49">
        <f t="shared" si="164"/>
        <v>5.8198222034359559E-6</v>
      </c>
      <c r="F825" s="49">
        <f t="shared" si="164"/>
        <v>3.2278480564742431E-5</v>
      </c>
      <c r="G825" s="49">
        <f t="shared" si="164"/>
        <v>1.4229323356078241E-4</v>
      </c>
      <c r="H825" s="49">
        <f t="shared" si="164"/>
        <v>5.1952016428140097E-4</v>
      </c>
      <c r="I825" s="49">
        <f t="shared" si="164"/>
        <v>1.616527260998444E-3</v>
      </c>
      <c r="J825" s="49">
        <f t="shared" si="164"/>
        <v>4.3782295415290681E-3</v>
      </c>
      <c r="K825" s="49">
        <f t="shared" si="164"/>
        <v>1.0491789315312534E-2</v>
      </c>
      <c r="L825" s="49">
        <f t="shared" si="165"/>
        <v>2.2539514924242606E-2</v>
      </c>
      <c r="M825" s="49">
        <f t="shared" si="165"/>
        <v>4.388578161930632E-2</v>
      </c>
      <c r="N825" s="49">
        <f t="shared" si="165"/>
        <v>7.8170079284475211E-2</v>
      </c>
      <c r="O825" s="49">
        <f t="shared" si="165"/>
        <v>0.12842709179426007</v>
      </c>
      <c r="P825" s="49">
        <f t="shared" si="165"/>
        <v>0.19605835571446334</v>
      </c>
      <c r="Q825" s="49">
        <f t="shared" si="165"/>
        <v>0.28002597509683308</v>
      </c>
      <c r="R825" s="49">
        <f t="shared" si="165"/>
        <v>0.37662337889487674</v>
      </c>
      <c r="S825" s="49">
        <f t="shared" si="165"/>
        <v>0.47998231158233157</v>
      </c>
      <c r="T825" s="49">
        <f t="shared" si="165"/>
        <v>0.58318792671835951</v>
      </c>
      <c r="U825" s="49">
        <f t="shared" si="165"/>
        <v>0.67963983574590392</v>
      </c>
      <c r="V825" s="49">
        <f t="shared" si="165"/>
        <v>0.76422820005682746</v>
      </c>
      <c r="W825" s="47">
        <v>0.17799999999999999</v>
      </c>
    </row>
    <row r="826" spans="2:23" x14ac:dyDescent="0.25">
      <c r="B826" s="49">
        <f t="shared" si="164"/>
        <v>3.4641621562483135E-9</v>
      </c>
      <c r="C826" s="49">
        <f t="shared" si="164"/>
        <v>7.7974268170028629E-8</v>
      </c>
      <c r="D826" s="49">
        <f t="shared" si="164"/>
        <v>8.712695367947338E-7</v>
      </c>
      <c r="E826" s="49">
        <f t="shared" si="164"/>
        <v>6.4450734272147743E-6</v>
      </c>
      <c r="F826" s="49">
        <f t="shared" si="164"/>
        <v>3.5516941697270798E-5</v>
      </c>
      <c r="G826" s="49">
        <f t="shared" si="164"/>
        <v>1.5557220403545352E-4</v>
      </c>
      <c r="H826" s="49">
        <f t="shared" si="164"/>
        <v>5.6441664940426472E-4</v>
      </c>
      <c r="I826" s="49">
        <f t="shared" si="164"/>
        <v>1.7452537140223057E-3</v>
      </c>
      <c r="J826" s="49">
        <f t="shared" si="164"/>
        <v>4.6977034637817961E-3</v>
      </c>
      <c r="K826" s="49">
        <f t="shared" si="164"/>
        <v>1.1188902482624469E-2</v>
      </c>
      <c r="L826" s="49">
        <f t="shared" si="165"/>
        <v>2.3893500392903864E-2</v>
      </c>
      <c r="M826" s="49">
        <f t="shared" si="165"/>
        <v>4.6249951889719067E-2</v>
      </c>
      <c r="N826" s="49">
        <f t="shared" si="165"/>
        <v>8.1911588537271568E-2</v>
      </c>
      <c r="O826" s="49">
        <f t="shared" si="165"/>
        <v>0.13383075892703947</v>
      </c>
      <c r="P826" s="49">
        <f t="shared" si="165"/>
        <v>0.2032218362916372</v>
      </c>
      <c r="Q826" s="49">
        <f t="shared" si="165"/>
        <v>0.28878621615527095</v>
      </c>
      <c r="R826" s="49">
        <f t="shared" si="165"/>
        <v>0.38654857009901172</v>
      </c>
      <c r="S826" s="49">
        <f t="shared" si="165"/>
        <v>0.49043988190421484</v>
      </c>
      <c r="T826" s="49">
        <f t="shared" si="165"/>
        <v>0.59346889692724969</v>
      </c>
      <c r="U826" s="49">
        <f t="shared" si="165"/>
        <v>0.68909843221118128</v>
      </c>
      <c r="V826" s="49">
        <f t="shared" si="165"/>
        <v>0.77239302892740291</v>
      </c>
      <c r="W826" s="47">
        <v>0.17699999999999999</v>
      </c>
    </row>
    <row r="827" spans="2:23" x14ac:dyDescent="0.25">
      <c r="B827" s="49">
        <f t="shared" si="164"/>
        <v>3.9114564874141403E-9</v>
      </c>
      <c r="C827" s="49">
        <f t="shared" si="164"/>
        <v>8.7465494577986552E-8</v>
      </c>
      <c r="D827" s="49">
        <f t="shared" si="164"/>
        <v>9.709503058650984E-7</v>
      </c>
      <c r="E827" s="49">
        <f t="shared" si="164"/>
        <v>7.1358761622895221E-6</v>
      </c>
      <c r="F827" s="49">
        <f t="shared" si="164"/>
        <v>3.907044481772875E-5</v>
      </c>
      <c r="G827" s="49">
        <f t="shared" si="164"/>
        <v>1.7004328373902407E-4</v>
      </c>
      <c r="H827" s="49">
        <f t="shared" si="164"/>
        <v>6.1300894255947422E-4</v>
      </c>
      <c r="I827" s="49">
        <f t="shared" si="164"/>
        <v>1.8836235358470497E-3</v>
      </c>
      <c r="J827" s="49">
        <f t="shared" si="164"/>
        <v>5.038760900141763E-3</v>
      </c>
      <c r="K827" s="49">
        <f t="shared" si="164"/>
        <v>1.1928020739891479E-2</v>
      </c>
      <c r="L827" s="49">
        <f t="shared" si="165"/>
        <v>2.5319249756317951E-2</v>
      </c>
      <c r="M827" s="49">
        <f t="shared" si="165"/>
        <v>4.8722395968279202E-2</v>
      </c>
      <c r="N827" s="49">
        <f t="shared" si="165"/>
        <v>8.5797680702092316E-2</v>
      </c>
      <c r="O827" s="49">
        <f t="shared" si="165"/>
        <v>0.13940484168565803</v>
      </c>
      <c r="P827" s="49">
        <f t="shared" si="165"/>
        <v>0.21056067709244131</v>
      </c>
      <c r="Q827" s="49">
        <f t="shared" si="165"/>
        <v>0.29769950530445921</v>
      </c>
      <c r="R827" s="49">
        <f t="shared" si="165"/>
        <v>0.3965780724344633</v>
      </c>
      <c r="S827" s="49">
        <f t="shared" si="165"/>
        <v>0.50093506121807085</v>
      </c>
      <c r="T827" s="49">
        <f t="shared" si="165"/>
        <v>0.60371625098266024</v>
      </c>
      <c r="U827" s="49">
        <f t="shared" si="165"/>
        <v>0.69846160233244337</v>
      </c>
      <c r="V827" s="49">
        <f t="shared" si="165"/>
        <v>0.78042018825744264</v>
      </c>
      <c r="W827" s="47">
        <v>0.17599999999999999</v>
      </c>
    </row>
    <row r="828" spans="2:23" x14ac:dyDescent="0.25">
      <c r="B828" s="49">
        <f t="shared" si="164"/>
        <v>4.4158552005166088E-9</v>
      </c>
      <c r="C828" s="49">
        <f t="shared" si="164"/>
        <v>9.8094878871417755E-8</v>
      </c>
      <c r="D828" s="49">
        <f t="shared" si="164"/>
        <v>1.0818173220499825E-6</v>
      </c>
      <c r="E828" s="49">
        <f t="shared" si="164"/>
        <v>7.8989213113687937E-6</v>
      </c>
      <c r="F828" s="49">
        <f t="shared" si="164"/>
        <v>4.2968590815978212E-5</v>
      </c>
      <c r="G828" s="49">
        <f t="shared" si="164"/>
        <v>1.8580877658326591E-4</v>
      </c>
      <c r="H828" s="49">
        <f t="shared" si="164"/>
        <v>6.6558393654275868E-4</v>
      </c>
      <c r="I828" s="49">
        <f t="shared" si="164"/>
        <v>2.0323055527306836E-3</v>
      </c>
      <c r="J828" s="49">
        <f t="shared" si="164"/>
        <v>5.4027176804710584E-3</v>
      </c>
      <c r="K828" s="49">
        <f t="shared" si="164"/>
        <v>1.2711344779260291E-2</v>
      </c>
      <c r="L828" s="49">
        <f t="shared" si="165"/>
        <v>2.6819887787439722E-2</v>
      </c>
      <c r="M828" s="49">
        <f t="shared" si="165"/>
        <v>5.130682423157764E-2</v>
      </c>
      <c r="N828" s="49">
        <f t="shared" si="165"/>
        <v>8.9831870686056844E-2</v>
      </c>
      <c r="O828" s="49">
        <f t="shared" si="165"/>
        <v>0.14515158650799345</v>
      </c>
      <c r="P828" s="49">
        <f t="shared" si="165"/>
        <v>0.21807485065504975</v>
      </c>
      <c r="Q828" s="49">
        <f t="shared" si="165"/>
        <v>0.30676302764572222</v>
      </c>
      <c r="R828" s="49">
        <f t="shared" si="165"/>
        <v>0.40670653812147572</v>
      </c>
      <c r="S828" s="49">
        <f t="shared" si="165"/>
        <v>0.51146096528789853</v>
      </c>
      <c r="T828" s="49">
        <f t="shared" si="165"/>
        <v>0.61392297937021167</v>
      </c>
      <c r="U828" s="49">
        <f t="shared" si="165"/>
        <v>0.70772356457304242</v>
      </c>
      <c r="V828" s="49">
        <f t="shared" si="165"/>
        <v>0.78830601543773604</v>
      </c>
      <c r="W828" s="47">
        <v>0.17499999999999999</v>
      </c>
    </row>
    <row r="829" spans="2:23" x14ac:dyDescent="0.25">
      <c r="B829" s="49">
        <f t="shared" si="164"/>
        <v>4.9845657635459024E-9</v>
      </c>
      <c r="C829" s="49">
        <f t="shared" si="164"/>
        <v>1.0999680280380622E-7</v>
      </c>
      <c r="D829" s="49">
        <f t="shared" si="164"/>
        <v>1.2051003128840847E-6</v>
      </c>
      <c r="E829" s="49">
        <f t="shared" si="164"/>
        <v>8.741562693477079E-6</v>
      </c>
      <c r="F829" s="49">
        <f t="shared" si="164"/>
        <v>4.7243652625771345E-5</v>
      </c>
      <c r="G829" s="49">
        <f t="shared" si="164"/>
        <v>2.029793027278931E-4</v>
      </c>
      <c r="H829" s="49">
        <f t="shared" si="164"/>
        <v>7.2244919814302869E-4</v>
      </c>
      <c r="I829" s="49">
        <f t="shared" si="164"/>
        <v>2.1920103699684984E-3</v>
      </c>
      <c r="J829" s="49">
        <f t="shared" si="164"/>
        <v>5.7909584632455198E-3</v>
      </c>
      <c r="K829" s="49">
        <f t="shared" si="164"/>
        <v>1.354116605525924E-2</v>
      </c>
      <c r="L829" s="49">
        <f t="shared" si="165"/>
        <v>2.8398628596683868E-2</v>
      </c>
      <c r="M829" s="49">
        <f t="shared" si="165"/>
        <v>5.4006994484897854E-2</v>
      </c>
      <c r="N829" s="49">
        <f t="shared" si="165"/>
        <v>9.401763525873251E-2</v>
      </c>
      <c r="O829" s="49">
        <f t="shared" si="165"/>
        <v>0.15107309222774679</v>
      </c>
      <c r="P829" s="49">
        <f t="shared" si="165"/>
        <v>0.22576408779972171</v>
      </c>
      <c r="Q829" s="49">
        <f t="shared" si="165"/>
        <v>0.31597368953299837</v>
      </c>
      <c r="R829" s="49">
        <f t="shared" si="165"/>
        <v>0.41692838317632624</v>
      </c>
      <c r="S829" s="49">
        <f t="shared" si="165"/>
        <v>0.5220105860100227</v>
      </c>
      <c r="T829" s="49">
        <f t="shared" si="165"/>
        <v>0.62408209274399873</v>
      </c>
      <c r="U829" s="49">
        <f t="shared" si="165"/>
        <v>0.71687868518422082</v>
      </c>
      <c r="V829" s="49">
        <f t="shared" si="165"/>
        <v>0.79604707017631404</v>
      </c>
      <c r="W829" s="47">
        <v>0.17399999999999999</v>
      </c>
    </row>
    <row r="830" spans="2:23" x14ac:dyDescent="0.25">
      <c r="B830" s="49">
        <f t="shared" si="164"/>
        <v>5.626261845962266E-9</v>
      </c>
      <c r="C830" s="49">
        <f t="shared" si="164"/>
        <v>1.2333300162477236E-7</v>
      </c>
      <c r="D830" s="49">
        <f t="shared" si="164"/>
        <v>1.3422815952980377E-6</v>
      </c>
      <c r="E830" s="49">
        <f t="shared" si="164"/>
        <v>9.6726947810681474E-6</v>
      </c>
      <c r="F830" s="49">
        <f t="shared" si="164"/>
        <v>5.1934893450876204E-5</v>
      </c>
      <c r="G830" s="49">
        <f t="shared" si="164"/>
        <v>2.216906802252057E-4</v>
      </c>
      <c r="H830" s="49">
        <f t="shared" si="164"/>
        <v>7.8398757456080886E-4</v>
      </c>
      <c r="I830" s="49">
        <f t="shared" si="164"/>
        <v>2.3636406263301967E-3</v>
      </c>
      <c r="J830" s="49">
        <f t="shared" si="164"/>
        <v>6.2052955793275135E-3</v>
      </c>
      <c r="K830" s="49">
        <f t="shared" si="164"/>
        <v>1.4420622038463242E-2</v>
      </c>
      <c r="L830" s="49">
        <f t="shared" si="165"/>
        <v>3.0060193240267159E-2</v>
      </c>
      <c r="M830" s="49">
        <f t="shared" si="165"/>
        <v>5.6829107668850042E-2</v>
      </c>
      <c r="N830" s="49">
        <f t="shared" si="165"/>
        <v>9.8362086791671702E-2</v>
      </c>
      <c r="O830" s="49">
        <f t="shared" si="165"/>
        <v>0.15717645520195714</v>
      </c>
      <c r="P830" s="49">
        <f t="shared" si="165"/>
        <v>0.23363449486758217</v>
      </c>
      <c r="Q830" s="49">
        <f t="shared" si="165"/>
        <v>0.32533597074845355</v>
      </c>
      <c r="R830" s="49">
        <f t="shared" si="165"/>
        <v>0.4272464193114292</v>
      </c>
      <c r="S830" s="49">
        <f t="shared" si="165"/>
        <v>0.53258561371460011</v>
      </c>
      <c r="T830" s="49">
        <f t="shared" si="165"/>
        <v>0.63419503199898397</v>
      </c>
      <c r="U830" s="49">
        <f t="shared" si="165"/>
        <v>0.72592897721747085</v>
      </c>
      <c r="V830" s="49">
        <f t="shared" si="165"/>
        <v>0.80364640535941256</v>
      </c>
      <c r="W830" s="47">
        <v>0.17299999999999999</v>
      </c>
    </row>
    <row r="831" spans="2:23" x14ac:dyDescent="0.25">
      <c r="B831" s="49">
        <f t="shared" si="164"/>
        <v>6.3489985385140817E-9</v>
      </c>
      <c r="C831" s="49">
        <f t="shared" si="164"/>
        <v>1.3824877824210454E-7</v>
      </c>
      <c r="D831" s="49">
        <f t="shared" si="164"/>
        <v>1.494641875391728E-6</v>
      </c>
      <c r="E831" s="49">
        <f t="shared" si="164"/>
        <v>1.0699649496597251E-5</v>
      </c>
      <c r="F831" s="49">
        <f t="shared" si="164"/>
        <v>5.707285472447092E-5</v>
      </c>
      <c r="G831" s="49">
        <f t="shared" si="164"/>
        <v>2.4204103378502498E-4</v>
      </c>
      <c r="H831" s="49">
        <f t="shared" si="164"/>
        <v>8.5044986954851552E-4</v>
      </c>
      <c r="I831" s="49">
        <f t="shared" si="164"/>
        <v>2.5477120002920235E-3</v>
      </c>
      <c r="J831" s="49">
        <f t="shared" si="164"/>
        <v>6.6465706026074649E-3</v>
      </c>
      <c r="K831" s="49">
        <f t="shared" si="164"/>
        <v>1.5350728629616608E-2</v>
      </c>
      <c r="L831" s="49">
        <f t="shared" si="165"/>
        <v>3.1805207436865976E-2</v>
      </c>
      <c r="M831" s="49">
        <f t="shared" si="165"/>
        <v>5.9772304177743193E-2</v>
      </c>
      <c r="N831" s="49">
        <f t="shared" si="165"/>
        <v>0.10286136553811295</v>
      </c>
      <c r="O831" s="49">
        <f t="shared" si="165"/>
        <v>0.16345328359667671</v>
      </c>
      <c r="P831" s="49">
        <f t="shared" si="165"/>
        <v>0.24167218698786938</v>
      </c>
      <c r="Q831" s="49">
        <f t="shared" si="165"/>
        <v>0.33483062096508986</v>
      </c>
      <c r="R831" s="49">
        <f t="shared" si="165"/>
        <v>0.43763742184432392</v>
      </c>
      <c r="S831" s="49">
        <f t="shared" si="165"/>
        <v>0.54316121429120801</v>
      </c>
      <c r="T831" s="49">
        <f t="shared" si="165"/>
        <v>0.64423804549088781</v>
      </c>
      <c r="U831" s="49">
        <f t="shared" si="165"/>
        <v>0.73485406227890071</v>
      </c>
      <c r="V831" s="49">
        <f t="shared" si="165"/>
        <v>0.8110883853139218</v>
      </c>
      <c r="W831" s="47">
        <v>0.17199999999999999</v>
      </c>
    </row>
    <row r="832" spans="2:23" x14ac:dyDescent="0.25">
      <c r="B832" s="49">
        <f t="shared" si="164"/>
        <v>7.1628111728672231E-9</v>
      </c>
      <c r="C832" s="49">
        <f t="shared" si="164"/>
        <v>1.5492669727254546E-7</v>
      </c>
      <c r="D832" s="49">
        <f t="shared" si="164"/>
        <v>1.663810345195751E-6</v>
      </c>
      <c r="E832" s="49">
        <f t="shared" si="164"/>
        <v>1.18319211163108E-5</v>
      </c>
      <c r="F832" s="49">
        <f t="shared" si="164"/>
        <v>6.2698104702671217E-5</v>
      </c>
      <c r="G832" s="49">
        <f t="shared" si="164"/>
        <v>2.6416559327263611E-4</v>
      </c>
      <c r="H832" s="49">
        <f t="shared" si="164"/>
        <v>9.2220115438748466E-4</v>
      </c>
      <c r="I832" s="49">
        <f t="shared" si="164"/>
        <v>2.7450416202842716E-3</v>
      </c>
      <c r="J832" s="49">
        <f t="shared" si="164"/>
        <v>7.1163208858884275E-3</v>
      </c>
      <c r="K832" s="49">
        <f t="shared" si="164"/>
        <v>1.6333929165321816E-2</v>
      </c>
      <c r="L832" s="49">
        <f t="shared" si="165"/>
        <v>3.3636931417469332E-2</v>
      </c>
      <c r="M832" s="49">
        <f t="shared" si="165"/>
        <v>6.2840139264739733E-2</v>
      </c>
      <c r="N832" s="49">
        <f t="shared" si="165"/>
        <v>0.10751837731527203</v>
      </c>
      <c r="O832" s="49">
        <f t="shared" si="165"/>
        <v>0.16990471938285331</v>
      </c>
      <c r="P832" s="49">
        <f t="shared" si="165"/>
        <v>0.24987568692976261</v>
      </c>
      <c r="Q832" s="49">
        <f t="shared" si="165"/>
        <v>0.34445335480105765</v>
      </c>
      <c r="R832" s="49">
        <f t="shared" si="165"/>
        <v>0.44809494047001919</v>
      </c>
      <c r="S832" s="49">
        <f t="shared" si="165"/>
        <v>0.55373006906423972</v>
      </c>
      <c r="T832" s="49">
        <f t="shared" si="165"/>
        <v>0.65420445281470474</v>
      </c>
      <c r="U832" s="49">
        <f t="shared" si="165"/>
        <v>0.74364911907344777</v>
      </c>
      <c r="V832" s="49">
        <f t="shared" si="165"/>
        <v>0.81837065033241818</v>
      </c>
      <c r="W832" s="47">
        <v>0.17100000000000001</v>
      </c>
    </row>
    <row r="833" spans="2:23" x14ac:dyDescent="0.25">
      <c r="B833" s="49">
        <f t="shared" ref="B833:K842" si="166">_xlfn.HYPGEOM.DIST(B$2,comau,tongtheN*$W833,tongtheN,TRUE)</f>
        <v>8.0805754316820912E-9</v>
      </c>
      <c r="C833" s="49">
        <f t="shared" si="166"/>
        <v>1.736027897946717E-7</v>
      </c>
      <c r="D833" s="49">
        <f t="shared" si="166"/>
        <v>1.8519156431555903E-6</v>
      </c>
      <c r="E833" s="49">
        <f t="shared" si="166"/>
        <v>1.3082092884336888E-5</v>
      </c>
      <c r="F833" s="49">
        <f t="shared" si="166"/>
        <v>6.886545133728921E-5</v>
      </c>
      <c r="G833" s="49">
        <f t="shared" si="166"/>
        <v>2.8825181271372114E-4</v>
      </c>
      <c r="H833" s="49">
        <f t="shared" si="166"/>
        <v>9.997653282050763E-4</v>
      </c>
      <c r="I833" s="49">
        <f t="shared" si="166"/>
        <v>2.9568588375731251E-3</v>
      </c>
      <c r="J833" s="49">
        <f t="shared" si="166"/>
        <v>7.6170162004841873E-3</v>
      </c>
      <c r="K833" s="49">
        <f t="shared" si="166"/>
        <v>1.7374534598393946E-2</v>
      </c>
      <c r="L833" s="49">
        <f t="shared" ref="L833:V842" si="167">_xlfn.HYPGEOM.DIST(L$2,comau,tongtheN*$W833,tongtheN,TRUE)</f>
        <v>3.5561979260183646E-2</v>
      </c>
      <c r="M833" s="49">
        <f t="shared" si="167"/>
        <v>6.6041620996174916E-2</v>
      </c>
      <c r="N833" s="49">
        <f t="shared" si="167"/>
        <v>0.11234411691527549</v>
      </c>
      <c r="O833" s="49">
        <f t="shared" si="167"/>
        <v>0.17654292137556712</v>
      </c>
      <c r="P833" s="49">
        <f t="shared" si="167"/>
        <v>0.25825736177284375</v>
      </c>
      <c r="Q833" s="49">
        <f t="shared" si="167"/>
        <v>0.35421600336666215</v>
      </c>
      <c r="R833" s="49">
        <f t="shared" si="167"/>
        <v>0.45862996109306475</v>
      </c>
      <c r="S833" s="49">
        <f t="shared" si="167"/>
        <v>0.56430243635310651</v>
      </c>
      <c r="T833" s="49">
        <f t="shared" si="167"/>
        <v>0.66410411833230365</v>
      </c>
      <c r="U833" s="49">
        <f t="shared" si="167"/>
        <v>0.7523238921167692</v>
      </c>
      <c r="V833" s="49">
        <f t="shared" si="167"/>
        <v>0.82550285085756681</v>
      </c>
      <c r="W833" s="47">
        <v>0.17</v>
      </c>
    </row>
    <row r="834" spans="2:23" x14ac:dyDescent="0.25">
      <c r="B834" s="49">
        <f t="shared" si="166"/>
        <v>9.1146086662539115E-9</v>
      </c>
      <c r="C834" s="49">
        <f t="shared" si="166"/>
        <v>1.9449629392344559E-7</v>
      </c>
      <c r="D834" s="49">
        <f t="shared" si="166"/>
        <v>2.0608684496601879E-6</v>
      </c>
      <c r="E834" s="49">
        <f t="shared" si="166"/>
        <v>1.4461011986497111E-5</v>
      </c>
      <c r="F834" s="49">
        <f t="shared" si="166"/>
        <v>7.5619891892071166E-5</v>
      </c>
      <c r="G834" s="49">
        <f t="shared" si="166"/>
        <v>3.1444459261982906E-4</v>
      </c>
      <c r="H834" s="49">
        <f t="shared" si="166"/>
        <v>1.0835174966855536E-3</v>
      </c>
      <c r="I834" s="49">
        <f t="shared" si="166"/>
        <v>3.1839593360221464E-3</v>
      </c>
      <c r="J834" s="49">
        <f t="shared" si="166"/>
        <v>8.1500469964093086E-3</v>
      </c>
      <c r="K834" s="49">
        <f t="shared" si="166"/>
        <v>1.8474519723944819E-2</v>
      </c>
      <c r="L834" s="49">
        <f t="shared" si="167"/>
        <v>3.7582504153843031E-2</v>
      </c>
      <c r="M834" s="49">
        <f t="shared" si="167"/>
        <v>6.9378155848727127E-2</v>
      </c>
      <c r="N834" s="49">
        <f t="shared" si="167"/>
        <v>0.11733790933582257</v>
      </c>
      <c r="O834" s="49">
        <f t="shared" si="167"/>
        <v>0.1833637798032787</v>
      </c>
      <c r="P834" s="49">
        <f t="shared" si="167"/>
        <v>0.26680884317904574</v>
      </c>
      <c r="Q834" s="49">
        <f t="shared" si="167"/>
        <v>0.36410609197300331</v>
      </c>
      <c r="R834" s="49">
        <f t="shared" si="167"/>
        <v>0.46922713109470499</v>
      </c>
      <c r="S834" s="49">
        <f t="shared" si="167"/>
        <v>0.57486206737892109</v>
      </c>
      <c r="T834" s="49">
        <f t="shared" si="167"/>
        <v>0.67392202766308862</v>
      </c>
      <c r="U834" s="49">
        <f t="shared" si="167"/>
        <v>0.76086626680765379</v>
      </c>
      <c r="V834" s="49">
        <f t="shared" si="167"/>
        <v>0.83247659557429909</v>
      </c>
      <c r="W834" s="47">
        <v>0.16900000000000001</v>
      </c>
    </row>
    <row r="835" spans="2:23" x14ac:dyDescent="0.25">
      <c r="B835" s="49">
        <f t="shared" si="166"/>
        <v>1.0279473445564403E-8</v>
      </c>
      <c r="C835" s="49">
        <f t="shared" si="166"/>
        <v>2.1786634820836544E-7</v>
      </c>
      <c r="D835" s="49">
        <f t="shared" si="166"/>
        <v>2.2929304721735068E-6</v>
      </c>
      <c r="E835" s="49">
        <f t="shared" si="166"/>
        <v>1.5981566811970913E-5</v>
      </c>
      <c r="F835" s="49">
        <f t="shared" si="166"/>
        <v>8.3015265454576144E-5</v>
      </c>
      <c r="G835" s="49">
        <f t="shared" si="166"/>
        <v>3.429193326703558E-4</v>
      </c>
      <c r="H835" s="49">
        <f t="shared" si="166"/>
        <v>1.1739202550469726E-3</v>
      </c>
      <c r="I835" s="49">
        <f t="shared" si="166"/>
        <v>3.4273540606063156E-3</v>
      </c>
      <c r="J835" s="49">
        <f t="shared" si="166"/>
        <v>8.7172686896916825E-3</v>
      </c>
      <c r="K835" s="49">
        <f t="shared" si="166"/>
        <v>1.9636757014605197E-2</v>
      </c>
      <c r="L835" s="49">
        <f t="shared" si="167"/>
        <v>3.9702229858971809E-2</v>
      </c>
      <c r="M835" s="49">
        <f t="shared" si="167"/>
        <v>7.2853666304457956E-2</v>
      </c>
      <c r="N835" s="49">
        <f t="shared" si="167"/>
        <v>0.12250279720602063</v>
      </c>
      <c r="O835" s="49">
        <f t="shared" si="167"/>
        <v>0.1903682764245567</v>
      </c>
      <c r="P835" s="49">
        <f t="shared" si="167"/>
        <v>0.27552824593691994</v>
      </c>
      <c r="Q835" s="49">
        <f t="shared" si="167"/>
        <v>0.37411883473332663</v>
      </c>
      <c r="R835" s="49">
        <f t="shared" si="167"/>
        <v>0.47987960002548641</v>
      </c>
      <c r="S835" s="49">
        <f t="shared" si="167"/>
        <v>0.5854014851991165</v>
      </c>
      <c r="T835" s="49">
        <f t="shared" si="167"/>
        <v>0.68365161463089286</v>
      </c>
      <c r="U835" s="49">
        <f t="shared" si="167"/>
        <v>0.76927172743375249</v>
      </c>
      <c r="V835" s="49">
        <f t="shared" si="167"/>
        <v>0.83928987916225672</v>
      </c>
      <c r="W835" s="47">
        <v>0.16800000000000001</v>
      </c>
    </row>
    <row r="836" spans="2:23" x14ac:dyDescent="0.25">
      <c r="B836" s="49">
        <f t="shared" si="166"/>
        <v>1.1591535393915603E-8</v>
      </c>
      <c r="C836" s="49">
        <f t="shared" si="166"/>
        <v>2.4400187744867038E-7</v>
      </c>
      <c r="D836" s="49">
        <f t="shared" si="166"/>
        <v>2.5506031716960247E-6</v>
      </c>
      <c r="E836" s="49">
        <f t="shared" si="166"/>
        <v>1.765789551069826E-5</v>
      </c>
      <c r="F836" s="49">
        <f t="shared" si="166"/>
        <v>9.1110137346980143E-5</v>
      </c>
      <c r="G836" s="49">
        <f t="shared" si="166"/>
        <v>3.7386518183045014E-4</v>
      </c>
      <c r="H836" s="49">
        <f t="shared" si="166"/>
        <v>1.271467968978998E-3</v>
      </c>
      <c r="I836" s="49">
        <f t="shared" si="166"/>
        <v>3.6881130914840497E-3</v>
      </c>
      <c r="J836" s="49">
        <f t="shared" si="166"/>
        <v>9.3206249424617992E-3</v>
      </c>
      <c r="K836" s="49">
        <f t="shared" si="166"/>
        <v>2.0864220510706348E-2</v>
      </c>
      <c r="L836" s="49">
        <f t="shared" si="167"/>
        <v>4.192495747341432E-2</v>
      </c>
      <c r="M836" s="49">
        <f t="shared" si="167"/>
        <v>7.6472078033198679E-2</v>
      </c>
      <c r="N836" s="49">
        <f t="shared" si="167"/>
        <v>0.12784171323393168</v>
      </c>
      <c r="O836" s="49">
        <f t="shared" si="167"/>
        <v>0.19755716807252932</v>
      </c>
      <c r="P836" s="49">
        <f t="shared" si="167"/>
        <v>0.28441339190020726</v>
      </c>
      <c r="Q836" s="49">
        <f t="shared" si="167"/>
        <v>0.38424916752086696</v>
      </c>
      <c r="R836" s="49">
        <f t="shared" si="167"/>
        <v>0.49058033876452317</v>
      </c>
      <c r="S836" s="49">
        <f t="shared" si="167"/>
        <v>0.59591318483229738</v>
      </c>
      <c r="T836" s="49">
        <f t="shared" si="167"/>
        <v>0.69328643376987487</v>
      </c>
      <c r="U836" s="49">
        <f t="shared" si="167"/>
        <v>0.77753597897090665</v>
      </c>
      <c r="V836" s="49">
        <f t="shared" si="167"/>
        <v>0.84594094622874993</v>
      </c>
      <c r="W836" s="47">
        <v>0.16700000000000001</v>
      </c>
    </row>
    <row r="837" spans="2:23" x14ac:dyDescent="0.25">
      <c r="B837" s="49">
        <f t="shared" si="166"/>
        <v>1.3069183854957686E-8</v>
      </c>
      <c r="C837" s="49">
        <f t="shared" si="166"/>
        <v>2.7322495704870507E-7</v>
      </c>
      <c r="D837" s="49">
        <f t="shared" si="166"/>
        <v>2.8366525391749332E-6</v>
      </c>
      <c r="E837" s="49">
        <f t="shared" si="166"/>
        <v>1.9505502822568637E-5</v>
      </c>
      <c r="F837" s="49">
        <f t="shared" si="166"/>
        <v>9.996819260906268E-5</v>
      </c>
      <c r="G837" s="49">
        <f t="shared" si="166"/>
        <v>4.0748603486071548E-4</v>
      </c>
      <c r="H837" s="49">
        <f t="shared" si="166"/>
        <v>1.376688707073337E-3</v>
      </c>
      <c r="I837" s="49">
        <f t="shared" si="166"/>
        <v>3.9673684631058009E-3</v>
      </c>
      <c r="J837" s="49">
        <f t="shared" si="166"/>
        <v>9.9621504519369301E-3</v>
      </c>
      <c r="K837" s="49">
        <f t="shared" si="166"/>
        <v>2.2159986683889611E-2</v>
      </c>
      <c r="L837" s="49">
        <f t="shared" si="167"/>
        <v>4.4254562226852111E-2</v>
      </c>
      <c r="M837" s="49">
        <f t="shared" si="167"/>
        <v>8.0237311693458241E-2</v>
      </c>
      <c r="N837" s="49">
        <f t="shared" si="167"/>
        <v>0.1333574686110518</v>
      </c>
      <c r="O837" s="49">
        <f t="shared" si="167"/>
        <v>0.20493097576329572</v>
      </c>
      <c r="P837" s="49">
        <f t="shared" si="167"/>
        <v>0.29346180465965233</v>
      </c>
      <c r="Q837" s="49">
        <f t="shared" si="167"/>
        <v>0.39449175123926561</v>
      </c>
      <c r="R837" s="49">
        <f t="shared" si="167"/>
        <v>0.50132215081717757</v>
      </c>
      <c r="S837" s="49">
        <f t="shared" si="167"/>
        <v>0.60638964859775135</v>
      </c>
      <c r="T837" s="49">
        <f t="shared" si="167"/>
        <v>0.70282017431725952</v>
      </c>
      <c r="U837" s="49">
        <f t="shared" si="167"/>
        <v>0.78565495547049313</v>
      </c>
      <c r="V837" s="49">
        <f t="shared" si="167"/>
        <v>0.85242829257455144</v>
      </c>
      <c r="W837" s="47">
        <v>0.16600000000000001</v>
      </c>
    </row>
    <row r="838" spans="2:23" x14ac:dyDescent="0.25">
      <c r="B838" s="49">
        <f t="shared" si="166"/>
        <v>1.4733079246358078E-8</v>
      </c>
      <c r="C838" s="49">
        <f t="shared" si="166"/>
        <v>3.0589455036764934E-7</v>
      </c>
      <c r="D838" s="49">
        <f t="shared" si="166"/>
        <v>3.1541363604118678E-6</v>
      </c>
      <c r="E838" s="49">
        <f t="shared" si="166"/>
        <v>2.1541387363986511E-5</v>
      </c>
      <c r="F838" s="49">
        <f t="shared" si="166"/>
        <v>1.0965866009785444E-4</v>
      </c>
      <c r="G838" s="49">
        <f t="shared" si="166"/>
        <v>4.4400159342838669E-4</v>
      </c>
      <c r="H838" s="49">
        <f t="shared" si="166"/>
        <v>1.4901462688526961E-3</v>
      </c>
      <c r="I838" s="49">
        <f t="shared" si="166"/>
        <v>4.2663170644882927E-3</v>
      </c>
      <c r="J838" s="49">
        <f t="shared" si="166"/>
        <v>1.0643973713557651E-2</v>
      </c>
      <c r="K838" s="49">
        <f t="shared" si="166"/>
        <v>2.3527235074747289E-2</v>
      </c>
      <c r="L838" s="49">
        <f t="shared" si="167"/>
        <v>4.6694989844623017E-2</v>
      </c>
      <c r="M838" s="49">
        <f t="shared" si="167"/>
        <v>8.4153274246756879E-2</v>
      </c>
      <c r="N838" s="49">
        <f t="shared" si="167"/>
        <v>0.13905274113889035</v>
      </c>
      <c r="O838" s="49">
        <f t="shared" si="167"/>
        <v>0.21248997396568473</v>
      </c>
      <c r="P838" s="49">
        <f t="shared" si="167"/>
        <v>0.30267070484421404</v>
      </c>
      <c r="Q838" s="49">
        <f t="shared" si="167"/>
        <v>0.40484097596166585</v>
      </c>
      <c r="R838" s="49">
        <f t="shared" si="167"/>
        <v>0.51209768434659164</v>
      </c>
      <c r="S838" s="49">
        <f t="shared" si="167"/>
        <v>0.61682336174313779</v>
      </c>
      <c r="T838" s="49">
        <f t="shared" si="167"/>
        <v>0.71224667396385599</v>
      </c>
      <c r="U838" s="49">
        <f t="shared" si="167"/>
        <v>0.7936248278343021</v>
      </c>
      <c r="V838" s="49">
        <f t="shared" si="167"/>
        <v>0.8587506657652455</v>
      </c>
      <c r="W838" s="47">
        <v>0.16500000000000001</v>
      </c>
    </row>
    <row r="839" spans="2:23" x14ac:dyDescent="0.25">
      <c r="B839" s="49">
        <f t="shared" si="166"/>
        <v>1.66064302955051E-8</v>
      </c>
      <c r="C839" s="49">
        <f t="shared" si="166"/>
        <v>3.4241065959598669E-7</v>
      </c>
      <c r="D839" s="49">
        <f t="shared" si="166"/>
        <v>3.5064342113825634E-6</v>
      </c>
      <c r="E839" s="49">
        <f t="shared" si="166"/>
        <v>2.3784180258917281E-5</v>
      </c>
      <c r="F839" s="49">
        <f t="shared" si="166"/>
        <v>1.2025676937353515E-4</v>
      </c>
      <c r="G839" s="49">
        <f t="shared" si="166"/>
        <v>4.8364849529463543E-4</v>
      </c>
      <c r="H839" s="49">
        <f t="shared" si="166"/>
        <v>1.612442311161078E-3</v>
      </c>
      <c r="I839" s="49">
        <f t="shared" si="166"/>
        <v>4.586223618177925E-3</v>
      </c>
      <c r="J839" s="49">
        <f t="shared" si="166"/>
        <v>1.1368319746151438E-2</v>
      </c>
      <c r="K839" s="49">
        <f t="shared" si="166"/>
        <v>2.4969248683849397E-2</v>
      </c>
      <c r="L839" s="49">
        <f t="shared" si="167"/>
        <v>4.9250252461963927E-2</v>
      </c>
      <c r="M839" s="49">
        <f t="shared" si="167"/>
        <v>8.8223849783838182E-2</v>
      </c>
      <c r="N839" s="49">
        <f t="shared" si="167"/>
        <v>0.14493006310301457</v>
      </c>
      <c r="O839" s="49">
        <f t="shared" si="167"/>
        <v>0.22023418007806828</v>
      </c>
      <c r="P839" s="49">
        <f t="shared" si="167"/>
        <v>0.31203700609526269</v>
      </c>
      <c r="Q839" s="49">
        <f t="shared" si="167"/>
        <v>0.41529096595518739</v>
      </c>
      <c r="R839" s="49">
        <f t="shared" si="167"/>
        <v>0.52289944491836116</v>
      </c>
      <c r="S839" s="49">
        <f t="shared" si="167"/>
        <v>0.62720682831257568</v>
      </c>
      <c r="T839" s="49">
        <f t="shared" si="167"/>
        <v>0.72155993231188664</v>
      </c>
      <c r="U839" s="49">
        <f t="shared" si="167"/>
        <v>0.80144201094640155</v>
      </c>
      <c r="V839" s="49">
        <f t="shared" si="167"/>
        <v>0.86490706500663883</v>
      </c>
      <c r="W839" s="47">
        <v>0.16400000000000001</v>
      </c>
    </row>
    <row r="840" spans="2:23" x14ac:dyDescent="0.25">
      <c r="B840" s="49">
        <f t="shared" si="166"/>
        <v>1.8715304723460733E-8</v>
      </c>
      <c r="C840" s="49">
        <f t="shared" si="166"/>
        <v>3.8321893500053301E-7</v>
      </c>
      <c r="D840" s="49">
        <f t="shared" si="166"/>
        <v>3.8972804485083648E-6</v>
      </c>
      <c r="E840" s="49">
        <f t="shared" si="166"/>
        <v>2.6254296071639583E-5</v>
      </c>
      <c r="F840" s="49">
        <f t="shared" si="166"/>
        <v>1.3184424267377579E-4</v>
      </c>
      <c r="G840" s="49">
        <f t="shared" si="166"/>
        <v>5.2668151517103071E-4</v>
      </c>
      <c r="H840" s="49">
        <f t="shared" si="166"/>
        <v>1.7442185755622468E-3</v>
      </c>
      <c r="I840" s="49">
        <f t="shared" si="166"/>
        <v>4.9284237348376555E-3</v>
      </c>
      <c r="J840" s="49">
        <f t="shared" si="166"/>
        <v>1.2137512766014942E-2</v>
      </c>
      <c r="K840" s="49">
        <f t="shared" si="166"/>
        <v>2.648941409477976E-2</v>
      </c>
      <c r="L840" s="49">
        <f t="shared" si="167"/>
        <v>5.1924424070215011E-2</v>
      </c>
      <c r="M840" s="49">
        <f t="shared" si="167"/>
        <v>9.2452889863143817E-2</v>
      </c>
      <c r="N840" s="49">
        <f t="shared" si="167"/>
        <v>0.15099180892262706</v>
      </c>
      <c r="O840" s="49">
        <f t="shared" si="167"/>
        <v>0.22816334415950049</v>
      </c>
      <c r="P840" s="49">
        <f t="shared" si="167"/>
        <v>0.3215573117566124</v>
      </c>
      <c r="Q840" s="49">
        <f t="shared" si="167"/>
        <v>0.42583558560459972</v>
      </c>
      <c r="R840" s="49">
        <f t="shared" si="167"/>
        <v>0.53371980893404869</v>
      </c>
      <c r="S840" s="49">
        <f t="shared" si="167"/>
        <v>0.63753258720531536</v>
      </c>
      <c r="T840" s="49">
        <f t="shared" si="167"/>
        <v>0.73075412398993311</v>
      </c>
      <c r="U840" s="49">
        <f t="shared" si="167"/>
        <v>0.80910317013371935</v>
      </c>
      <c r="V840" s="49">
        <f t="shared" si="167"/>
        <v>0.87089674032557607</v>
      </c>
      <c r="W840" s="47">
        <v>0.16300000000000001</v>
      </c>
    </row>
    <row r="841" spans="2:23" x14ac:dyDescent="0.25">
      <c r="B841" s="49">
        <f t="shared" si="166"/>
        <v>2.1088977365175386E-8</v>
      </c>
      <c r="C841" s="49">
        <f t="shared" si="166"/>
        <v>4.2881579213613109E-7</v>
      </c>
      <c r="D841" s="49">
        <f t="shared" si="166"/>
        <v>4.3308004830672386E-6</v>
      </c>
      <c r="E841" s="49">
        <f t="shared" si="166"/>
        <v>2.8974097073552278E-5</v>
      </c>
      <c r="F841" s="49">
        <f t="shared" si="166"/>
        <v>1.4450982441728931E-4</v>
      </c>
      <c r="G841" s="49">
        <f t="shared" si="166"/>
        <v>5.7337484095335099E-4</v>
      </c>
      <c r="H841" s="49">
        <f t="shared" si="166"/>
        <v>1.886159219250639E-3</v>
      </c>
      <c r="I841" s="49">
        <f t="shared" si="166"/>
        <v>5.2943270397579605E-3</v>
      </c>
      <c r="J841" s="49">
        <f t="shared" si="166"/>
        <v>1.2953978795793776E-2</v>
      </c>
      <c r="K841" s="49">
        <f t="shared" si="166"/>
        <v>2.8091221307094412E-2</v>
      </c>
      <c r="L841" s="49">
        <f t="shared" si="167"/>
        <v>5.4721635477047191E-2</v>
      </c>
      <c r="M841" s="49">
        <f t="shared" si="167"/>
        <v>9.6844203364035264E-2</v>
      </c>
      <c r="N841" s="49">
        <f t="shared" si="167"/>
        <v>0.1572401826064137</v>
      </c>
      <c r="O841" s="49">
        <f t="shared" si="167"/>
        <v>0.23627693896408553</v>
      </c>
      <c r="P841" s="49">
        <f t="shared" si="167"/>
        <v>0.3312279123223148</v>
      </c>
      <c r="Q841" s="49">
        <f t="shared" si="167"/>
        <v>0.43646844624575021</v>
      </c>
      <c r="R841" s="49">
        <f t="shared" si="167"/>
        <v>0.54455103772552838</v>
      </c>
      <c r="S841" s="49">
        <f t="shared" si="167"/>
        <v>0.64779322837297504</v>
      </c>
      <c r="T841" s="49">
        <f t="shared" si="167"/>
        <v>0.73982361137532582</v>
      </c>
      <c r="U841" s="49">
        <f t="shared" si="167"/>
        <v>0.81660522692953208</v>
      </c>
      <c r="V841" s="49">
        <f t="shared" si="167"/>
        <v>0.87671919106035279</v>
      </c>
      <c r="W841" s="47">
        <v>0.16200000000000001</v>
      </c>
    </row>
    <row r="842" spans="2:23" x14ac:dyDescent="0.25">
      <c r="B842" s="49">
        <f t="shared" si="166"/>
        <v>2.3760320183818701E-8</v>
      </c>
      <c r="C842" s="49">
        <f t="shared" si="166"/>
        <v>4.7975409187112178E-7</v>
      </c>
      <c r="D842" s="49">
        <f t="shared" si="166"/>
        <v>4.8115506557625982E-6</v>
      </c>
      <c r="E842" s="49">
        <f t="shared" si="166"/>
        <v>3.1968071956804694E-5</v>
      </c>
      <c r="F842" s="49">
        <f t="shared" si="166"/>
        <v>1.5834985082188044E-4</v>
      </c>
      <c r="G842" s="49">
        <f t="shared" si="166"/>
        <v>6.2402342915182966E-4</v>
      </c>
      <c r="H842" s="49">
        <f t="shared" si="166"/>
        <v>2.038993251807461E-3</v>
      </c>
      <c r="I842" s="49">
        <f t="shared" si="166"/>
        <v>5.6854203669043065E-3</v>
      </c>
      <c r="J842" s="49">
        <f t="shared" si="166"/>
        <v>1.3820248192992143E-2</v>
      </c>
      <c r="K842" s="49">
        <f t="shared" si="166"/>
        <v>2.9778263256457518E-2</v>
      </c>
      <c r="L842" s="49">
        <f t="shared" si="167"/>
        <v>5.7646068763451692E-2</v>
      </c>
      <c r="M842" s="49">
        <f t="shared" si="167"/>
        <v>0.10140154585944752</v>
      </c>
      <c r="N842" s="49">
        <f t="shared" si="167"/>
        <v>0.16367720504815222</v>
      </c>
      <c r="O842" s="49">
        <f t="shared" si="167"/>
        <v>0.24457415032883464</v>
      </c>
      <c r="P842" s="49">
        <f t="shared" si="167"/>
        <v>0.34104478368297525</v>
      </c>
      <c r="Q842" s="49">
        <f t="shared" si="167"/>
        <v>0.44718291391600684</v>
      </c>
      <c r="R842" s="49">
        <f t="shared" si="167"/>
        <v>0.55538529227859523</v>
      </c>
      <c r="S842" s="49">
        <f t="shared" si="167"/>
        <v>0.657981409101557</v>
      </c>
      <c r="T842" s="49">
        <f t="shared" si="167"/>
        <v>0.74876295687502814</v>
      </c>
      <c r="U842" s="49">
        <f t="shared" si="167"/>
        <v>0.82394536411666264</v>
      </c>
      <c r="V842" s="49">
        <f t="shared" si="167"/>
        <v>0.88237416366773247</v>
      </c>
      <c r="W842" s="47">
        <v>0.161</v>
      </c>
    </row>
    <row r="843" spans="2:23" x14ac:dyDescent="0.25">
      <c r="B843" s="49">
        <f t="shared" ref="B843:K852" si="168">_xlfn.HYPGEOM.DIST(B$2,comau,tongtheN*$W843,tongtheN,TRUE)</f>
        <v>2.6766239161609178E-8</v>
      </c>
      <c r="C843" s="49">
        <f t="shared" si="168"/>
        <v>5.3664944386415135E-7</v>
      </c>
      <c r="D843" s="49">
        <f t="shared" si="168"/>
        <v>5.3445620566720529E-6</v>
      </c>
      <c r="E843" s="49">
        <f t="shared" si="168"/>
        <v>3.5263030193560127E-5</v>
      </c>
      <c r="F843" s="49">
        <f t="shared" si="168"/>
        <v>1.7346886237280907E-4</v>
      </c>
      <c r="G843" s="49">
        <f t="shared" si="168"/>
        <v>6.7894444344212526E-4</v>
      </c>
      <c r="H843" s="49">
        <f t="shared" si="168"/>
        <v>2.2034970799319248E-3</v>
      </c>
      <c r="I843" s="49">
        <f t="shared" si="168"/>
        <v>6.103271015378788E-3</v>
      </c>
      <c r="J843" s="49">
        <f t="shared" si="168"/>
        <v>1.4738958081870352E-2</v>
      </c>
      <c r="K843" s="49">
        <f t="shared" si="168"/>
        <v>3.1554234998605442E-2</v>
      </c>
      <c r="L843" s="49">
        <f t="shared" ref="L843:V852" si="169">_xlfn.HYPGEOM.DIST(L$2,comau,tongtheN*$W843,tongtheN,TRUE)</f>
        <v>6.0701951221026292E-2</v>
      </c>
      <c r="M843" s="49">
        <f t="shared" si="169"/>
        <v>0.10612860851506682</v>
      </c>
      <c r="N843" s="49">
        <f t="shared" si="169"/>
        <v>0.17030470119834629</v>
      </c>
      <c r="O843" s="49">
        <f t="shared" si="169"/>
        <v>0.25305386796654133</v>
      </c>
      <c r="P843" s="49">
        <f t="shared" si="169"/>
        <v>0.35100358620981609</v>
      </c>
      <c r="Q843" s="49">
        <f t="shared" si="169"/>
        <v>0.45797211802530818</v>
      </c>
      <c r="R843" s="49">
        <f t="shared" si="169"/>
        <v>0.56621464855059167</v>
      </c>
      <c r="S843" s="49">
        <f t="shared" si="169"/>
        <v>0.66808987032280831</v>
      </c>
      <c r="T843" s="49">
        <f t="shared" si="169"/>
        <v>0.75756693471715963</v>
      </c>
      <c r="U843" s="49">
        <f t="shared" si="169"/>
        <v>0.83112103002993887</v>
      </c>
      <c r="V843" s="49">
        <f t="shared" si="169"/>
        <v>0.88786164885641616</v>
      </c>
      <c r="W843" s="47">
        <v>0.16</v>
      </c>
    </row>
    <row r="844" spans="2:23" x14ac:dyDescent="0.25">
      <c r="B844" s="49">
        <f t="shared" si="168"/>
        <v>3.0148163635029781E-8</v>
      </c>
      <c r="C844" s="49">
        <f t="shared" si="168"/>
        <v>6.0018720051674E-7</v>
      </c>
      <c r="D844" s="49">
        <f t="shared" si="168"/>
        <v>5.9353886675643582E-6</v>
      </c>
      <c r="E844" s="49">
        <f t="shared" si="168"/>
        <v>3.88883133316654E-5</v>
      </c>
      <c r="F844" s="49">
        <f t="shared" si="168"/>
        <v>1.8998026203374192E-4</v>
      </c>
      <c r="G844" s="49">
        <f t="shared" si="168"/>
        <v>7.3847878035995839E-4</v>
      </c>
      <c r="H844" s="49">
        <f t="shared" si="168"/>
        <v>2.3804971620405265E-3</v>
      </c>
      <c r="I844" s="49">
        <f t="shared" si="168"/>
        <v>6.5495300623813453E-3</v>
      </c>
      <c r="J844" s="49">
        <f t="shared" si="168"/>
        <v>1.5712854671391278E-2</v>
      </c>
      <c r="K844" s="49">
        <f t="shared" si="168"/>
        <v>3.3422932533237033E-2</v>
      </c>
      <c r="L844" s="49">
        <f t="shared" si="169"/>
        <v>6.3893548754054189E-2</v>
      </c>
      <c r="M844" s="49">
        <f t="shared" si="169"/>
        <v>0.11102900652460393</v>
      </c>
      <c r="N844" s="49">
        <f t="shared" si="169"/>
        <v>0.17712428715087958</v>
      </c>
      <c r="O844" s="49">
        <f t="shared" si="169"/>
        <v>0.26171467671623805</v>
      </c>
      <c r="P844" s="49">
        <f t="shared" si="169"/>
        <v>0.36109966471409088</v>
      </c>
      <c r="Q844" s="49">
        <f t="shared" si="169"/>
        <v>0.46882896094782889</v>
      </c>
      <c r="R844" s="49">
        <f t="shared" si="169"/>
        <v>0.5770311133432211</v>
      </c>
      <c r="S844" s="49">
        <f t="shared" si="169"/>
        <v>0.67811145289800678</v>
      </c>
      <c r="T844" s="49">
        <f t="shared" si="169"/>
        <v>0.76623054220648679</v>
      </c>
      <c r="U844" s="49">
        <f t="shared" si="169"/>
        <v>0.83812994210037539</v>
      </c>
      <c r="V844" s="49">
        <f t="shared" si="169"/>
        <v>0.89318187805961013</v>
      </c>
      <c r="W844" s="47">
        <v>0.159</v>
      </c>
    </row>
    <row r="845" spans="2:23" x14ac:dyDescent="0.25">
      <c r="B845" s="49">
        <f t="shared" si="168"/>
        <v>3.3952594295817696E-8</v>
      </c>
      <c r="C845" s="49">
        <f t="shared" si="168"/>
        <v>6.7113021546881986E-7</v>
      </c>
      <c r="D845" s="49">
        <f t="shared" si="168"/>
        <v>6.5901602381161206E-6</v>
      </c>
      <c r="E845" s="49">
        <f t="shared" si="168"/>
        <v>4.2876024615740382E-5</v>
      </c>
      <c r="F845" s="49">
        <f t="shared" si="168"/>
        <v>2.0800702225487361E-4</v>
      </c>
      <c r="G845" s="49">
        <f t="shared" si="168"/>
        <v>8.0299268625245264E-4</v>
      </c>
      <c r="H845" s="49">
        <f t="shared" si="168"/>
        <v>2.5708727743534716E-3</v>
      </c>
      <c r="I845" s="49">
        <f t="shared" si="168"/>
        <v>7.0259357259120367E-3</v>
      </c>
      <c r="J845" s="49">
        <f t="shared" si="168"/>
        <v>1.6744795440753933E-2</v>
      </c>
      <c r="K845" s="49">
        <f t="shared" si="168"/>
        <v>3.5388251243459602E-2</v>
      </c>
      <c r="L845" s="49">
        <f t="shared" si="169"/>
        <v>6.7225158731978818E-2</v>
      </c>
      <c r="M845" s="49">
        <f t="shared" si="169"/>
        <v>0.1161062670934235</v>
      </c>
      <c r="N845" s="49">
        <f t="shared" si="169"/>
        <v>0.18413735718648966</v>
      </c>
      <c r="O845" s="49">
        <f t="shared" si="169"/>
        <v>0.27055484830471516</v>
      </c>
      <c r="P845" s="49">
        <f t="shared" si="169"/>
        <v>0.37132804931739061</v>
      </c>
      <c r="Q845" s="49">
        <f t="shared" si="169"/>
        <v>0.47974612853019605</v>
      </c>
      <c r="R845" s="49">
        <f t="shared" si="169"/>
        <v>0.58782664068818358</v>
      </c>
      <c r="S845" s="49">
        <f t="shared" si="169"/>
        <v>0.6880391138161378</v>
      </c>
      <c r="T845" s="49">
        <f t="shared" si="169"/>
        <v>0.77474901039877508</v>
      </c>
      <c r="U845" s="49">
        <f t="shared" si="169"/>
        <v>0.84497008962655029</v>
      </c>
      <c r="V845" s="49">
        <f t="shared" si="169"/>
        <v>0.89833531926208976</v>
      </c>
      <c r="W845" s="47">
        <v>0.158</v>
      </c>
    </row>
    <row r="846" spans="2:23" x14ac:dyDescent="0.25">
      <c r="B846" s="49">
        <f t="shared" si="168"/>
        <v>3.8231716808369827E-8</v>
      </c>
      <c r="C846" s="49">
        <f t="shared" si="168"/>
        <v>7.5032744846823947E-7</v>
      </c>
      <c r="D846" s="49">
        <f t="shared" si="168"/>
        <v>7.3156403451059664E-6</v>
      </c>
      <c r="E846" s="49">
        <f t="shared" si="168"/>
        <v>4.7261278427535199E-5</v>
      </c>
      <c r="F846" s="49">
        <f t="shared" si="168"/>
        <v>2.2768244400080435E-4</v>
      </c>
      <c r="G846" s="49">
        <f t="shared" si="168"/>
        <v>8.7287946967972731E-4</v>
      </c>
      <c r="H846" s="49">
        <f t="shared" si="168"/>
        <v>2.7755588897744802E-3</v>
      </c>
      <c r="I846" s="49">
        <f t="shared" si="168"/>
        <v>7.5343167695542902E-3</v>
      </c>
      <c r="J846" s="49">
        <f t="shared" si="168"/>
        <v>1.7837751172917658E-2</v>
      </c>
      <c r="K846" s="49">
        <f t="shared" si="168"/>
        <v>3.7454183926017494E-2</v>
      </c>
      <c r="L846" s="49">
        <f t="shared" si="169"/>
        <v>7.0701102279154535E-2</v>
      </c>
      <c r="M846" s="49">
        <f t="shared" si="169"/>
        <v>0.12136381698555775</v>
      </c>
      <c r="N846" s="49">
        <f t="shared" si="169"/>
        <v>0.19134507081755975</v>
      </c>
      <c r="O846" s="49">
        <f t="shared" si="169"/>
        <v>0.27957233367318568</v>
      </c>
      <c r="P846" s="49">
        <f t="shared" si="169"/>
        <v>0.38168345726611608</v>
      </c>
      <c r="Q846" s="49">
        <f t="shared" si="169"/>
        <v>0.49071610150828543</v>
      </c>
      <c r="R846" s="49">
        <f t="shared" si="169"/>
        <v>0.59859314869987112</v>
      </c>
      <c r="S846" s="49">
        <f t="shared" si="169"/>
        <v>0.69786594224739273</v>
      </c>
      <c r="T846" s="49">
        <f t="shared" si="169"/>
        <v>0.78311781415067672</v>
      </c>
      <c r="U846" s="49">
        <f t="shared" si="169"/>
        <v>0.85163973576177132</v>
      </c>
      <c r="V846" s="49">
        <f t="shared" si="169"/>
        <v>0.90332267219983509</v>
      </c>
      <c r="W846" s="47">
        <v>0.157</v>
      </c>
    </row>
    <row r="847" spans="2:23" x14ac:dyDescent="0.25">
      <c r="B847" s="49">
        <f t="shared" si="168"/>
        <v>4.3044088807947148E-8</v>
      </c>
      <c r="C847" s="49">
        <f t="shared" si="168"/>
        <v>8.3872350700223431E-7</v>
      </c>
      <c r="D847" s="49">
        <f t="shared" si="168"/>
        <v>8.1192901244517418E-6</v>
      </c>
      <c r="E847" s="49">
        <f t="shared" si="168"/>
        <v>5.2082471151210515E-5</v>
      </c>
      <c r="F847" s="49">
        <f t="shared" si="168"/>
        <v>2.4915097119431612E-4</v>
      </c>
      <c r="G847" s="49">
        <f t="shared" si="168"/>
        <v>9.4856131352907781E-4</v>
      </c>
      <c r="H847" s="49">
        <f t="shared" si="168"/>
        <v>2.9955491705130656E-3</v>
      </c>
      <c r="I847" s="49">
        <f t="shared" si="168"/>
        <v>8.0765959407217789E-3</v>
      </c>
      <c r="J847" s="49">
        <f t="shared" si="168"/>
        <v>1.8994807815366031E-2</v>
      </c>
      <c r="K847" s="49">
        <f t="shared" si="168"/>
        <v>3.9624818387223155E-2</v>
      </c>
      <c r="L847" s="49">
        <f t="shared" si="169"/>
        <v>7.4325715990193802E-2</v>
      </c>
      <c r="M847" s="49">
        <f t="shared" si="169"/>
        <v>0.12680496965207988</v>
      </c>
      <c r="N847" s="49">
        <f t="shared" si="169"/>
        <v>0.19874833988144136</v>
      </c>
      <c r="O847" s="49">
        <f t="shared" si="169"/>
        <v>0.28876475592364143</v>
      </c>
      <c r="P847" s="49">
        <f t="shared" si="169"/>
        <v>0.3921602957208809</v>
      </c>
      <c r="Q847" s="49">
        <f t="shared" si="169"/>
        <v>0.5017311678203914</v>
      </c>
      <c r="R847" s="49">
        <f t="shared" si="169"/>
        <v>0.60932253684595516</v>
      </c>
      <c r="S847" s="49">
        <f t="shared" si="169"/>
        <v>0.70758517539233701</v>
      </c>
      <c r="T847" s="49">
        <f t="shared" si="169"/>
        <v>0.7913326815037931</v>
      </c>
      <c r="U847" s="49">
        <f t="shared" si="169"/>
        <v>0.85813741870887383</v>
      </c>
      <c r="V847" s="49">
        <f t="shared" si="169"/>
        <v>0.90814486295296726</v>
      </c>
      <c r="W847" s="47">
        <v>0.156</v>
      </c>
    </row>
    <row r="848" spans="2:23" x14ac:dyDescent="0.25">
      <c r="B848" s="49">
        <f t="shared" si="168"/>
        <v>4.8455408951909632E-8</v>
      </c>
      <c r="C848" s="49">
        <f t="shared" si="168"/>
        <v>9.3736922450739134E-7</v>
      </c>
      <c r="D848" s="49">
        <f t="shared" si="168"/>
        <v>9.0093382102530348E-6</v>
      </c>
      <c r="E848" s="49">
        <f t="shared" si="168"/>
        <v>5.7381575188297008E-5</v>
      </c>
      <c r="F848" s="49">
        <f t="shared" si="168"/>
        <v>2.7256906415098884E-4</v>
      </c>
      <c r="G848" s="49">
        <f t="shared" si="168"/>
        <v>1.0304911911593402E-3</v>
      </c>
      <c r="H848" s="49">
        <f t="shared" si="168"/>
        <v>3.231899074997911E-3</v>
      </c>
      <c r="I848" s="49">
        <f t="shared" si="168"/>
        <v>8.6547934327344655E-3</v>
      </c>
      <c r="J848" s="49">
        <f t="shared" si="168"/>
        <v>2.0219168146206976E-2</v>
      </c>
      <c r="K848" s="49">
        <f t="shared" si="168"/>
        <v>4.1904334579305966E-2</v>
      </c>
      <c r="L848" s="49">
        <f t="shared" si="169"/>
        <v>7.8103343060859934E-2</v>
      </c>
      <c r="M848" s="49">
        <f t="shared" si="169"/>
        <v>0.13243291196184029</v>
      </c>
      <c r="N848" s="49">
        <f t="shared" si="169"/>
        <v>0.20634781573216049</v>
      </c>
      <c r="O848" s="49">
        <f t="shared" si="169"/>
        <v>0.29812940393960013</v>
      </c>
      <c r="P848" s="49">
        <f t="shared" si="169"/>
        <v>0.40275266554875272</v>
      </c>
      <c r="Q848" s="49">
        <f t="shared" si="169"/>
        <v>0.51278343580023711</v>
      </c>
      <c r="R848" s="49">
        <f t="shared" si="169"/>
        <v>0.62000670358350929</v>
      </c>
      <c r="S848" s="49">
        <f t="shared" si="169"/>
        <v>0.71719021406658312</v>
      </c>
      <c r="T848" s="49">
        <f t="shared" si="169"/>
        <v>0.7993896023638396</v>
      </c>
      <c r="U848" s="49">
        <f t="shared" si="169"/>
        <v>0.8644619521177519</v>
      </c>
      <c r="V848" s="49">
        <f t="shared" si="169"/>
        <v>0.9128030379552049</v>
      </c>
      <c r="W848" s="47">
        <v>0.155</v>
      </c>
    </row>
    <row r="849" spans="2:23" x14ac:dyDescent="0.25">
      <c r="B849" s="49">
        <f t="shared" si="168"/>
        <v>5.4539377708939843E-8</v>
      </c>
      <c r="C849" s="49">
        <f t="shared" si="168"/>
        <v>1.0474333853606092E-6</v>
      </c>
      <c r="D849" s="49">
        <f t="shared" si="168"/>
        <v>9.9948574630798788E-6</v>
      </c>
      <c r="E849" s="49">
        <f t="shared" si="168"/>
        <v>6.3204457973901017E-5</v>
      </c>
      <c r="F849" s="49">
        <f t="shared" si="168"/>
        <v>2.9810613576332725E-4</v>
      </c>
      <c r="G849" s="49">
        <f t="shared" si="168"/>
        <v>1.1191548909329607E-3</v>
      </c>
      <c r="H849" s="49">
        <f t="shared" si="168"/>
        <v>3.4857290791785525E-3</v>
      </c>
      <c r="I849" s="49">
        <f t="shared" si="168"/>
        <v>9.2710303600160564E-3</v>
      </c>
      <c r="J849" s="49">
        <f t="shared" si="168"/>
        <v>2.1514153222540546E-2</v>
      </c>
      <c r="K849" s="49">
        <f t="shared" si="168"/>
        <v>4.4297001251785428E-2</v>
      </c>
      <c r="L849" s="49">
        <f t="shared" si="169"/>
        <v>8.2038323826251994E-2</v>
      </c>
      <c r="M849" s="49">
        <f t="shared" si="169"/>
        <v>0.13825069055875844</v>
      </c>
      <c r="N849" s="49">
        <f t="shared" si="169"/>
        <v>0.21414387658288306</v>
      </c>
      <c r="O849" s="49">
        <f t="shared" si="169"/>
        <v>0.30766322673588808</v>
      </c>
      <c r="P849" s="49">
        <f t="shared" si="169"/>
        <v>0.4134543661430955</v>
      </c>
      <c r="Q849" s="49">
        <f t="shared" si="169"/>
        <v>0.52386484822897295</v>
      </c>
      <c r="R849" s="49">
        <f t="shared" si="169"/>
        <v>0.63063756430527695</v>
      </c>
      <c r="S849" s="49">
        <f t="shared" si="169"/>
        <v>0.72667463796078735</v>
      </c>
      <c r="T849" s="49">
        <f t="shared" si="169"/>
        <v>0.80728483643835514</v>
      </c>
      <c r="U849" s="49">
        <f t="shared" si="169"/>
        <v>0.87061242468412559</v>
      </c>
      <c r="V849" s="49">
        <f t="shared" si="169"/>
        <v>0.91729855744552313</v>
      </c>
      <c r="W849" s="47">
        <v>0.154</v>
      </c>
    </row>
    <row r="850" spans="2:23" x14ac:dyDescent="0.25">
      <c r="B850" s="49">
        <f t="shared" si="168"/>
        <v>6.1378660700808095E-8</v>
      </c>
      <c r="C850" s="49">
        <f t="shared" si="168"/>
        <v>1.1702157182918561E-6</v>
      </c>
      <c r="D850" s="49">
        <f t="shared" si="168"/>
        <v>1.1085849121910683E-5</v>
      </c>
      <c r="E850" s="49">
        <f t="shared" si="168"/>
        <v>6.9601227980540303E-5</v>
      </c>
      <c r="F850" s="49">
        <f t="shared" si="168"/>
        <v>3.2594555438136548E-4</v>
      </c>
      <c r="G850" s="49">
        <f t="shared" si="168"/>
        <v>1.21507315351529E-3</v>
      </c>
      <c r="H850" s="49">
        <f t="shared" si="168"/>
        <v>3.758228011810008E-3</v>
      </c>
      <c r="I850" s="49">
        <f t="shared" si="168"/>
        <v>9.9275322345713842E-3</v>
      </c>
      <c r="J850" s="49">
        <f t="shared" si="168"/>
        <v>2.28832035868776E-2</v>
      </c>
      <c r="K850" s="49">
        <f t="shared" si="168"/>
        <v>4.6807172092514573E-2</v>
      </c>
      <c r="L850" s="49">
        <f t="shared" si="169"/>
        <v>8.6134985700033362E-2</v>
      </c>
      <c r="M850" s="49">
        <f t="shared" si="169"/>
        <v>0.14426119787313205</v>
      </c>
      <c r="N850" s="49">
        <f t="shared" si="169"/>
        <v>0.22213661505404234</v>
      </c>
      <c r="O850" s="49">
        <f t="shared" si="169"/>
        <v>0.31736282859167919</v>
      </c>
      <c r="P850" s="49">
        <f t="shared" si="169"/>
        <v>0.42425890129248567</v>
      </c>
      <c r="Q850" s="49">
        <f t="shared" si="169"/>
        <v>0.53496719722075781</v>
      </c>
      <c r="R850" s="49">
        <f t="shared" si="169"/>
        <v>0.64120706953773965</v>
      </c>
      <c r="S850" s="49">
        <f t="shared" si="169"/>
        <v>0.73603222051587869</v>
      </c>
      <c r="T850" s="49">
        <f t="shared" si="169"/>
        <v>0.81501492039905266</v>
      </c>
      <c r="U850" s="49">
        <f t="shared" si="169"/>
        <v>0.87658819895141626</v>
      </c>
      <c r="V850" s="49">
        <f t="shared" si="169"/>
        <v>0.92163298838996155</v>
      </c>
      <c r="W850" s="47">
        <v>0.153</v>
      </c>
    </row>
    <row r="851" spans="2:23" x14ac:dyDescent="0.25">
      <c r="B851" s="49">
        <f t="shared" si="168"/>
        <v>6.9065966670957601E-8</v>
      </c>
      <c r="C851" s="49">
        <f t="shared" si="168"/>
        <v>1.3071612924527202E-6</v>
      </c>
      <c r="D851" s="49">
        <f t="shared" si="168"/>
        <v>1.2293335070685772E-5</v>
      </c>
      <c r="E851" s="49">
        <f t="shared" si="168"/>
        <v>7.6626609839281309E-5</v>
      </c>
      <c r="F851" s="49">
        <f t="shared" si="168"/>
        <v>3.5628571752899452E-4</v>
      </c>
      <c r="G851" s="49">
        <f t="shared" si="168"/>
        <v>1.3188039263225817E-3</v>
      </c>
      <c r="H851" s="49">
        <f t="shared" si="168"/>
        <v>4.050656502757221E-3</v>
      </c>
      <c r="I851" s="49">
        <f t="shared" si="168"/>
        <v>1.0626632430710041E-2</v>
      </c>
      <c r="J851" s="49">
        <f t="shared" si="168"/>
        <v>2.4329880206245949E-2</v>
      </c>
      <c r="K851" s="49">
        <f t="shared" si="168"/>
        <v>4.9439281333175794E-2</v>
      </c>
      <c r="L851" s="49">
        <f t="shared" si="169"/>
        <v>9.039763251062935E-2</v>
      </c>
      <c r="M851" s="49">
        <f t="shared" si="169"/>
        <v>0.15046715781779504</v>
      </c>
      <c r="N851" s="49">
        <f t="shared" si="169"/>
        <v>0.23032582598429174</v>
      </c>
      <c r="O851" s="49">
        <f t="shared" si="169"/>
        <v>0.32722446502042657</v>
      </c>
      <c r="P851" s="49">
        <f t="shared" si="169"/>
        <v>0.43515948611637167</v>
      </c>
      <c r="Q851" s="49">
        <f t="shared" si="169"/>
        <v>0.54608213991207732</v>
      </c>
      <c r="R851" s="49">
        <f t="shared" si="169"/>
        <v>0.65170722332998976</v>
      </c>
      <c r="S851" s="49">
        <f t="shared" si="169"/>
        <v>0.74525694335396819</v>
      </c>
      <c r="T851" s="49">
        <f t="shared" si="169"/>
        <v>0.82257667423789882</v>
      </c>
      <c r="U851" s="49">
        <f t="shared" si="169"/>
        <v>0.88238890932105574</v>
      </c>
      <c r="V851" s="49">
        <f t="shared" si="169"/>
        <v>0.92580809690374766</v>
      </c>
      <c r="W851" s="47">
        <v>0.152</v>
      </c>
    </row>
    <row r="852" spans="2:23" x14ac:dyDescent="0.25">
      <c r="B852" s="49">
        <f t="shared" si="168"/>
        <v>7.7705253558948834E-8</v>
      </c>
      <c r="C852" s="49">
        <f t="shared" si="168"/>
        <v>1.45987646423623E-6</v>
      </c>
      <c r="D852" s="49">
        <f t="shared" si="168"/>
        <v>1.362945897175445E-5</v>
      </c>
      <c r="E852" s="49">
        <f t="shared" si="168"/>
        <v>8.4340350859882796E-5</v>
      </c>
      <c r="F852" s="49">
        <f t="shared" si="168"/>
        <v>3.8934120079100939E-4</v>
      </c>
      <c r="G852" s="49">
        <f t="shared" si="168"/>
        <v>1.4309447394789561E-3</v>
      </c>
      <c r="H852" s="49">
        <f t="shared" si="168"/>
        <v>4.364350542738777E-3</v>
      </c>
      <c r="I852" s="49">
        <f t="shared" si="168"/>
        <v>1.1370775623732989E-2</v>
      </c>
      <c r="J852" s="49">
        <f t="shared" si="168"/>
        <v>2.5857865117502807E-2</v>
      </c>
      <c r="K852" s="49">
        <f t="shared" si="168"/>
        <v>5.2197838794324547E-2</v>
      </c>
      <c r="L852" s="49">
        <f t="shared" si="169"/>
        <v>9.4830533232723238E-2</v>
      </c>
      <c r="M852" s="49">
        <f t="shared" si="169"/>
        <v>0.15687111120344127</v>
      </c>
      <c r="N852" s="49">
        <f t="shared" si="169"/>
        <v>0.23871099456369962</v>
      </c>
      <c r="O852" s="49">
        <f t="shared" si="169"/>
        <v>0.33724403962927152</v>
      </c>
      <c r="P852" s="49">
        <f t="shared" si="169"/>
        <v>0.44614905508136815</v>
      </c>
      <c r="Q852" s="49">
        <f t="shared" si="169"/>
        <v>0.55720121492028474</v>
      </c>
      <c r="R852" s="49">
        <f t="shared" si="169"/>
        <v>0.66213010176995379</v>
      </c>
      <c r="S852" s="49">
        <f t="shared" si="169"/>
        <v>0.75434301020613959</v>
      </c>
      <c r="T852" s="49">
        <f t="shared" si="169"/>
        <v>0.8299672067891114</v>
      </c>
      <c r="U852" s="49">
        <f t="shared" si="169"/>
        <v>0.88801445927996026</v>
      </c>
      <c r="V852" s="49">
        <f t="shared" si="169"/>
        <v>0.92982584020588299</v>
      </c>
      <c r="W852" s="47">
        <v>0.151</v>
      </c>
    </row>
    <row r="853" spans="2:23" x14ac:dyDescent="0.25">
      <c r="B853" s="49">
        <f t="shared" ref="B853:K862" si="170">_xlfn.HYPGEOM.DIST(B$2,comau,tongtheN*$W853,tongtheN,TRUE)</f>
        <v>8.7413077725983857E-8</v>
      </c>
      <c r="C853" s="49">
        <f t="shared" si="170"/>
        <v>1.6301465381968751E-6</v>
      </c>
      <c r="D853" s="49">
        <f t="shared" si="170"/>
        <v>1.5107597084905518E-5</v>
      </c>
      <c r="E853" s="49">
        <f t="shared" si="170"/>
        <v>9.2807661392862293E-5</v>
      </c>
      <c r="F853" s="49">
        <f t="shared" si="170"/>
        <v>4.2534398640438662E-4</v>
      </c>
      <c r="G853" s="49">
        <f t="shared" si="170"/>
        <v>1.5521352075966222E-3</v>
      </c>
      <c r="H853" s="49">
        <f t="shared" si="170"/>
        <v>4.7007251522511659E-3</v>
      </c>
      <c r="I853" s="49">
        <f t="shared" si="170"/>
        <v>1.2162521186991352E-2</v>
      </c>
      <c r="J853" s="49">
        <f t="shared" si="170"/>
        <v>2.7470961751279065E-2</v>
      </c>
      <c r="K853" s="49">
        <f t="shared" si="170"/>
        <v>5.508742434552908E-2</v>
      </c>
      <c r="L853" s="49">
        <f t="shared" ref="L853:V862" si="171">_xlfn.HYPGEOM.DIST(L$2,comau,tongtheN*$W853,tongtheN,TRUE)</f>
        <v>9.9437910114954411E-2</v>
      </c>
      <c r="M853" s="49">
        <f t="shared" si="171"/>
        <v>0.16347540091094268</v>
      </c>
      <c r="N853" s="49">
        <f t="shared" si="171"/>
        <v>0.24729128485062288</v>
      </c>
      <c r="O853" s="49">
        <f t="shared" si="171"/>
        <v>0.34741710191926567</v>
      </c>
      <c r="P853" s="49">
        <f t="shared" si="171"/>
        <v>0.45722027110774693</v>
      </c>
      <c r="Q853" s="49">
        <f t="shared" si="171"/>
        <v>0.56831585953240671</v>
      </c>
      <c r="R853" s="49">
        <f t="shared" si="171"/>
        <v>0.6724678715621939</v>
      </c>
      <c r="S853" s="49">
        <f t="shared" si="171"/>
        <v>0.76328486027945908</v>
      </c>
      <c r="T853" s="49">
        <f t="shared" si="171"/>
        <v>0.83718392039261547</v>
      </c>
      <c r="U853" s="49">
        <f t="shared" si="171"/>
        <v>0.89346501785734478</v>
      </c>
      <c r="V853" s="49">
        <f t="shared" si="171"/>
        <v>0.93368835814024753</v>
      </c>
      <c r="W853" s="47">
        <v>0.15</v>
      </c>
    </row>
    <row r="854" spans="2:23" x14ac:dyDescent="0.25">
      <c r="B854" s="49">
        <f t="shared" si="170"/>
        <v>9.832010312275756E-8</v>
      </c>
      <c r="C854" s="49">
        <f t="shared" si="170"/>
        <v>1.8199553221999217E-6</v>
      </c>
      <c r="D854" s="49">
        <f t="shared" si="170"/>
        <v>1.6742479662589968E-5</v>
      </c>
      <c r="E854" s="49">
        <f t="shared" si="170"/>
        <v>1.0209969164717246E-4</v>
      </c>
      <c r="F854" s="49">
        <f t="shared" si="170"/>
        <v>4.6454477628769889E-4</v>
      </c>
      <c r="G854" s="49">
        <f t="shared" si="170"/>
        <v>1.6830596616178443E-3</v>
      </c>
      <c r="H854" s="49">
        <f t="shared" si="170"/>
        <v>5.0612781566691896E-3</v>
      </c>
      <c r="I854" s="49">
        <f t="shared" si="170"/>
        <v>1.3004546530362177E-2</v>
      </c>
      <c r="J854" s="49">
        <f t="shared" si="170"/>
        <v>2.9173094905926365E-2</v>
      </c>
      <c r="K854" s="49">
        <f t="shared" si="170"/>
        <v>5.8112681756767308E-2</v>
      </c>
      <c r="L854" s="49">
        <f t="shared" si="171"/>
        <v>0.104223926207515</v>
      </c>
      <c r="M854" s="49">
        <f t="shared" si="171"/>
        <v>0.17028215686211362</v>
      </c>
      <c r="N854" s="49">
        <f t="shared" si="171"/>
        <v>0.25606552873553462</v>
      </c>
      <c r="O854" s="49">
        <f t="shared" si="171"/>
        <v>0.35773884607609702</v>
      </c>
      <c r="P854" s="49">
        <f t="shared" si="171"/>
        <v>0.46836553577136664</v>
      </c>
      <c r="Q854" s="49">
        <f t="shared" si="171"/>
        <v>0.579417427580603</v>
      </c>
      <c r="R854" s="49">
        <f t="shared" si="171"/>
        <v>0.68271280859967454</v>
      </c>
      <c r="S854" s="49">
        <f t="shared" si="171"/>
        <v>0.77207718100693667</v>
      </c>
      <c r="T854" s="49">
        <f t="shared" si="171"/>
        <v>0.84422451467798465</v>
      </c>
      <c r="U854" s="49">
        <f t="shared" si="171"/>
        <v>0.89874101532641837</v>
      </c>
      <c r="V854" s="49">
        <f t="shared" si="171"/>
        <v>0.93739796429895095</v>
      </c>
      <c r="W854" s="47">
        <v>0.14899999999999999</v>
      </c>
    </row>
    <row r="855" spans="2:23" x14ac:dyDescent="0.25">
      <c r="B855" s="49">
        <f t="shared" si="170"/>
        <v>1.1057278913708818E-7</v>
      </c>
      <c r="C855" s="49">
        <f t="shared" si="170"/>
        <v>2.0315067753844721E-6</v>
      </c>
      <c r="D855" s="49">
        <f t="shared" si="170"/>
        <v>1.8550323889765194E-5</v>
      </c>
      <c r="E855" s="49">
        <f t="shared" si="170"/>
        <v>1.1229404775774439E-4</v>
      </c>
      <c r="F855" s="49">
        <f t="shared" si="170"/>
        <v>5.0721439444395707E-4</v>
      </c>
      <c r="G855" s="49">
        <f t="shared" si="170"/>
        <v>1.8244499148508994E-3</v>
      </c>
      <c r="H855" s="49">
        <f t="shared" si="170"/>
        <v>5.4475940637055313E-3</v>
      </c>
      <c r="I855" s="49">
        <f t="shared" si="170"/>
        <v>1.389965036177011E-2</v>
      </c>
      <c r="J855" s="49">
        <f t="shared" si="170"/>
        <v>3.0968310341837654E-2</v>
      </c>
      <c r="K855" s="49">
        <f t="shared" si="170"/>
        <v>6.1278311918070531E-2</v>
      </c>
      <c r="L855" s="49">
        <f t="shared" si="171"/>
        <v>0.10919267229634659</v>
      </c>
      <c r="M855" s="49">
        <f t="shared" si="171"/>
        <v>0.17729328083399257</v>
      </c>
      <c r="N855" s="49">
        <f t="shared" si="171"/>
        <v>0.26503221541672428</v>
      </c>
      <c r="O855" s="49">
        <f t="shared" si="171"/>
        <v>0.36820411079903298</v>
      </c>
      <c r="P855" s="49">
        <f t="shared" si="171"/>
        <v>0.47957700060151182</v>
      </c>
      <c r="Q855" s="49">
        <f t="shared" si="171"/>
        <v>0.59049720795624572</v>
      </c>
      <c r="R855" s="49">
        <f t="shared" si="171"/>
        <v>0.69285731646004467</v>
      </c>
      <c r="S855" s="49">
        <f t="shared" si="171"/>
        <v>0.78071492012592936</v>
      </c>
      <c r="T855" s="49">
        <f t="shared" si="171"/>
        <v>0.85108698945156913</v>
      </c>
      <c r="U855" s="49">
        <f t="shared" si="171"/>
        <v>0.90384313816984341</v>
      </c>
      <c r="V855" s="49">
        <f t="shared" si="171"/>
        <v>0.94095713678518567</v>
      </c>
      <c r="W855" s="47">
        <v>0.14799999999999999</v>
      </c>
    </row>
    <row r="856" spans="2:23" x14ac:dyDescent="0.25">
      <c r="B856" s="49">
        <f t="shared" si="170"/>
        <v>1.2433527802787245E-7</v>
      </c>
      <c r="C856" s="49">
        <f t="shared" si="170"/>
        <v>2.2672489678158384E-6</v>
      </c>
      <c r="D856" s="49">
        <f t="shared" si="170"/>
        <v>2.0548979420968705E-5</v>
      </c>
      <c r="E856" s="49">
        <f t="shared" si="170"/>
        <v>1.2347535008803897E-4</v>
      </c>
      <c r="F856" s="49">
        <f t="shared" si="170"/>
        <v>5.5364528387340857E-4</v>
      </c>
      <c r="G856" s="49">
        <f t="shared" si="170"/>
        <v>1.9770881671891489E-3</v>
      </c>
      <c r="H856" s="49">
        <f t="shared" si="170"/>
        <v>5.861348038526097E-3</v>
      </c>
      <c r="I856" s="49">
        <f t="shared" si="170"/>
        <v>1.4850755851913021E-2</v>
      </c>
      <c r="J856" s="49">
        <f t="shared" si="170"/>
        <v>3.2860773965558476E-2</v>
      </c>
      <c r="K856" s="49">
        <f t="shared" si="170"/>
        <v>6.4589065405366478E-2</v>
      </c>
      <c r="L856" s="49">
        <f t="shared" si="171"/>
        <v>0.11434815325381807</v>
      </c>
      <c r="M856" s="49">
        <f t="shared" si="171"/>
        <v>0.18451043116538032</v>
      </c>
      <c r="N856" s="49">
        <f t="shared" si="171"/>
        <v>0.27418948145418037</v>
      </c>
      <c r="O856" s="49">
        <f t="shared" si="171"/>
        <v>0.37880738021342314</v>
      </c>
      <c r="P856" s="49">
        <f t="shared" si="171"/>
        <v>0.49084657947030175</v>
      </c>
      <c r="Q856" s="49">
        <f t="shared" si="171"/>
        <v>0.60154644371007826</v>
      </c>
      <c r="R856" s="49">
        <f t="shared" si="171"/>
        <v>0.70289394475575806</v>
      </c>
      <c r="S856" s="49">
        <f t="shared" si="171"/>
        <v>0.78919329703256214</v>
      </c>
      <c r="T856" s="49">
        <f t="shared" si="171"/>
        <v>0.85776964667332534</v>
      </c>
      <c r="U856" s="49">
        <f t="shared" si="171"/>
        <v>0.90877232333109759</v>
      </c>
      <c r="V856" s="49">
        <f t="shared" si="171"/>
        <v>0.94436850865417621</v>
      </c>
      <c r="W856" s="47">
        <v>0.14699999999999999</v>
      </c>
    </row>
    <row r="857" spans="2:23" x14ac:dyDescent="0.25">
      <c r="B857" s="49">
        <f t="shared" si="170"/>
        <v>1.3979150526909534E-7</v>
      </c>
      <c r="C857" s="49">
        <f t="shared" si="170"/>
        <v>2.5299005930074306E-6</v>
      </c>
      <c r="D857" s="49">
        <f t="shared" si="170"/>
        <v>2.2758087658224552E-5</v>
      </c>
      <c r="E857" s="49">
        <f t="shared" si="170"/>
        <v>1.3573583695413022E-4</v>
      </c>
      <c r="F857" s="49">
        <f t="shared" si="170"/>
        <v>6.0415310333283183E-4</v>
      </c>
      <c r="G857" s="49">
        <f t="shared" si="170"/>
        <v>2.14181005132204E-3</v>
      </c>
      <c r="H857" s="49">
        <f t="shared" si="170"/>
        <v>6.3043099708570156E-3</v>
      </c>
      <c r="I857" s="49">
        <f t="shared" si="170"/>
        <v>1.5860913680835035E-2</v>
      </c>
      <c r="J857" s="49">
        <f t="shared" si="170"/>
        <v>3.4854770572247215E-2</v>
      </c>
      <c r="K857" s="49">
        <f t="shared" si="170"/>
        <v>6.8049734371711607E-2</v>
      </c>
      <c r="L857" s="49">
        <f t="shared" si="171"/>
        <v>0.11969427381919119</v>
      </c>
      <c r="M857" s="49">
        <f t="shared" si="171"/>
        <v>0.19193500740805464</v>
      </c>
      <c r="N857" s="49">
        <f t="shared" si="171"/>
        <v>0.28353510146913707</v>
      </c>
      <c r="O857" s="49">
        <f t="shared" si="171"/>
        <v>0.38954278590947267</v>
      </c>
      <c r="P857" s="49">
        <f t="shared" si="171"/>
        <v>0.50216596206414743</v>
      </c>
      <c r="Q857" s="49">
        <f t="shared" si="171"/>
        <v>0.61255635168165945</v>
      </c>
      <c r="R857" s="49">
        <f t="shared" si="171"/>
        <v>0.71281540726616011</v>
      </c>
      <c r="S857" s="49">
        <f t="shared" si="171"/>
        <v>0.79750781336205701</v>
      </c>
      <c r="T857" s="49">
        <f t="shared" si="171"/>
        <v>0.86427109151376302</v>
      </c>
      <c r="U857" s="49">
        <f t="shared" si="171"/>
        <v>0.91352975177703688</v>
      </c>
      <c r="V857" s="49">
        <f t="shared" si="171"/>
        <v>0.94763485807192893</v>
      </c>
      <c r="W857" s="47">
        <v>0.14599999999999999</v>
      </c>
    </row>
    <row r="858" spans="2:23" x14ac:dyDescent="0.25">
      <c r="B858" s="49">
        <f t="shared" si="170"/>
        <v>1.5714755882093188E-7</v>
      </c>
      <c r="C858" s="49">
        <f t="shared" si="170"/>
        <v>2.8224802990017388E-6</v>
      </c>
      <c r="D858" s="49">
        <f t="shared" si="170"/>
        <v>2.5199256011698102E-5</v>
      </c>
      <c r="E858" s="49">
        <f t="shared" si="170"/>
        <v>1.4917601716905792E-4</v>
      </c>
      <c r="F858" s="49">
        <f t="shared" si="170"/>
        <v>6.5907842947480057E-4</v>
      </c>
      <c r="G858" s="49">
        <f t="shared" si="170"/>
        <v>2.3195078245218485E-3</v>
      </c>
      <c r="H858" s="49">
        <f t="shared" si="170"/>
        <v>6.7783486273772916E-3</v>
      </c>
      <c r="I858" s="49">
        <f t="shared" si="170"/>
        <v>1.6933304943424654E-2</v>
      </c>
      <c r="J858" s="49">
        <f t="shared" si="170"/>
        <v>3.6954702114237778E-2</v>
      </c>
      <c r="K858" s="49">
        <f t="shared" si="170"/>
        <v>7.1665143744490969E-2</v>
      </c>
      <c r="L858" s="49">
        <f t="shared" si="171"/>
        <v>0.12523482382575801</v>
      </c>
      <c r="M858" s="49">
        <f t="shared" si="171"/>
        <v>0.19956813497870782</v>
      </c>
      <c r="N858" s="49">
        <f t="shared" si="171"/>
        <v>0.29306647955755982</v>
      </c>
      <c r="O858" s="49">
        <f t="shared" si="171"/>
        <v>0.40040411014683369</v>
      </c>
      <c r="P858" s="49">
        <f t="shared" si="171"/>
        <v>0.51352662842253649</v>
      </c>
      <c r="Q858" s="49">
        <f t="shared" si="171"/>
        <v>0.62351814259707861</v>
      </c>
      <c r="R858" s="49">
        <f t="shared" si="171"/>
        <v>0.72261459977905873</v>
      </c>
      <c r="S858" s="49">
        <f t="shared" si="171"/>
        <v>0.80565426274762886</v>
      </c>
      <c r="T858" s="49">
        <f t="shared" si="171"/>
        <v>0.87059023248549749</v>
      </c>
      <c r="U858" s="49">
        <f t="shared" si="171"/>
        <v>0.91811684140001903</v>
      </c>
      <c r="V858" s="49">
        <f t="shared" si="171"/>
        <v>0.95075909823243165</v>
      </c>
      <c r="W858" s="47">
        <v>0.14499999999999999</v>
      </c>
    </row>
    <row r="859" spans="2:23" x14ac:dyDescent="0.25">
      <c r="B859" s="49">
        <f t="shared" si="170"/>
        <v>1.766343163455715E-7</v>
      </c>
      <c r="C859" s="49">
        <f t="shared" si="170"/>
        <v>3.1483391306252491E-6</v>
      </c>
      <c r="D859" s="49">
        <f t="shared" si="170"/>
        <v>2.7896248491170168E-5</v>
      </c>
      <c r="E859" s="49">
        <f t="shared" si="170"/>
        <v>1.6390537502959191E-4</v>
      </c>
      <c r="F859" s="49">
        <f t="shared" si="170"/>
        <v>7.1878857009323384E-4</v>
      </c>
      <c r="G859" s="49">
        <f t="shared" si="170"/>
        <v>2.5111337093194704E-3</v>
      </c>
      <c r="H859" s="49">
        <f t="shared" si="170"/>
        <v>7.28543588157121E-3</v>
      </c>
      <c r="I859" s="49">
        <f t="shared" si="170"/>
        <v>1.8071243889318765E-2</v>
      </c>
      <c r="J859" s="49">
        <f t="shared" si="170"/>
        <v>3.9165085462781704E-2</v>
      </c>
      <c r="K859" s="49">
        <f t="shared" si="170"/>
        <v>7.5440141710829731E-2</v>
      </c>
      <c r="L859" s="49">
        <f t="shared" si="171"/>
        <v>0.13097346289534184</v>
      </c>
      <c r="M859" s="49">
        <f t="shared" si="171"/>
        <v>0.20741064987127944</v>
      </c>
      <c r="N859" s="49">
        <f t="shared" si="171"/>
        <v>0.302780641486466</v>
      </c>
      <c r="O859" s="49">
        <f t="shared" si="171"/>
        <v>0.41138479026119984</v>
      </c>
      <c r="P859" s="49">
        <f t="shared" si="171"/>
        <v>0.52491986452389683</v>
      </c>
      <c r="Q859" s="49">
        <f t="shared" si="171"/>
        <v>0.63442304156987284</v>
      </c>
      <c r="R859" s="49">
        <f t="shared" si="171"/>
        <v>0.73228461756886953</v>
      </c>
      <c r="S859" s="49">
        <f t="shared" si="171"/>
        <v>0.81362873971352656</v>
      </c>
      <c r="T859" s="49">
        <f t="shared" si="171"/>
        <v>0.87672628064797475</v>
      </c>
      <c r="U859" s="49">
        <f t="shared" si="171"/>
        <v>0.92253523929087156</v>
      </c>
      <c r="V859" s="49">
        <f t="shared" si="171"/>
        <v>0.95374426707465332</v>
      </c>
      <c r="W859" s="47">
        <v>0.14399999999999999</v>
      </c>
    </row>
    <row r="860" spans="2:23" x14ac:dyDescent="0.25">
      <c r="B860" s="49">
        <f t="shared" si="170"/>
        <v>1.9851039272793084E-7</v>
      </c>
      <c r="C860" s="49">
        <f t="shared" si="170"/>
        <v>3.5111964051030118E-6</v>
      </c>
      <c r="D860" s="49">
        <f t="shared" si="170"/>
        <v>3.0875194090956772E-5</v>
      </c>
      <c r="E860" s="49">
        <f t="shared" si="170"/>
        <v>1.800431316022146E-4</v>
      </c>
      <c r="F860" s="49">
        <f t="shared" si="170"/>
        <v>7.8367949438806967E-4</v>
      </c>
      <c r="G860" s="49">
        <f t="shared" si="170"/>
        <v>2.7177033860594519E-3</v>
      </c>
      <c r="H860" s="49">
        <f t="shared" si="170"/>
        <v>7.8276510120058353E-3</v>
      </c>
      <c r="I860" s="49">
        <f t="shared" si="170"/>
        <v>1.9278180471052071E-2</v>
      </c>
      <c r="J860" s="49">
        <f t="shared" si="170"/>
        <v>4.1490549629459694E-2</v>
      </c>
      <c r="K860" s="49">
        <f t="shared" si="170"/>
        <v>7.9379589475341489E-2</v>
      </c>
      <c r="L860" s="49">
        <f t="shared" si="171"/>
        <v>0.13691370462483113</v>
      </c>
      <c r="M860" s="49">
        <f t="shared" si="171"/>
        <v>0.21546308349288734</v>
      </c>
      <c r="N860" s="49">
        <f t="shared" si="171"/>
        <v>0.31267422774211873</v>
      </c>
      <c r="O860" s="49">
        <f t="shared" si="171"/>
        <v>0.42247792430520958</v>
      </c>
      <c r="P860" s="49">
        <f t="shared" si="171"/>
        <v>0.53633677889276676</v>
      </c>
      <c r="Q860" s="49">
        <f t="shared" si="171"/>
        <v>0.64526230893627745</v>
      </c>
      <c r="R860" s="49">
        <f t="shared" si="171"/>
        <v>0.74181877243849037</v>
      </c>
      <c r="S860" s="49">
        <f t="shared" si="171"/>
        <v>0.82142764766112686</v>
      </c>
      <c r="T860" s="49">
        <f t="shared" si="171"/>
        <v>0.88267874788812084</v>
      </c>
      <c r="U860" s="49">
        <f t="shared" si="171"/>
        <v>0.92678681341673941</v>
      </c>
      <c r="V860" s="49">
        <f t="shared" si="171"/>
        <v>0.95659351684119587</v>
      </c>
      <c r="W860" s="47">
        <v>0.14299999999999999</v>
      </c>
    </row>
    <row r="861" spans="2:23" x14ac:dyDescent="0.25">
      <c r="B861" s="49">
        <f t="shared" si="170"/>
        <v>2.2308710131969206E-7</v>
      </c>
      <c r="C861" s="49">
        <f t="shared" si="170"/>
        <v>3.9155344183500831E-6</v>
      </c>
      <c r="D861" s="49">
        <f t="shared" si="170"/>
        <v>3.4167694030710276E-5</v>
      </c>
      <c r="E861" s="49">
        <f t="shared" si="170"/>
        <v>1.9773447624292124E-4</v>
      </c>
      <c r="F861" s="49">
        <f t="shared" si="170"/>
        <v>8.5423909883282822E-4</v>
      </c>
      <c r="G861" s="49">
        <f t="shared" si="170"/>
        <v>2.9404921359119382E-3</v>
      </c>
      <c r="H861" s="49">
        <f t="shared" si="170"/>
        <v>8.4076841996870728E-3</v>
      </c>
      <c r="I861" s="49">
        <f t="shared" si="170"/>
        <v>2.0558800237409781E-2</v>
      </c>
      <c r="J861" s="49">
        <f t="shared" si="170"/>
        <v>4.393792145474093E-2</v>
      </c>
      <c r="K861" s="49">
        <f t="shared" si="170"/>
        <v>8.3491846200762401E-2</v>
      </c>
      <c r="L861" s="49">
        <f t="shared" si="171"/>
        <v>0.14306410765403393</v>
      </c>
      <c r="M861" s="49">
        <f t="shared" si="171"/>
        <v>0.22373262077733244</v>
      </c>
      <c r="N861" s="49">
        <f t="shared" si="171"/>
        <v>0.32275195068143053</v>
      </c>
      <c r="O861" s="49">
        <f t="shared" si="171"/>
        <v>0.43368565171112533</v>
      </c>
      <c r="P861" s="49">
        <f t="shared" si="171"/>
        <v>0.54777785003316259</v>
      </c>
      <c r="Q861" s="49">
        <f t="shared" si="171"/>
        <v>0.65603619875590247</v>
      </c>
      <c r="R861" s="49">
        <f t="shared" si="171"/>
        <v>0.75121837469046249</v>
      </c>
      <c r="S861" s="49">
        <f t="shared" si="171"/>
        <v>0.82905398053077883</v>
      </c>
      <c r="T861" s="49">
        <f t="shared" si="171"/>
        <v>0.88845217490470063</v>
      </c>
      <c r="U861" s="49">
        <f t="shared" si="171"/>
        <v>0.93087698135313757</v>
      </c>
      <c r="V861" s="49">
        <f t="shared" si="171"/>
        <v>0.95931231294605657</v>
      </c>
      <c r="W861" s="47">
        <v>0.14199999999999999</v>
      </c>
    </row>
    <row r="862" spans="2:23" x14ac:dyDescent="0.25">
      <c r="B862" s="49">
        <f t="shared" si="170"/>
        <v>2.5064811364711758E-7</v>
      </c>
      <c r="C862" s="49">
        <f t="shared" si="170"/>
        <v>4.365262248574444E-6</v>
      </c>
      <c r="D862" s="49">
        <f t="shared" si="170"/>
        <v>3.7799851920740944E-5</v>
      </c>
      <c r="E862" s="49">
        <f t="shared" si="170"/>
        <v>2.1709127549745209E-4</v>
      </c>
      <c r="F862" s="49">
        <f t="shared" si="170"/>
        <v>9.3080979710112751E-4</v>
      </c>
      <c r="G862" s="49">
        <f t="shared" si="170"/>
        <v>3.1802834792612109E-3</v>
      </c>
      <c r="H862" s="49">
        <f t="shared" si="170"/>
        <v>9.026878384027626E-3</v>
      </c>
      <c r="I862" s="49">
        <f t="shared" si="170"/>
        <v>2.1914701342598888E-2</v>
      </c>
      <c r="J862" s="49">
        <f t="shared" si="170"/>
        <v>4.6507971412838266E-2</v>
      </c>
      <c r="K862" s="49">
        <f t="shared" si="170"/>
        <v>8.7774920731890249E-2</v>
      </c>
      <c r="L862" s="49">
        <f t="shared" si="171"/>
        <v>0.14941760419325112</v>
      </c>
      <c r="M862" s="49">
        <f t="shared" si="171"/>
        <v>0.23220536798203967</v>
      </c>
      <c r="N862" s="49">
        <f t="shared" si="171"/>
        <v>0.33299287785877002</v>
      </c>
      <c r="O862" s="49">
        <f t="shared" si="171"/>
        <v>0.44498174458679718</v>
      </c>
      <c r="P862" s="49">
        <f t="shared" si="171"/>
        <v>0.55921482629246488</v>
      </c>
      <c r="Q862" s="49">
        <f t="shared" si="171"/>
        <v>0.66671815781734967</v>
      </c>
      <c r="R862" s="49">
        <f t="shared" si="171"/>
        <v>0.76046156104176077</v>
      </c>
      <c r="S862" s="49">
        <f t="shared" si="171"/>
        <v>0.83649207773401346</v>
      </c>
      <c r="T862" s="49">
        <f t="shared" si="171"/>
        <v>0.8940370522521992</v>
      </c>
      <c r="U862" s="49">
        <f t="shared" si="171"/>
        <v>0.93480121605516164</v>
      </c>
      <c r="V862" s="49">
        <f t="shared" si="171"/>
        <v>0.96189947930035691</v>
      </c>
      <c r="W862" s="47">
        <v>0.14099999999999999</v>
      </c>
    </row>
    <row r="863" spans="2:23" x14ac:dyDescent="0.25">
      <c r="B863" s="49">
        <f t="shared" ref="B863:K872" si="172">_xlfn.HYPGEOM.DIST(B$2,comau,tongtheN*$W863,tongtheN,TRUE)</f>
        <v>2.8154866546060249E-7</v>
      </c>
      <c r="C863" s="49">
        <f t="shared" si="172"/>
        <v>4.8653387574734403E-6</v>
      </c>
      <c r="D863" s="49">
        <f t="shared" si="172"/>
        <v>4.1805446933995154E-5</v>
      </c>
      <c r="E863" s="49">
        <f t="shared" si="172"/>
        <v>2.3826276923303959E-4</v>
      </c>
      <c r="F863" s="49">
        <f t="shared" si="172"/>
        <v>1.0138706152885892E-3</v>
      </c>
      <c r="G863" s="49">
        <f t="shared" si="172"/>
        <v>3.4382615248725163E-3</v>
      </c>
      <c r="H863" s="49">
        <f t="shared" si="172"/>
        <v>9.6875593180302966E-3</v>
      </c>
      <c r="I863" s="49">
        <f t="shared" si="172"/>
        <v>2.3349558225405825E-2</v>
      </c>
      <c r="J863" s="49">
        <f t="shared" si="172"/>
        <v>4.9205324554325879E-2</v>
      </c>
      <c r="K863" s="49">
        <f t="shared" si="172"/>
        <v>9.2233202931604599E-2</v>
      </c>
      <c r="L863" s="49">
        <f t="shared" ref="L863:V872" si="173">_xlfn.HYPGEOM.DIST(L$2,comau,tongtheN*$W863,tongtheN,TRUE)</f>
        <v>0.1559766461388071</v>
      </c>
      <c r="M863" s="49">
        <f t="shared" si="173"/>
        <v>0.24088032944571036</v>
      </c>
      <c r="N863" s="49">
        <f t="shared" si="173"/>
        <v>0.34339203846247324</v>
      </c>
      <c r="O863" s="49">
        <f t="shared" si="173"/>
        <v>0.45635809528636945</v>
      </c>
      <c r="P863" s="49">
        <f t="shared" si="173"/>
        <v>0.57063839120303828</v>
      </c>
      <c r="Q863" s="49">
        <f t="shared" si="173"/>
        <v>0.67729989736247642</v>
      </c>
      <c r="R863" s="49">
        <f t="shared" si="173"/>
        <v>0.76954276854436343</v>
      </c>
      <c r="S863" s="49">
        <f t="shared" si="173"/>
        <v>0.84373976556116215</v>
      </c>
      <c r="T863" s="49">
        <f t="shared" si="173"/>
        <v>0.89943423366378661</v>
      </c>
      <c r="U863" s="49">
        <f t="shared" si="173"/>
        <v>0.93856239593370538</v>
      </c>
      <c r="V863" s="49">
        <f t="shared" si="173"/>
        <v>0.96435876648216512</v>
      </c>
      <c r="W863" s="47">
        <v>0.14000000000000001</v>
      </c>
    </row>
    <row r="864" spans="2:23" x14ac:dyDescent="0.25">
      <c r="B864" s="49">
        <f t="shared" si="172"/>
        <v>3.1624663540620784E-7</v>
      </c>
      <c r="C864" s="49">
        <f t="shared" si="172"/>
        <v>5.4222274432609497E-6</v>
      </c>
      <c r="D864" s="49">
        <f t="shared" si="172"/>
        <v>4.6229222679049639E-5</v>
      </c>
      <c r="E864" s="49">
        <f t="shared" si="172"/>
        <v>2.6145121853400535E-4</v>
      </c>
      <c r="F864" s="49">
        <f t="shared" si="172"/>
        <v>1.104092224312236E-3</v>
      </c>
      <c r="G864" s="49">
        <f t="shared" si="172"/>
        <v>3.7161632767569322E-3</v>
      </c>
      <c r="H864" s="49">
        <f t="shared" si="172"/>
        <v>1.0393380194041495E-2</v>
      </c>
      <c r="I864" s="49">
        <f t="shared" si="172"/>
        <v>2.486977498306784E-2</v>
      </c>
      <c r="J864" s="49">
        <f t="shared" si="172"/>
        <v>5.2039514544696873E-2</v>
      </c>
      <c r="K864" s="49">
        <f t="shared" si="172"/>
        <v>9.687892199117569E-2</v>
      </c>
      <c r="L864" s="49">
        <f t="shared" si="173"/>
        <v>0.16275493463977198</v>
      </c>
      <c r="M864" s="49">
        <f t="shared" si="173"/>
        <v>0.24977114221522742</v>
      </c>
      <c r="N864" s="49">
        <f t="shared" si="173"/>
        <v>0.3539618314331695</v>
      </c>
      <c r="O864" s="49">
        <f t="shared" si="173"/>
        <v>0.4678255086620749</v>
      </c>
      <c r="P864" s="49">
        <f t="shared" si="173"/>
        <v>0.5820581904001485</v>
      </c>
      <c r="Q864" s="49">
        <f t="shared" si="173"/>
        <v>0.68779068786961317</v>
      </c>
      <c r="R864" s="49">
        <f t="shared" si="173"/>
        <v>0.77847148631019247</v>
      </c>
      <c r="S864" s="49">
        <f t="shared" si="173"/>
        <v>0.85080683470206009</v>
      </c>
      <c r="T864" s="49">
        <f t="shared" si="173"/>
        <v>0.90465340144359074</v>
      </c>
      <c r="U864" s="49">
        <f t="shared" si="173"/>
        <v>0.94216945076054925</v>
      </c>
      <c r="V864" s="49">
        <f t="shared" si="173"/>
        <v>0.96669777766892739</v>
      </c>
      <c r="W864" s="47">
        <v>0.13900000000000001</v>
      </c>
    </row>
    <row r="865" spans="2:23" x14ac:dyDescent="0.25">
      <c r="B865" s="49">
        <f t="shared" si="172"/>
        <v>3.551728537138098E-7</v>
      </c>
      <c r="C865" s="49">
        <f t="shared" si="172"/>
        <v>6.0417790326701111E-6</v>
      </c>
      <c r="D865" s="49">
        <f t="shared" si="172"/>
        <v>5.1109821715691978E-5</v>
      </c>
      <c r="E865" s="49">
        <f t="shared" si="172"/>
        <v>2.8682134846619024E-4</v>
      </c>
      <c r="F865" s="49">
        <f t="shared" si="172"/>
        <v>1.2019809157801321E-3</v>
      </c>
      <c r="G865" s="49">
        <f t="shared" si="172"/>
        <v>4.0151722502619856E-3</v>
      </c>
      <c r="H865" s="49">
        <f t="shared" si="172"/>
        <v>1.1146490223889475E-2</v>
      </c>
      <c r="I865" s="49">
        <f t="shared" si="172"/>
        <v>2.6478346797744242E-2</v>
      </c>
      <c r="J865" s="49">
        <f t="shared" si="172"/>
        <v>5.5013473143570683E-2</v>
      </c>
      <c r="K865" s="49">
        <f t="shared" si="172"/>
        <v>0.10171318119889468</v>
      </c>
      <c r="L865" s="49">
        <f t="shared" si="173"/>
        <v>0.16974961838403371</v>
      </c>
      <c r="M865" s="49">
        <f t="shared" si="173"/>
        <v>0.25886944852953286</v>
      </c>
      <c r="N865" s="49">
        <f t="shared" si="173"/>
        <v>0.36468829689626769</v>
      </c>
      <c r="O865" s="49">
        <f t="shared" si="173"/>
        <v>0.4793660639652072</v>
      </c>
      <c r="P865" s="49">
        <f t="shared" si="173"/>
        <v>0.59345519696688975</v>
      </c>
      <c r="Q865" s="49">
        <f t="shared" si="173"/>
        <v>0.69817342002534954</v>
      </c>
      <c r="R865" s="49">
        <f t="shared" si="173"/>
        <v>0.78723470497335235</v>
      </c>
      <c r="S865" s="49">
        <f t="shared" si="173"/>
        <v>0.85768519661485276</v>
      </c>
      <c r="T865" s="49">
        <f t="shared" si="173"/>
        <v>0.90969093651465838</v>
      </c>
      <c r="U865" s="49">
        <f t="shared" si="173"/>
        <v>0.94562200668461893</v>
      </c>
      <c r="V865" s="49">
        <f t="shared" si="173"/>
        <v>0.96891797432107585</v>
      </c>
      <c r="W865" s="47">
        <v>0.13800000000000001</v>
      </c>
    </row>
    <row r="866" spans="2:23" x14ac:dyDescent="0.25">
      <c r="B866" s="49">
        <f t="shared" si="172"/>
        <v>3.9883674398958635E-7</v>
      </c>
      <c r="C866" s="49">
        <f t="shared" si="172"/>
        <v>6.7309176122734495E-6</v>
      </c>
      <c r="D866" s="49">
        <f t="shared" si="172"/>
        <v>5.6493152984023035E-5</v>
      </c>
      <c r="E866" s="49">
        <f t="shared" si="172"/>
        <v>3.1457049096154027E-4</v>
      </c>
      <c r="F866" s="49">
        <f t="shared" si="172"/>
        <v>1.308152503381221E-3</v>
      </c>
      <c r="G866" s="49">
        <f t="shared" si="172"/>
        <v>4.3367669895149783E-3</v>
      </c>
      <c r="H866" s="49">
        <f t="shared" si="172"/>
        <v>1.1949705728732963E-2</v>
      </c>
      <c r="I866" s="49">
        <f t="shared" si="172"/>
        <v>2.8179576893697215E-2</v>
      </c>
      <c r="J866" s="49">
        <f t="shared" si="172"/>
        <v>5.8132409292051712E-2</v>
      </c>
      <c r="K866" s="49">
        <f t="shared" si="172"/>
        <v>0.10674066262167946</v>
      </c>
      <c r="L866" s="49">
        <f t="shared" si="173"/>
        <v>0.17696297848083012</v>
      </c>
      <c r="M866" s="49">
        <f t="shared" si="173"/>
        <v>0.26817364955554296</v>
      </c>
      <c r="N866" s="49">
        <f t="shared" si="173"/>
        <v>0.37556567395585488</v>
      </c>
      <c r="O866" s="49">
        <f t="shared" si="173"/>
        <v>0.49097101406831906</v>
      </c>
      <c r="P866" s="49">
        <f t="shared" si="173"/>
        <v>0.60481985594925303</v>
      </c>
      <c r="Q866" s="49">
        <f t="shared" si="173"/>
        <v>0.70844001223501407</v>
      </c>
      <c r="R866" s="49">
        <f t="shared" si="173"/>
        <v>0.79582735995815268</v>
      </c>
      <c r="S866" s="49">
        <f t="shared" si="173"/>
        <v>0.86437322065451194</v>
      </c>
      <c r="T866" s="49">
        <f t="shared" si="173"/>
        <v>0.91454806927909305</v>
      </c>
      <c r="U866" s="49">
        <f t="shared" si="173"/>
        <v>0.94892305374590458</v>
      </c>
      <c r="V866" s="49">
        <f t="shared" si="173"/>
        <v>0.9710229716640888</v>
      </c>
      <c r="W866" s="47">
        <v>0.13700000000000001</v>
      </c>
    </row>
    <row r="867" spans="2:23" x14ac:dyDescent="0.25">
      <c r="B867" s="49">
        <f t="shared" si="172"/>
        <v>4.4780840559765059E-7</v>
      </c>
      <c r="C867" s="49">
        <f t="shared" si="172"/>
        <v>7.4973175498481657E-6</v>
      </c>
      <c r="D867" s="49">
        <f t="shared" si="172"/>
        <v>6.2429598687736317E-5</v>
      </c>
      <c r="E867" s="49">
        <f t="shared" si="172"/>
        <v>3.4491299874857913E-4</v>
      </c>
      <c r="F867" s="49">
        <f t="shared" si="172"/>
        <v>1.4232687815114813E-3</v>
      </c>
      <c r="G867" s="49">
        <f t="shared" si="172"/>
        <v>4.6825183522345524E-3</v>
      </c>
      <c r="H867" s="49">
        <f t="shared" si="172"/>
        <v>1.2805981384978732E-2</v>
      </c>
      <c r="I867" s="49">
        <f t="shared" si="172"/>
        <v>2.9977914115878808E-2</v>
      </c>
      <c r="J867" s="49">
        <f t="shared" si="172"/>
        <v>6.140160662238732E-2</v>
      </c>
      <c r="K867" s="49">
        <f t="shared" si="172"/>
        <v>0.11196596845627552</v>
      </c>
      <c r="L867" s="49">
        <f t="shared" si="173"/>
        <v>0.18439702808289213</v>
      </c>
      <c r="M867" s="49">
        <f t="shared" si="173"/>
        <v>0.27768174518272137</v>
      </c>
      <c r="N867" s="49">
        <f t="shared" si="173"/>
        <v>0.38658779729696552</v>
      </c>
      <c r="O867" s="49">
        <f t="shared" si="173"/>
        <v>0.50263134834969836</v>
      </c>
      <c r="P867" s="49">
        <f t="shared" si="173"/>
        <v>0.61614257640920833</v>
      </c>
      <c r="Q867" s="49">
        <f t="shared" si="173"/>
        <v>0.71858256686253519</v>
      </c>
      <c r="R867" s="49">
        <f t="shared" si="173"/>
        <v>0.80424470435852724</v>
      </c>
      <c r="S867" s="49">
        <f t="shared" si="173"/>
        <v>0.87086961291983822</v>
      </c>
      <c r="T867" s="49">
        <f t="shared" si="173"/>
        <v>0.91922629416788904</v>
      </c>
      <c r="U867" s="49">
        <f t="shared" si="173"/>
        <v>0.95207573130016532</v>
      </c>
      <c r="V867" s="49">
        <f t="shared" si="173"/>
        <v>0.97301642522211385</v>
      </c>
      <c r="W867" s="47">
        <v>0.13600000000000001</v>
      </c>
    </row>
    <row r="868" spans="2:23" x14ac:dyDescent="0.25">
      <c r="B868" s="49">
        <f t="shared" si="172"/>
        <v>5.0272575736315809E-7</v>
      </c>
      <c r="C868" s="49">
        <f t="shared" si="172"/>
        <v>8.3494830774574636E-6</v>
      </c>
      <c r="D868" s="49">
        <f t="shared" si="172"/>
        <v>6.8974434696539365E-5</v>
      </c>
      <c r="E868" s="49">
        <f t="shared" si="172"/>
        <v>3.7808162789090388E-4</v>
      </c>
      <c r="F868" s="49">
        <f t="shared" si="172"/>
        <v>1.5480406230539967E-3</v>
      </c>
      <c r="G868" s="49">
        <f t="shared" si="172"/>
        <v>5.0540942654436665E-3</v>
      </c>
      <c r="H868" s="49">
        <f t="shared" si="172"/>
        <v>1.3718414570123993E-2</v>
      </c>
      <c r="I868" s="49">
        <f t="shared" si="172"/>
        <v>3.1877952800568155E-2</v>
      </c>
      <c r="J868" s="49">
        <f t="shared" si="172"/>
        <v>6.4826415130621096E-2</v>
      </c>
      <c r="K868" s="49">
        <f t="shared" si="172"/>
        <v>0.11739360470748908</v>
      </c>
      <c r="L868" s="49">
        <f t="shared" si="173"/>
        <v>0.19205349392851209</v>
      </c>
      <c r="M868" s="49">
        <f t="shared" si="173"/>
        <v>0.28739132250412858</v>
      </c>
      <c r="N868" s="49">
        <f t="shared" si="173"/>
        <v>0.39774809943295852</v>
      </c>
      <c r="O868" s="49">
        <f t="shared" si="173"/>
        <v>0.51433780879283886</v>
      </c>
      <c r="P868" s="49">
        <f t="shared" si="173"/>
        <v>0.62741375458114246</v>
      </c>
      <c r="Q868" s="49">
        <f t="shared" si="173"/>
        <v>0.72859339088944008</v>
      </c>
      <c r="R868" s="49">
        <f t="shared" si="173"/>
        <v>0.81248231999888709</v>
      </c>
      <c r="S868" s="49">
        <f t="shared" si="173"/>
        <v>0.87717341598308018</v>
      </c>
      <c r="T868" s="49">
        <f t="shared" si="173"/>
        <v>0.92372736112812659</v>
      </c>
      <c r="U868" s="49">
        <f t="shared" si="173"/>
        <v>0.95508331643179634</v>
      </c>
      <c r="V868" s="49">
        <f t="shared" si="173"/>
        <v>0.97490202060357967</v>
      </c>
      <c r="W868" s="47">
        <v>0.13500000000000001</v>
      </c>
    </row>
    <row r="869" spans="2:23" x14ac:dyDescent="0.25">
      <c r="B869" s="49">
        <f t="shared" si="172"/>
        <v>5.6430251257417351E-7</v>
      </c>
      <c r="C869" s="49">
        <f t="shared" si="172"/>
        <v>9.2968361182513194E-6</v>
      </c>
      <c r="D869" s="49">
        <f t="shared" si="172"/>
        <v>7.6188288764223046E-5</v>
      </c>
      <c r="E869" s="49">
        <f t="shared" si="172"/>
        <v>4.1432902381857863E-4</v>
      </c>
      <c r="F869" s="49">
        <f t="shared" si="172"/>
        <v>1.6832312535592739E-3</v>
      </c>
      <c r="G869" s="49">
        <f t="shared" si="172"/>
        <v>5.4532646345179063E-3</v>
      </c>
      <c r="H869" s="49">
        <f t="shared" si="172"/>
        <v>1.4690249626371098E-2</v>
      </c>
      <c r="I869" s="49">
        <f t="shared" si="172"/>
        <v>3.3884432143436782E-2</v>
      </c>
      <c r="J869" s="49">
        <f t="shared" si="172"/>
        <v>6.8412242007809584E-2</v>
      </c>
      <c r="K869" s="49">
        <f t="shared" si="172"/>
        <v>0.12302796412503035</v>
      </c>
      <c r="L869" s="49">
        <f t="shared" si="173"/>
        <v>0.19993379780197007</v>
      </c>
      <c r="M869" s="49">
        <f t="shared" si="173"/>
        <v>0.29729954512412254</v>
      </c>
      <c r="N869" s="49">
        <f t="shared" si="173"/>
        <v>0.40903961436996078</v>
      </c>
      <c r="O869" s="49">
        <f t="shared" si="173"/>
        <v>0.52608090737978763</v>
      </c>
      <c r="P869" s="49">
        <f t="shared" si="173"/>
        <v>0.63862379755819776</v>
      </c>
      <c r="Q869" s="49">
        <f t="shared" si="173"/>
        <v>0.73846501616309479</v>
      </c>
      <c r="R869" s="49">
        <f t="shared" si="173"/>
        <v>0.82053612746936522</v>
      </c>
      <c r="S869" s="49">
        <f t="shared" si="173"/>
        <v>0.88328400753102188</v>
      </c>
      <c r="T869" s="49">
        <f t="shared" si="173"/>
        <v>0.92805326639586361</v>
      </c>
      <c r="U869" s="49">
        <f t="shared" si="173"/>
        <v>0.95794921217007878</v>
      </c>
      <c r="V869" s="49">
        <f t="shared" si="173"/>
        <v>0.97668346349136292</v>
      </c>
      <c r="W869" s="47">
        <v>0.13400000000000001</v>
      </c>
    </row>
    <row r="870" spans="2:23" x14ac:dyDescent="0.25">
      <c r="B870" s="49">
        <f t="shared" si="172"/>
        <v>6.3333708088472864E-7</v>
      </c>
      <c r="C870" s="49">
        <f t="shared" si="172"/>
        <v>1.0349813188203963E-5</v>
      </c>
      <c r="D870" s="49">
        <f t="shared" si="172"/>
        <v>8.4137639778440184E-5</v>
      </c>
      <c r="E870" s="49">
        <f t="shared" si="172"/>
        <v>4.5392931768976528E-4</v>
      </c>
      <c r="F870" s="49">
        <f t="shared" si="172"/>
        <v>1.8296597086866651E-3</v>
      </c>
      <c r="G870" s="49">
        <f t="shared" si="172"/>
        <v>5.8819064013831066E-3</v>
      </c>
      <c r="H870" s="49">
        <f t="shared" si="172"/>
        <v>1.5724882015847277E-2</v>
      </c>
      <c r="I870" s="49">
        <f t="shared" si="172"/>
        <v>3.600223502252025E-2</v>
      </c>
      <c r="J870" s="49">
        <f t="shared" si="172"/>
        <v>7.2164541600312382E-2</v>
      </c>
      <c r="K870" s="49">
        <f t="shared" si="172"/>
        <v>0.12887330841707276</v>
      </c>
      <c r="L870" s="49">
        <f t="shared" si="173"/>
        <v>0.20803903798420931</v>
      </c>
      <c r="M870" s="49">
        <f t="shared" si="173"/>
        <v>0.30740314338116637</v>
      </c>
      <c r="N870" s="49">
        <f t="shared" si="173"/>
        <v>0.42045498273651755</v>
      </c>
      <c r="O870" s="49">
        <f t="shared" si="173"/>
        <v>0.53785094475325179</v>
      </c>
      <c r="P870" s="49">
        <f t="shared" si="173"/>
        <v>0.6497631474262423</v>
      </c>
      <c r="Q870" s="49">
        <f t="shared" si="173"/>
        <v>0.74819021914435391</v>
      </c>
      <c r="R870" s="49">
        <f t="shared" si="173"/>
        <v>0.82840239508485292</v>
      </c>
      <c r="S870" s="49">
        <f t="shared" si="173"/>
        <v>0.88920109792165514</v>
      </c>
      <c r="T870" s="49">
        <f t="shared" si="173"/>
        <v>0.93220624259690688</v>
      </c>
      <c r="U870" s="49">
        <f t="shared" si="173"/>
        <v>0.96067693555897016</v>
      </c>
      <c r="V870" s="49">
        <f t="shared" si="173"/>
        <v>0.97836446987244585</v>
      </c>
      <c r="W870" s="47">
        <v>0.13300000000000001</v>
      </c>
    </row>
    <row r="871" spans="2:23" x14ac:dyDescent="0.25">
      <c r="B871" s="49">
        <f t="shared" si="172"/>
        <v>7.1072250358601395E-7</v>
      </c>
      <c r="C871" s="49">
        <f t="shared" si="172"/>
        <v>1.1519972285201682E-5</v>
      </c>
      <c r="D871" s="49">
        <f t="shared" si="172"/>
        <v>9.2895361511365234E-5</v>
      </c>
      <c r="E871" s="49">
        <f t="shared" si="172"/>
        <v>4.9717984027564013E-4</v>
      </c>
      <c r="F871" s="49">
        <f t="shared" si="172"/>
        <v>1.9882044816918174E-3</v>
      </c>
      <c r="G871" s="49">
        <f t="shared" si="172"/>
        <v>6.3420087464372615E-3</v>
      </c>
      <c r="H871" s="49">
        <f t="shared" si="172"/>
        <v>1.6825862339033635E-2</v>
      </c>
      <c r="I871" s="49">
        <f t="shared" si="172"/>
        <v>3.8236386232213128E-2</v>
      </c>
      <c r="J871" s="49">
        <f t="shared" si="172"/>
        <v>7.6088804471457813E-2</v>
      </c>
      <c r="K871" s="49">
        <f t="shared" si="172"/>
        <v>0.13493374976366079</v>
      </c>
      <c r="L871" s="49">
        <f t="shared" si="173"/>
        <v>0.21636997077063555</v>
      </c>
      <c r="M871" s="49">
        <f t="shared" si="173"/>
        <v>0.31769840557497564</v>
      </c>
      <c r="N871" s="49">
        <f t="shared" si="173"/>
        <v>0.43198645842186134</v>
      </c>
      <c r="O871" s="49">
        <f t="shared" si="173"/>
        <v>0.54963803011534262</v>
      </c>
      <c r="P871" s="49">
        <f t="shared" si="173"/>
        <v>0.66082230575815815</v>
      </c>
      <c r="Q871" s="49">
        <f t="shared" si="173"/>
        <v>0.75776204006499892</v>
      </c>
      <c r="R871" s="49">
        <f t="shared" si="173"/>
        <v>0.83607774672157309</v>
      </c>
      <c r="S871" s="49">
        <f t="shared" si="173"/>
        <v>0.89492472666581457</v>
      </c>
      <c r="T871" s="49">
        <f t="shared" si="173"/>
        <v>0.93618874822079556</v>
      </c>
      <c r="U871" s="49">
        <f t="shared" si="173"/>
        <v>0.96327010563078153</v>
      </c>
      <c r="V871" s="49">
        <f t="shared" si="173"/>
        <v>0.97994875654022295</v>
      </c>
      <c r="W871" s="47">
        <v>0.13200000000000001</v>
      </c>
    </row>
    <row r="872" spans="2:23" x14ac:dyDescent="0.25">
      <c r="B872" s="49">
        <f t="shared" si="172"/>
        <v>7.9745754079706745E-7</v>
      </c>
      <c r="C872" s="49">
        <f t="shared" si="172"/>
        <v>1.2820110766726599E-5</v>
      </c>
      <c r="D872" s="49">
        <f t="shared" si="172"/>
        <v>1.0254131461107839E-4</v>
      </c>
      <c r="E872" s="49">
        <f t="shared" si="172"/>
        <v>5.4440296092474389E-4</v>
      </c>
      <c r="F872" s="49">
        <f t="shared" si="172"/>
        <v>2.1598073676188383E-3</v>
      </c>
      <c r="G872" s="49">
        <f t="shared" si="172"/>
        <v>6.8356784274122831E-3</v>
      </c>
      <c r="H872" s="49">
        <f t="shared" si="172"/>
        <v>1.7996900185703102E-2</v>
      </c>
      <c r="I872" s="49">
        <f t="shared" si="172"/>
        <v>4.0592050083152691E-2</v>
      </c>
      <c r="J872" s="49">
        <f t="shared" si="172"/>
        <v>8.0190545538995947E-2</v>
      </c>
      <c r="K872" s="49">
        <f t="shared" si="172"/>
        <v>0.1412132316584033</v>
      </c>
      <c r="L872" s="49">
        <f t="shared" si="173"/>
        <v>0.22492699213786696</v>
      </c>
      <c r="M872" s="49">
        <f t="shared" si="173"/>
        <v>0.3281811702875535</v>
      </c>
      <c r="N872" s="49">
        <f t="shared" si="173"/>
        <v>0.44362591676087132</v>
      </c>
      <c r="O872" s="49">
        <f t="shared" si="173"/>
        <v>0.56143210232317964</v>
      </c>
      <c r="P872" s="49">
        <f t="shared" si="173"/>
        <v>0.67179185837657762</v>
      </c>
      <c r="Q872" s="49">
        <f t="shared" si="173"/>
        <v>0.76717380140612645</v>
      </c>
      <c r="R872" s="49">
        <f t="shared" si="173"/>
        <v>0.84355916848974777</v>
      </c>
      <c r="S872" s="49">
        <f t="shared" si="173"/>
        <v>0.90045525784840552</v>
      </c>
      <c r="T872" s="49">
        <f t="shared" si="173"/>
        <v>0.94000345651626305</v>
      </c>
      <c r="U872" s="49">
        <f t="shared" si="173"/>
        <v>0.96573243133401909</v>
      </c>
      <c r="V872" s="49">
        <f t="shared" si="173"/>
        <v>0.98144003190067242</v>
      </c>
      <c r="W872" s="47">
        <v>0.13100000000000001</v>
      </c>
    </row>
    <row r="873" spans="2:23" x14ac:dyDescent="0.25">
      <c r="B873" s="49">
        <f t="shared" ref="B873:K882" si="174">_xlfn.HYPGEOM.DIST(B$2,comau,tongtheN*$W873,tongtheN,TRUE)</f>
        <v>8.9465904256605207E-7</v>
      </c>
      <c r="C873" s="49">
        <f t="shared" si="174"/>
        <v>1.4264395314521366E-5</v>
      </c>
      <c r="D873" s="49">
        <f t="shared" si="174"/>
        <v>1.1316299086285216E-4</v>
      </c>
      <c r="E873" s="49">
        <f t="shared" si="174"/>
        <v>5.9594805953243433E-4</v>
      </c>
      <c r="F873" s="49">
        <f t="shared" si="174"/>
        <v>2.3454775106728585E-3</v>
      </c>
      <c r="G873" s="49">
        <f t="shared" si="174"/>
        <v>7.3651452469074025E-3</v>
      </c>
      <c r="H873" s="49">
        <f t="shared" si="174"/>
        <v>1.9241867785274761E-2</v>
      </c>
      <c r="I873" s="49">
        <f t="shared" si="174"/>
        <v>4.307452732173684E-2</v>
      </c>
      <c r="J873" s="49">
        <f t="shared" si="174"/>
        <v>8.4475291265211028E-2</v>
      </c>
      <c r="K873" s="49">
        <f t="shared" si="174"/>
        <v>0.14771550911247605</v>
      </c>
      <c r="L873" s="49">
        <f t="shared" ref="L873:V882" si="175">_xlfn.HYPGEOM.DIST(L$2,comau,tongtheN*$W873,tongtheN,TRUE)</f>
        <v>0.23371011964608002</v>
      </c>
      <c r="M873" s="49">
        <f t="shared" si="175"/>
        <v>0.33884681988744791</v>
      </c>
      <c r="N873" s="49">
        <f t="shared" si="175"/>
        <v>0.45536486429808815</v>
      </c>
      <c r="O873" s="49">
        <f t="shared" si="175"/>
        <v>0.57322295213420016</v>
      </c>
      <c r="P873" s="49">
        <f t="shared" si="175"/>
        <v>0.68266250028898645</v>
      </c>
      <c r="Q873" s="49">
        <f t="shared" si="175"/>
        <v>0.77641912560992621</v>
      </c>
      <c r="R873" s="49">
        <f t="shared" si="175"/>
        <v>0.85084401420599065</v>
      </c>
      <c r="S873" s="49">
        <f t="shared" si="175"/>
        <v>0.90579337450912023</v>
      </c>
      <c r="T873" s="49">
        <f t="shared" si="175"/>
        <v>0.9436532438590931</v>
      </c>
      <c r="U873" s="49">
        <f t="shared" si="175"/>
        <v>0.96806769946530724</v>
      </c>
      <c r="V873" s="49">
        <f t="shared" si="175"/>
        <v>0.98284198711153248</v>
      </c>
      <c r="W873" s="47">
        <v>0.13</v>
      </c>
    </row>
    <row r="874" spans="2:23" x14ac:dyDescent="0.25">
      <c r="B874" s="49">
        <f t="shared" si="174"/>
        <v>1.0035757508181836E-6</v>
      </c>
      <c r="C874" s="49">
        <f t="shared" si="174"/>
        <v>1.5868505190810576E-5</v>
      </c>
      <c r="D874" s="49">
        <f t="shared" si="174"/>
        <v>1.2485621405834609E-4</v>
      </c>
      <c r="E874" s="49">
        <f t="shared" si="174"/>
        <v>6.5219363981546289E-4</v>
      </c>
      <c r="F874" s="49">
        <f t="shared" si="174"/>
        <v>2.5462956610037089E-3</v>
      </c>
      <c r="G874" s="49">
        <f t="shared" si="174"/>
        <v>7.9327676387088951E-3</v>
      </c>
      <c r="H874" s="49">
        <f t="shared" si="174"/>
        <v>2.0564803421035192E-2</v>
      </c>
      <c r="I874" s="49">
        <f t="shared" si="174"/>
        <v>4.5689251322078003E-2</v>
      </c>
      <c r="J874" s="49">
        <f t="shared" si="174"/>
        <v>8.8948565879400018E-2</v>
      </c>
      <c r="K874" s="49">
        <f t="shared" si="174"/>
        <v>0.15444412826082932</v>
      </c>
      <c r="L874" s="49">
        <f t="shared" si="175"/>
        <v>0.24271897466830089</v>
      </c>
      <c r="M874" s="49">
        <f t="shared" si="175"/>
        <v>0.34969027530588714</v>
      </c>
      <c r="N874" s="49">
        <f t="shared" si="175"/>
        <v>0.46719445015675076</v>
      </c>
      <c r="O874" s="49">
        <f t="shared" si="175"/>
        <v>0.58500024554624808</v>
      </c>
      <c r="P874" s="49">
        <f t="shared" si="175"/>
        <v>0.69342506069512266</v>
      </c>
      <c r="Q874" s="49">
        <f t="shared" si="175"/>
        <v>0.78549195193908616</v>
      </c>
      <c r="R874" s="49">
        <f t="shared" si="175"/>
        <v>0.85793000963445953</v>
      </c>
      <c r="S874" s="49">
        <f t="shared" si="175"/>
        <v>0.91094007200771487</v>
      </c>
      <c r="T874" s="49">
        <f t="shared" si="175"/>
        <v>0.94714117764568073</v>
      </c>
      <c r="U874" s="49">
        <f t="shared" si="175"/>
        <v>0.97027976265466853</v>
      </c>
      <c r="V874" s="49">
        <f t="shared" si="175"/>
        <v>0.98415828758139345</v>
      </c>
      <c r="W874" s="47">
        <v>0.129</v>
      </c>
    </row>
    <row r="875" spans="2:23" x14ac:dyDescent="0.25">
      <c r="B875" s="49">
        <f t="shared" si="174"/>
        <v>1.1256036957036267E-6</v>
      </c>
      <c r="C875" s="49">
        <f t="shared" si="174"/>
        <v>1.7649790106696018E-5</v>
      </c>
      <c r="D875" s="49">
        <f t="shared" si="174"/>
        <v>1.3772590214015297E-4</v>
      </c>
      <c r="E875" s="49">
        <f t="shared" si="174"/>
        <v>7.1354959256866119E-4</v>
      </c>
      <c r="F875" s="49">
        <f t="shared" si="174"/>
        <v>2.7634186468154455E-3</v>
      </c>
      <c r="G875" s="49">
        <f t="shared" si="174"/>
        <v>8.5410383612552314E-3</v>
      </c>
      <c r="H875" s="49">
        <f t="shared" si="174"/>
        <v>2.1969914570149709E-2</v>
      </c>
      <c r="I875" s="49">
        <f t="shared" si="174"/>
        <v>4.8441783502406452E-2</v>
      </c>
      <c r="J875" s="49">
        <f t="shared" si="174"/>
        <v>9.3615876615623178E-2</v>
      </c>
      <c r="K875" s="49">
        <f t="shared" si="174"/>
        <v>0.16140240541659626</v>
      </c>
      <c r="L875" s="49">
        <f t="shared" si="175"/>
        <v>0.25195276504246089</v>
      </c>
      <c r="M875" s="49">
        <f t="shared" si="175"/>
        <v>0.36070599217215815</v>
      </c>
      <c r="N875" s="49">
        <f t="shared" si="175"/>
        <v>0.47910547903207168</v>
      </c>
      <c r="O875" s="49">
        <f t="shared" si="175"/>
        <v>0.59675354816993376</v>
      </c>
      <c r="P875" s="49">
        <f t="shared" si="175"/>
        <v>0.70407052796327452</v>
      </c>
      <c r="Q875" s="49">
        <f t="shared" si="175"/>
        <v>0.79438655240043188</v>
      </c>
      <c r="R875" s="49">
        <f t="shared" si="175"/>
        <v>0.86481525547151505</v>
      </c>
      <c r="S875" s="49">
        <f t="shared" si="175"/>
        <v>0.91589665040403789</v>
      </c>
      <c r="T875" s="49">
        <f t="shared" si="175"/>
        <v>0.95047050376768993</v>
      </c>
      <c r="U875" s="49">
        <f t="shared" si="175"/>
        <v>0.97237252745254177</v>
      </c>
      <c r="V875" s="49">
        <f t="shared" si="175"/>
        <v>0.98539256485328952</v>
      </c>
      <c r="W875" s="47">
        <v>0.128</v>
      </c>
    </row>
    <row r="876" spans="2:23" x14ac:dyDescent="0.25">
      <c r="B876" s="49">
        <f t="shared" si="174"/>
        <v>1.2623033683723327E-6</v>
      </c>
      <c r="C876" s="49">
        <f t="shared" si="174"/>
        <v>1.9627444150094121E-5</v>
      </c>
      <c r="D876" s="49">
        <f t="shared" si="174"/>
        <v>1.5188689564010031E-4</v>
      </c>
      <c r="E876" s="49">
        <f t="shared" si="174"/>
        <v>7.8045961795880821E-4</v>
      </c>
      <c r="F876" s="49">
        <f t="shared" si="174"/>
        <v>2.9980840673238794E-3</v>
      </c>
      <c r="G876" s="49">
        <f t="shared" si="174"/>
        <v>9.1925902847074976E-3</v>
      </c>
      <c r="H876" s="49">
        <f t="shared" si="174"/>
        <v>2.3461580728807867E-2</v>
      </c>
      <c r="I876" s="49">
        <f t="shared" si="174"/>
        <v>5.1337807917387492E-2</v>
      </c>
      <c r="J876" s="49">
        <f t="shared" si="174"/>
        <v>9.8482697952270493E-2</v>
      </c>
      <c r="K876" s="49">
        <f t="shared" si="174"/>
        <v>0.16859340562606515</v>
      </c>
      <c r="L876" s="49">
        <f t="shared" si="175"/>
        <v>0.26141026824634223</v>
      </c>
      <c r="M876" s="49">
        <f t="shared" si="175"/>
        <v>0.37188795839369376</v>
      </c>
      <c r="N876" s="49">
        <f t="shared" si="175"/>
        <v>0.49108842582063417</v>
      </c>
      <c r="O876" s="49">
        <f t="shared" si="175"/>
        <v>0.60847235056300997</v>
      </c>
      <c r="P876" s="49">
        <f t="shared" si="175"/>
        <v>0.71459007446900635</v>
      </c>
      <c r="Q876" s="49">
        <f t="shared" si="175"/>
        <v>0.80309754665234656</v>
      </c>
      <c r="R876" s="49">
        <f t="shared" si="175"/>
        <v>0.87149822905457064</v>
      </c>
      <c r="S876" s="49">
        <f t="shared" si="175"/>
        <v>0.92066470588800375</v>
      </c>
      <c r="T876" s="49">
        <f t="shared" si="175"/>
        <v>0.95364463372497099</v>
      </c>
      <c r="U876" s="49">
        <f t="shared" si="175"/>
        <v>0.97434994256572138</v>
      </c>
      <c r="V876" s="49">
        <f t="shared" si="175"/>
        <v>0.98654840889493012</v>
      </c>
      <c r="W876" s="47">
        <v>0.127</v>
      </c>
    </row>
    <row r="877" spans="2:23" x14ac:dyDescent="0.25">
      <c r="B877" s="49">
        <f t="shared" si="174"/>
        <v>1.4154188727385656E-6</v>
      </c>
      <c r="C877" s="49">
        <f t="shared" si="174"/>
        <v>2.1822697358986914E-5</v>
      </c>
      <c r="D877" s="49">
        <f t="shared" si="174"/>
        <v>1.6746485780322359E-4</v>
      </c>
      <c r="E877" s="49">
        <f t="shared" si="174"/>
        <v>8.5340381628656544E-4</v>
      </c>
      <c r="F877" s="49">
        <f t="shared" si="174"/>
        <v>3.2516152116047895E-3</v>
      </c>
      <c r="G877" s="49">
        <f t="shared" si="174"/>
        <v>9.8902022560352562E-3</v>
      </c>
      <c r="H877" s="49">
        <f t="shared" si="174"/>
        <v>2.5044355879223087E-2</v>
      </c>
      <c r="I877" s="49">
        <f t="shared" si="174"/>
        <v>5.4383124977469076E-2</v>
      </c>
      <c r="J877" s="49">
        <f t="shared" si="174"/>
        <v>0.10355445484398315</v>
      </c>
      <c r="K877" s="49">
        <f t="shared" si="174"/>
        <v>0.17601992078314871</v>
      </c>
      <c r="L877" s="49">
        <f t="shared" si="175"/>
        <v>0.27108981519948677</v>
      </c>
      <c r="M877" s="49">
        <f t="shared" si="175"/>
        <v>0.38322969326386891</v>
      </c>
      <c r="N877" s="49">
        <f t="shared" si="175"/>
        <v>0.50313345189001701</v>
      </c>
      <c r="O877" s="49">
        <f t="shared" si="175"/>
        <v>0.62014609444896429</v>
      </c>
      <c r="P877" s="49">
        <f t="shared" si="175"/>
        <v>0.72497508118746179</v>
      </c>
      <c r="Q877" s="49">
        <f t="shared" si="175"/>
        <v>0.81161991581892501</v>
      </c>
      <c r="R877" s="49">
        <f t="shared" si="175"/>
        <v>0.87797778478198341</v>
      </c>
      <c r="S877" s="49">
        <f t="shared" si="175"/>
        <v>0.925246121299513</v>
      </c>
      <c r="T877" s="49">
        <f t="shared" si="175"/>
        <v>0.95666713143535731</v>
      </c>
      <c r="U877" s="49">
        <f t="shared" si="175"/>
        <v>0.97621598728798298</v>
      </c>
      <c r="V877" s="49">
        <f t="shared" si="175"/>
        <v>0.98762936081519359</v>
      </c>
      <c r="W877" s="47">
        <v>0.126</v>
      </c>
    </row>
    <row r="878" spans="2:23" x14ac:dyDescent="0.25">
      <c r="B878" s="49">
        <f t="shared" si="174"/>
        <v>1.5868992816225756E-6</v>
      </c>
      <c r="C878" s="49">
        <f t="shared" si="174"/>
        <v>2.4259026676813735E-5</v>
      </c>
      <c r="D878" s="49">
        <f t="shared" si="174"/>
        <v>1.8459725218642178E-4</v>
      </c>
      <c r="E878" s="49">
        <f t="shared" si="174"/>
        <v>9.3290145701901029E-4</v>
      </c>
      <c r="F878" s="49">
        <f t="shared" si="174"/>
        <v>3.5254262078034818E-3</v>
      </c>
      <c r="G878" s="49">
        <f t="shared" si="174"/>
        <v>1.0636805024323511E-2</v>
      </c>
      <c r="H878" s="49">
        <f t="shared" si="174"/>
        <v>2.6722970552550511E-2</v>
      </c>
      <c r="I878" s="49">
        <f t="shared" si="174"/>
        <v>5.7583644246321758E-2</v>
      </c>
      <c r="J878" s="49">
        <f t="shared" si="174"/>
        <v>0.108836504940965</v>
      </c>
      <c r="K878" s="49">
        <f t="shared" si="174"/>
        <v>0.18368444736905548</v>
      </c>
      <c r="L878" s="49">
        <f t="shared" si="175"/>
        <v>0.28098927479984437</v>
      </c>
      <c r="M878" s="49">
        <f t="shared" si="175"/>
        <v>0.39472424817732371</v>
      </c>
      <c r="N878" s="49">
        <f t="shared" si="175"/>
        <v>0.51523042298454624</v>
      </c>
      <c r="O878" s="49">
        <f t="shared" si="175"/>
        <v>0.63176419973445608</v>
      </c>
      <c r="P878" s="49">
        <f t="shared" si="175"/>
        <v>0.73521716192842024</v>
      </c>
      <c r="Q878" s="49">
        <f t="shared" si="175"/>
        <v>0.81994901513784912</v>
      </c>
      <c r="R878" s="49">
        <f t="shared" si="175"/>
        <v>0.884253153237193</v>
      </c>
      <c r="S878" s="49">
        <f t="shared" si="175"/>
        <v>0.92964305578299866</v>
      </c>
      <c r="T878" s="49">
        <f t="shared" si="175"/>
        <v>0.95954169980105952</v>
      </c>
      <c r="U878" s="49">
        <f t="shared" si="175"/>
        <v>0.97797466016946</v>
      </c>
      <c r="V878" s="49">
        <f t="shared" si="175"/>
        <v>0.9886389060239088</v>
      </c>
      <c r="W878" s="47">
        <v>0.125</v>
      </c>
    </row>
    <row r="879" spans="2:23" x14ac:dyDescent="0.25">
      <c r="B879" s="49">
        <f t="shared" si="174"/>
        <v>1.7789224480226843E-6</v>
      </c>
      <c r="C879" s="49">
        <f t="shared" si="174"/>
        <v>2.6962388191635982E-5</v>
      </c>
      <c r="D879" s="49">
        <f t="shared" si="174"/>
        <v>2.0343440394234559E-4</v>
      </c>
      <c r="E879" s="49">
        <f t="shared" si="174"/>
        <v>1.0195139362584231E-3</v>
      </c>
      <c r="F879" s="49">
        <f t="shared" si="174"/>
        <v>3.8210274064986068E-3</v>
      </c>
      <c r="G879" s="49">
        <f t="shared" si="174"/>
        <v>1.1435487206140826E-2</v>
      </c>
      <c r="H879" s="49">
        <f t="shared" si="174"/>
        <v>2.8502333439114704E-2</v>
      </c>
      <c r="I879" s="49">
        <f t="shared" si="174"/>
        <v>6.094537626764495E-2</v>
      </c>
      <c r="J879" s="49">
        <f t="shared" si="174"/>
        <v>0.11433411979559993</v>
      </c>
      <c r="K879" s="49">
        <f t="shared" si="174"/>
        <v>0.19158916388977498</v>
      </c>
      <c r="L879" s="49">
        <f t="shared" si="175"/>
        <v>0.29110603930617279</v>
      </c>
      <c r="M879" s="49">
        <f t="shared" si="175"/>
        <v>0.40636420902879922</v>
      </c>
      <c r="N879" s="49">
        <f t="shared" si="175"/>
        <v>0.52736892875439279</v>
      </c>
      <c r="O879" s="49">
        <f t="shared" si="175"/>
        <v>0.64331609223296193</v>
      </c>
      <c r="P879" s="49">
        <f t="shared" si="175"/>
        <v>0.74530818710198621</v>
      </c>
      <c r="Q879" s="49">
        <f t="shared" si="175"/>
        <v>0.82808058537351781</v>
      </c>
      <c r="R879" s="49">
        <f t="shared" si="175"/>
        <v>0.89032393901684403</v>
      </c>
      <c r="S879" s="49">
        <f t="shared" si="175"/>
        <v>0.93385793362568181</v>
      </c>
      <c r="T879" s="49">
        <f t="shared" si="175"/>
        <v>0.96227216709215257</v>
      </c>
      <c r="U879" s="49">
        <f t="shared" si="175"/>
        <v>0.97962996796691448</v>
      </c>
      <c r="V879" s="49">
        <f t="shared" si="175"/>
        <v>0.98958046784931541</v>
      </c>
      <c r="W879" s="47">
        <v>0.124</v>
      </c>
    </row>
    <row r="880" spans="2:23" x14ac:dyDescent="0.25">
      <c r="B880" s="49">
        <f t="shared" si="174"/>
        <v>1.9939215504578087E-6</v>
      </c>
      <c r="C880" s="49">
        <f t="shared" si="174"/>
        <v>2.9961472740428414E-5</v>
      </c>
      <c r="D880" s="49">
        <f t="shared" si="174"/>
        <v>2.2414065144614221E-4</v>
      </c>
      <c r="E880" s="49">
        <f t="shared" si="174"/>
        <v>1.1138479331648642E-3</v>
      </c>
      <c r="F880" s="49">
        <f t="shared" si="174"/>
        <v>4.1400310012241776E-3</v>
      </c>
      <c r="G880" s="49">
        <f t="shared" si="174"/>
        <v>1.2289501268280776E-2</v>
      </c>
      <c r="H880" s="49">
        <f t="shared" si="174"/>
        <v>3.0387532494668537E-2</v>
      </c>
      <c r="I880" s="49">
        <f t="shared" si="174"/>
        <v>6.447442337317015E-2</v>
      </c>
      <c r="J880" s="49">
        <f t="shared" si="174"/>
        <v>0.12005246506165988</v>
      </c>
      <c r="K880" s="49">
        <f t="shared" si="174"/>
        <v>0.1997359080910848</v>
      </c>
      <c r="L880" s="49">
        <f t="shared" si="175"/>
        <v>0.30143701068007317</v>
      </c>
      <c r="M880" s="49">
        <f t="shared" si="175"/>
        <v>0.4181417003669366</v>
      </c>
      <c r="N880" s="49">
        <f t="shared" si="175"/>
        <v>0.53953830388624058</v>
      </c>
      <c r="O880" s="49">
        <f t="shared" si="175"/>
        <v>0.65479123199488143</v>
      </c>
      <c r="P880" s="49">
        <f t="shared" si="175"/>
        <v>0.7552403069021113</v>
      </c>
      <c r="Q880" s="49">
        <f t="shared" si="175"/>
        <v>0.83601076293199073</v>
      </c>
      <c r="R880" s="49">
        <f t="shared" si="175"/>
        <v>0.89619011726919962</v>
      </c>
      <c r="S880" s="49">
        <f t="shared" si="175"/>
        <v>0.93789343233279532</v>
      </c>
      <c r="T880" s="49">
        <f t="shared" si="175"/>
        <v>0.96486247320803664</v>
      </c>
      <c r="U880" s="49">
        <f t="shared" si="175"/>
        <v>0.98118591491489604</v>
      </c>
      <c r="V880" s="49">
        <f t="shared" si="175"/>
        <v>0.9904574016249148</v>
      </c>
      <c r="W880" s="47">
        <v>0.123</v>
      </c>
    </row>
    <row r="881" spans="2:23" x14ac:dyDescent="0.25">
      <c r="B881" s="49">
        <f t="shared" si="174"/>
        <v>2.234614682637415E-6</v>
      </c>
      <c r="C881" s="49">
        <f t="shared" si="174"/>
        <v>3.3287987155764455E-5</v>
      </c>
      <c r="D881" s="49">
        <f t="shared" si="174"/>
        <v>2.4689559539601451E-4</v>
      </c>
      <c r="E881" s="49">
        <f t="shared" si="174"/>
        <v>1.2165587761853395E-3</v>
      </c>
      <c r="F881" s="49">
        <f t="shared" si="174"/>
        <v>4.4841568882398241E-3</v>
      </c>
      <c r="G881" s="49">
        <f t="shared" si="174"/>
        <v>1.3202269502491046E-2</v>
      </c>
      <c r="H881" s="49">
        <f t="shared" si="174"/>
        <v>3.2383835488749298E-2</v>
      </c>
      <c r="I881" s="49">
        <f t="shared" si="174"/>
        <v>6.8176969424570591E-2</v>
      </c>
      <c r="J881" s="49">
        <f t="shared" si="174"/>
        <v>0.12599657969720249</v>
      </c>
      <c r="K881" s="49">
        <f t="shared" si="174"/>
        <v>0.20812615403790286</v>
      </c>
      <c r="L881" s="49">
        <f t="shared" si="175"/>
        <v>0.31197858800389761</v>
      </c>
      <c r="M881" s="49">
        <f t="shared" si="175"/>
        <v>0.43004839136923279</v>
      </c>
      <c r="N881" s="49">
        <f t="shared" si="175"/>
        <v>0.55172765080429675</v>
      </c>
      <c r="O881" s="49">
        <f t="shared" si="175"/>
        <v>0.66617914213749763</v>
      </c>
      <c r="P881" s="49">
        <f t="shared" si="175"/>
        <v>0.76500597379503299</v>
      </c>
      <c r="Q881" s="49">
        <f t="shared" si="175"/>
        <v>0.84373608861989613</v>
      </c>
      <c r="R881" s="49">
        <f t="shared" si="175"/>
        <v>0.90185202895588679</v>
      </c>
      <c r="S881" s="49">
        <f t="shared" si="175"/>
        <v>0.94175246999693318</v>
      </c>
      <c r="T881" s="49">
        <f t="shared" si="175"/>
        <v>0.96731665587782845</v>
      </c>
      <c r="U881" s="49">
        <f t="shared" si="175"/>
        <v>0.98264649235541646</v>
      </c>
      <c r="V881" s="49">
        <f t="shared" si="175"/>
        <v>0.99127298925473939</v>
      </c>
      <c r="W881" s="47">
        <v>0.122</v>
      </c>
    </row>
    <row r="882" spans="2:23" x14ac:dyDescent="0.25">
      <c r="B882" s="49">
        <f t="shared" si="174"/>
        <v>2.5040378325074745E-6</v>
      </c>
      <c r="C882" s="49">
        <f t="shared" si="174"/>
        <v>3.69769636456135E-5</v>
      </c>
      <c r="D882" s="49">
        <f t="shared" si="174"/>
        <v>2.7189545301919065E-4</v>
      </c>
      <c r="E882" s="49">
        <f t="shared" si="174"/>
        <v>1.3283540302573128E-3</v>
      </c>
      <c r="F882" s="49">
        <f t="shared" si="174"/>
        <v>4.8552387665924679E-3</v>
      </c>
      <c r="G882" s="49">
        <f t="shared" si="174"/>
        <v>1.4177389963938566E-2</v>
      </c>
      <c r="H882" s="49">
        <f t="shared" si="174"/>
        <v>3.4496689938587552E-2</v>
      </c>
      <c r="I882" s="49">
        <f t="shared" si="174"/>
        <v>7.2059268443302266E-2</v>
      </c>
      <c r="J882" s="49">
        <f t="shared" si="174"/>
        <v>0.13217135418855824</v>
      </c>
      <c r="K882" s="49">
        <f t="shared" si="174"/>
        <v>0.21676098915204195</v>
      </c>
      <c r="L882" s="49">
        <f t="shared" si="175"/>
        <v>0.32272665609257395</v>
      </c>
      <c r="M882" s="49">
        <f t="shared" si="175"/>
        <v>0.44207550369836052</v>
      </c>
      <c r="N882" s="49">
        <f t="shared" si="175"/>
        <v>0.56392586390081745</v>
      </c>
      <c r="O882" s="49">
        <f t="shared" si="175"/>
        <v>0.67746943806178817</v>
      </c>
      <c r="P882" s="49">
        <f t="shared" si="175"/>
        <v>0.77459796420040383</v>
      </c>
      <c r="Q882" s="49">
        <f t="shared" si="175"/>
        <v>0.85125351499549373</v>
      </c>
      <c r="R882" s="49">
        <f t="shared" si="175"/>
        <v>0.9073103748566882</v>
      </c>
      <c r="S882" s="49">
        <f t="shared" si="175"/>
        <v>0.94543819202221557</v>
      </c>
      <c r="T882" s="49">
        <f t="shared" si="175"/>
        <v>0.9696388368603015</v>
      </c>
      <c r="U882" s="49">
        <f t="shared" si="175"/>
        <v>0.98401566876122037</v>
      </c>
      <c r="V882" s="49">
        <f t="shared" si="175"/>
        <v>0.99203043426338178</v>
      </c>
      <c r="W882" s="47">
        <v>0.121</v>
      </c>
    </row>
    <row r="883" spans="2:23" x14ac:dyDescent="0.25">
      <c r="B883" s="49">
        <f t="shared" ref="B883:K892" si="176">_xlfn.HYPGEOM.DIST(B$2,comau,tongtheN*$W883,tongtheN,TRUE)</f>
        <v>2.8055816343667436E-6</v>
      </c>
      <c r="C883" s="49">
        <f t="shared" si="176"/>
        <v>4.1067100029444524E-5</v>
      </c>
      <c r="D883" s="49">
        <f t="shared" si="176"/>
        <v>2.9935452554332299E-4</v>
      </c>
      <c r="E883" s="49">
        <f t="shared" si="176"/>
        <v>1.4499973164424972E-3</v>
      </c>
      <c r="F883" s="49">
        <f t="shared" si="176"/>
        <v>5.2552304783179014E-3</v>
      </c>
      <c r="G883" s="49">
        <f t="shared" si="176"/>
        <v>1.5218642342118442E-2</v>
      </c>
      <c r="H883" s="49">
        <f t="shared" si="176"/>
        <v>3.6731722369468686E-2</v>
      </c>
      <c r="I883" s="49">
        <f t="shared" si="176"/>
        <v>7.6127632084065713E-2</v>
      </c>
      <c r="J883" s="49">
        <f t="shared" si="176"/>
        <v>0.13858150781953021</v>
      </c>
      <c r="K883" s="49">
        <f t="shared" si="176"/>
        <v>0.22564109130961524</v>
      </c>
      <c r="L883" s="49">
        <f t="shared" ref="L883:V892" si="177">_xlfn.HYPGEOM.DIST(L$2,comau,tongtheN*$W883,tongtheN,TRUE)</f>
        <v>0.33367657541860057</v>
      </c>
      <c r="M883" s="49">
        <f t="shared" si="177"/>
        <v>0.45421382129329951</v>
      </c>
      <c r="N883" s="49">
        <f t="shared" si="177"/>
        <v>0.57612165524524306</v>
      </c>
      <c r="O883" s="49">
        <f t="shared" si="177"/>
        <v>0.68865185693700459</v>
      </c>
      <c r="P883" s="49">
        <f t="shared" si="177"/>
        <v>0.78400939925418645</v>
      </c>
      <c r="Q883" s="49">
        <f t="shared" si="177"/>
        <v>0.85856041226660151</v>
      </c>
      <c r="R883" s="49">
        <f t="shared" si="177"/>
        <v>0.91256620834379587</v>
      </c>
      <c r="S883" s="49">
        <f t="shared" si="177"/>
        <v>0.94895395726723364</v>
      </c>
      <c r="T883" s="49">
        <f t="shared" si="177"/>
        <v>0.97183320820334318</v>
      </c>
      <c r="U883" s="49">
        <f t="shared" si="177"/>
        <v>0.98529738018499602</v>
      </c>
      <c r="V883" s="49">
        <f t="shared" si="177"/>
        <v>0.9927328573344637</v>
      </c>
      <c r="W883" s="47">
        <v>0.12</v>
      </c>
    </row>
    <row r="884" spans="2:23" x14ac:dyDescent="0.25">
      <c r="B884" s="49">
        <f t="shared" si="176"/>
        <v>3.1430323206707935E-6</v>
      </c>
      <c r="C884" s="49">
        <f t="shared" si="176"/>
        <v>4.5601133806885513E-5</v>
      </c>
      <c r="D884" s="49">
        <f t="shared" si="176"/>
        <v>3.2950678765053743E-4</v>
      </c>
      <c r="E884" s="49">
        <f t="shared" si="176"/>
        <v>1.5823123757031218E-3</v>
      </c>
      <c r="F884" s="49">
        <f t="shared" si="176"/>
        <v>5.6862125872818919E-3</v>
      </c>
      <c r="G884" s="49">
        <f t="shared" si="176"/>
        <v>1.6329993729705786E-2</v>
      </c>
      <c r="H884" s="49">
        <f t="shared" si="176"/>
        <v>3.9094736839996119E-2</v>
      </c>
      <c r="I884" s="49">
        <f t="shared" si="176"/>
        <v>8.0388415909777619E-2</v>
      </c>
      <c r="J884" s="49">
        <f t="shared" si="176"/>
        <v>0.14523156501720672</v>
      </c>
      <c r="K884" s="49">
        <f t="shared" si="176"/>
        <v>0.23476670610651706</v>
      </c>
      <c r="L884" s="49">
        <f t="shared" si="177"/>
        <v>0.34482317347006602</v>
      </c>
      <c r="M884" s="49">
        <f t="shared" si="177"/>
        <v>0.46645370214128057</v>
      </c>
      <c r="N884" s="49">
        <f t="shared" si="177"/>
        <v>0.58830358171101138</v>
      </c>
      <c r="O884" s="49">
        <f t="shared" si="177"/>
        <v>0.69971628732833979</v>
      </c>
      <c r="P884" s="49">
        <f t="shared" si="177"/>
        <v>0.7932337645444324</v>
      </c>
      <c r="Q884" s="49">
        <f t="shared" si="177"/>
        <v>0.86565457269698787</v>
      </c>
      <c r="R884" s="49">
        <f t="shared" si="177"/>
        <v>0.91762092695856645</v>
      </c>
      <c r="S884" s="49">
        <f t="shared" si="177"/>
        <v>0.95230332367353621</v>
      </c>
      <c r="T884" s="49">
        <f t="shared" si="177"/>
        <v>0.97390401862185272</v>
      </c>
      <c r="U884" s="49">
        <f t="shared" si="177"/>
        <v>0.98649552116399353</v>
      </c>
      <c r="V884" s="49">
        <f t="shared" si="177"/>
        <v>0.99338329233860101</v>
      </c>
      <c r="W884" s="47">
        <v>0.11899999999999999</v>
      </c>
    </row>
    <row r="885" spans="2:23" x14ac:dyDescent="0.25">
      <c r="B885" s="49">
        <f t="shared" si="176"/>
        <v>3.5206173478085634E-6</v>
      </c>
      <c r="C885" s="49">
        <f t="shared" si="176"/>
        <v>5.0626253310516131E-5</v>
      </c>
      <c r="D885" s="49">
        <f t="shared" si="176"/>
        <v>3.6260760821755762E-4</v>
      </c>
      <c r="E885" s="49">
        <f t="shared" si="176"/>
        <v>1.7261873887493631E-3</v>
      </c>
      <c r="F885" s="49">
        <f t="shared" si="176"/>
        <v>6.1503991936381931E-3</v>
      </c>
      <c r="G885" s="49">
        <f t="shared" si="176"/>
        <v>1.751560425146248E-2</v>
      </c>
      <c r="H885" s="49">
        <f t="shared" si="176"/>
        <v>4.1591712668349261E-2</v>
      </c>
      <c r="I885" s="49">
        <f t="shared" si="176"/>
        <v>8.4848004428542095E-2</v>
      </c>
      <c r="J885" s="49">
        <f t="shared" si="176"/>
        <v>0.15212583081340514</v>
      </c>
      <c r="K885" s="49">
        <f t="shared" si="176"/>
        <v>0.24413762440746961</v>
      </c>
      <c r="L885" s="49">
        <f t="shared" si="177"/>
        <v>0.35616073766131151</v>
      </c>
      <c r="M885" s="49">
        <f t="shared" si="177"/>
        <v>0.4787850920683045</v>
      </c>
      <c r="N885" s="49">
        <f t="shared" si="177"/>
        <v>0.60046007344869567</v>
      </c>
      <c r="O885" s="49">
        <f t="shared" si="177"/>
        <v>0.71065279883802479</v>
      </c>
      <c r="P885" s="49">
        <f t="shared" si="177"/>
        <v>0.80226492871386024</v>
      </c>
      <c r="Q885" s="49">
        <f t="shared" si="177"/>
        <v>0.87253421349023275</v>
      </c>
      <c r="R885" s="49">
        <f t="shared" si="177"/>
        <v>0.92247626283031225</v>
      </c>
      <c r="S885" s="49">
        <f t="shared" si="177"/>
        <v>0.95549003344893058</v>
      </c>
      <c r="T885" s="49">
        <f t="shared" si="177"/>
        <v>0.97585556005163365</v>
      </c>
      <c r="U885" s="49">
        <f t="shared" si="177"/>
        <v>0.9876139361064924</v>
      </c>
      <c r="V885" s="49">
        <f t="shared" si="177"/>
        <v>0.99398468284935193</v>
      </c>
      <c r="W885" s="47">
        <v>0.11799999999999999</v>
      </c>
    </row>
    <row r="886" spans="2:23" x14ac:dyDescent="0.25">
      <c r="B886" s="49">
        <f t="shared" si="176"/>
        <v>3.9430562230657752E-6</v>
      </c>
      <c r="C886" s="49">
        <f t="shared" si="176"/>
        <v>5.6194549493807035E-5</v>
      </c>
      <c r="D886" s="49">
        <f t="shared" si="176"/>
        <v>3.9893561226110754E-4</v>
      </c>
      <c r="E886" s="49">
        <f t="shared" si="176"/>
        <v>1.8825795640572374E-3</v>
      </c>
      <c r="F886" s="49">
        <f t="shared" si="176"/>
        <v>6.6501449791785865E-3</v>
      </c>
      <c r="G886" s="49">
        <f t="shared" si="176"/>
        <v>1.8779832511762705E-2</v>
      </c>
      <c r="H886" s="49">
        <f t="shared" si="176"/>
        <v>4.4228801293444704E-2</v>
      </c>
      <c r="I886" s="49">
        <f t="shared" si="176"/>
        <v>8.9512794856318148E-2</v>
      </c>
      <c r="J886" s="49">
        <f t="shared" si="176"/>
        <v>0.15926836546896814</v>
      </c>
      <c r="K886" s="49">
        <f t="shared" si="176"/>
        <v>0.25375316030103023</v>
      </c>
      <c r="L886" s="49">
        <f t="shared" si="177"/>
        <v>0.36768300991503694</v>
      </c>
      <c r="M886" s="49">
        <f t="shared" si="177"/>
        <v>0.4911975405769925</v>
      </c>
      <c r="N886" s="49">
        <f t="shared" si="177"/>
        <v>0.61257946362379878</v>
      </c>
      <c r="O886" s="49">
        <f t="shared" si="177"/>
        <v>0.7214516716256858</v>
      </c>
      <c r="P886" s="49">
        <f t="shared" si="177"/>
        <v>0.81109716082667827</v>
      </c>
      <c r="Q886" s="49">
        <f t="shared" si="177"/>
        <v>0.87919797812764211</v>
      </c>
      <c r="R886" s="49">
        <f t="shared" si="177"/>
        <v>0.92713427198302356</v>
      </c>
      <c r="S886" s="49">
        <f t="shared" si="177"/>
        <v>0.95851799787687508</v>
      </c>
      <c r="T886" s="49">
        <f t="shared" si="177"/>
        <v>0.97769215443511848</v>
      </c>
      <c r="U886" s="49">
        <f t="shared" si="177"/>
        <v>0.98865641118343472</v>
      </c>
      <c r="V886" s="49">
        <f t="shared" si="177"/>
        <v>0.99453987914314368</v>
      </c>
      <c r="W886" s="47">
        <v>0.11700000000000001</v>
      </c>
    </row>
    <row r="887" spans="2:23" x14ac:dyDescent="0.25">
      <c r="B887" s="49">
        <f t="shared" si="176"/>
        <v>4.415617118755928E-6</v>
      </c>
      <c r="C887" s="49">
        <f t="shared" si="176"/>
        <v>6.2363512230651408E-5</v>
      </c>
      <c r="D887" s="49">
        <f t="shared" si="176"/>
        <v>4.3879469465342246E-4</v>
      </c>
      <c r="E887" s="49">
        <f t="shared" si="176"/>
        <v>2.0525200062711871E-3</v>
      </c>
      <c r="F887" s="49">
        <f t="shared" si="176"/>
        <v>7.1879524769515426E-3</v>
      </c>
      <c r="G887" s="49">
        <f t="shared" si="176"/>
        <v>2.0127240815580403E-2</v>
      </c>
      <c r="H887" s="49">
        <f t="shared" si="176"/>
        <v>4.7012322202893482E-2</v>
      </c>
      <c r="I887" s="49">
        <f t="shared" si="176"/>
        <v>9.4389179572663018E-2</v>
      </c>
      <c r="J887" s="49">
        <f t="shared" si="176"/>
        <v>0.16666295831666395</v>
      </c>
      <c r="K887" s="49">
        <f t="shared" si="176"/>
        <v>0.26361212958963426</v>
      </c>
      <c r="L887" s="49">
        <f t="shared" si="177"/>
        <v>0.37938318303286384</v>
      </c>
      <c r="M887" s="49">
        <f t="shared" si="177"/>
        <v>0.50368021875090385</v>
      </c>
      <c r="N887" s="49">
        <f t="shared" si="177"/>
        <v>0.62465001932712583</v>
      </c>
      <c r="O887" s="49">
        <f t="shared" si="177"/>
        <v>0.73210342567006603</v>
      </c>
      <c r="P887" s="49">
        <f t="shared" si="177"/>
        <v>0.81972514640136696</v>
      </c>
      <c r="Q887" s="49">
        <f t="shared" si="177"/>
        <v>0.88564493614487705</v>
      </c>
      <c r="R887" s="49">
        <f t="shared" si="177"/>
        <v>0.93159732258203909</v>
      </c>
      <c r="S887" s="49">
        <f t="shared" si="177"/>
        <v>0.9613912818248731</v>
      </c>
      <c r="T887" s="49">
        <f t="shared" si="177"/>
        <v>0.9794181407927034</v>
      </c>
      <c r="U887" s="49">
        <f t="shared" si="177"/>
        <v>0.98962666674531174</v>
      </c>
      <c r="V887" s="49">
        <f t="shared" si="177"/>
        <v>0.99505163567676436</v>
      </c>
      <c r="W887" s="47">
        <v>0.11600000000000001</v>
      </c>
    </row>
    <row r="888" spans="2:23" x14ac:dyDescent="0.25">
      <c r="B888" s="49">
        <f t="shared" si="176"/>
        <v>4.9441799247382837E-6</v>
      </c>
      <c r="C888" s="49">
        <f t="shared" si="176"/>
        <v>6.9196575356504701E-5</v>
      </c>
      <c r="D888" s="49">
        <f t="shared" si="176"/>
        <v>4.8251619684777495E-4</v>
      </c>
      <c r="E888" s="49">
        <f t="shared" si="176"/>
        <v>2.2371188772564768E-3</v>
      </c>
      <c r="F888" s="49">
        <f t="shared" si="176"/>
        <v>7.7664795564165116E-3</v>
      </c>
      <c r="G888" s="49">
        <f t="shared" si="176"/>
        <v>2.1562600113907208E-2</v>
      </c>
      <c r="H888" s="49">
        <f t="shared" si="176"/>
        <v>4.9948757857850266E-2</v>
      </c>
      <c r="I888" s="49">
        <f t="shared" si="176"/>
        <v>9.9483527241268938E-2</v>
      </c>
      <c r="J888" s="49">
        <f t="shared" si="176"/>
        <v>0.17431310088747037</v>
      </c>
      <c r="K888" s="49">
        <f t="shared" si="176"/>
        <v>0.27371282895016769</v>
      </c>
      <c r="L888" s="49">
        <f t="shared" si="177"/>
        <v>0.39125389896872403</v>
      </c>
      <c r="M888" s="49">
        <f t="shared" si="177"/>
        <v>0.51622193923399395</v>
      </c>
      <c r="N888" s="49">
        <f t="shared" si="177"/>
        <v>0.63665997355530957</v>
      </c>
      <c r="O888" s="49">
        <f t="shared" si="177"/>
        <v>0.74259884963112388</v>
      </c>
      <c r="P888" s="49">
        <f t="shared" si="177"/>
        <v>0.82814400201616778</v>
      </c>
      <c r="Q888" s="49">
        <f t="shared" si="177"/>
        <v>0.89187458134013986</v>
      </c>
      <c r="R888" s="49">
        <f t="shared" si="177"/>
        <v>0.93586808217857431</v>
      </c>
      <c r="S888" s="49">
        <f t="shared" si="177"/>
        <v>0.9641140880259359</v>
      </c>
      <c r="T888" s="49">
        <f t="shared" si="177"/>
        <v>0.98103786263112214</v>
      </c>
      <c r="U888" s="49">
        <f t="shared" si="177"/>
        <v>0.99052835028111019</v>
      </c>
      <c r="V888" s="49">
        <f t="shared" si="177"/>
        <v>0.99552260903370349</v>
      </c>
      <c r="W888" s="47">
        <v>0.115</v>
      </c>
    </row>
    <row r="889" spans="2:23" x14ac:dyDescent="0.25">
      <c r="B889" s="49">
        <f t="shared" si="176"/>
        <v>5.5353064629568839E-6</v>
      </c>
      <c r="C889" s="49">
        <f t="shared" si="176"/>
        <v>7.6763715065008938E-5</v>
      </c>
      <c r="D889" s="49">
        <f t="shared" si="176"/>
        <v>5.3046125855888912E-4</v>
      </c>
      <c r="E889" s="49">
        <f t="shared" si="176"/>
        <v>2.4375708620428573E-3</v>
      </c>
      <c r="F889" s="49">
        <f t="shared" si="176"/>
        <v>8.3885471130719248E-3</v>
      </c>
      <c r="G889" s="49">
        <f t="shared" si="176"/>
        <v>2.3090894620540061E-2</v>
      </c>
      <c r="H889" s="49">
        <f t="shared" si="176"/>
        <v>5.3044747543326214E-2</v>
      </c>
      <c r="I889" s="49">
        <f t="shared" si="176"/>
        <v>0.10480216257192305</v>
      </c>
      <c r="J889" s="49">
        <f t="shared" si="176"/>
        <v>0.18222195939438071</v>
      </c>
      <c r="K889" s="49">
        <f t="shared" si="176"/>
        <v>0.28405301590653959</v>
      </c>
      <c r="L889" s="49">
        <f t="shared" si="177"/>
        <v>0.40328724911601793</v>
      </c>
      <c r="M889" s="49">
        <f t="shared" si="177"/>
        <v>0.52881117828284152</v>
      </c>
      <c r="N889" s="49">
        <f t="shared" si="177"/>
        <v>0.64859755814884612</v>
      </c>
      <c r="O889" s="49">
        <f t="shared" si="177"/>
        <v>0.75292902916924032</v>
      </c>
      <c r="P889" s="49">
        <f t="shared" si="177"/>
        <v>0.83634928839977729</v>
      </c>
      <c r="Q889" s="49">
        <f t="shared" si="177"/>
        <v>0.8978868284152548</v>
      </c>
      <c r="R889" s="49">
        <f t="shared" si="177"/>
        <v>0.93994950401559274</v>
      </c>
      <c r="S889" s="49">
        <f t="shared" si="177"/>
        <v>0.96669074120788001</v>
      </c>
      <c r="T889" s="49">
        <f t="shared" si="177"/>
        <v>0.98255565573761561</v>
      </c>
      <c r="U889" s="49">
        <f t="shared" si="177"/>
        <v>0.99136502993278619</v>
      </c>
      <c r="V889" s="49">
        <f t="shared" si="177"/>
        <v>0.99595535632844057</v>
      </c>
      <c r="W889" s="47">
        <v>0.114</v>
      </c>
    </row>
    <row r="890" spans="2:23" x14ac:dyDescent="0.25">
      <c r="B890" s="49">
        <f t="shared" si="176"/>
        <v>6.1963186680069599E-6</v>
      </c>
      <c r="C890" s="49">
        <f t="shared" si="176"/>
        <v>8.5142106690544195E-5</v>
      </c>
      <c r="D890" s="49">
        <f t="shared" si="176"/>
        <v>5.8302335707658987E-4</v>
      </c>
      <c r="E890" s="49">
        <f t="shared" si="176"/>
        <v>2.655160951791931E-3</v>
      </c>
      <c r="F890" s="49">
        <f t="shared" si="176"/>
        <v>9.0571469489248001E-3</v>
      </c>
      <c r="G890" s="49">
        <f t="shared" si="176"/>
        <v>2.4717326043010295E-2</v>
      </c>
      <c r="H890" s="49">
        <f t="shared" si="176"/>
        <v>5.6307080071291128E-2</v>
      </c>
      <c r="I890" s="49">
        <f t="shared" si="176"/>
        <v>0.11035134470610684</v>
      </c>
      <c r="J890" s="49">
        <f t="shared" si="176"/>
        <v>0.19039234665766275</v>
      </c>
      <c r="K890" s="49">
        <f t="shared" si="176"/>
        <v>0.29462988976138388</v>
      </c>
      <c r="L890" s="49">
        <f t="shared" si="177"/>
        <v>0.41547477671489408</v>
      </c>
      <c r="M890" s="49">
        <f t="shared" si="177"/>
        <v>0.54143609987755792</v>
      </c>
      <c r="N890" s="49">
        <f t="shared" si="177"/>
        <v>0.66045103756507539</v>
      </c>
      <c r="O890" s="49">
        <f t="shared" si="177"/>
        <v>0.7630853745767946</v>
      </c>
      <c r="P890" s="49">
        <f t="shared" si="177"/>
        <v>0.84433702192626692</v>
      </c>
      <c r="Q890" s="49">
        <f t="shared" si="177"/>
        <v>0.90368200805958376</v>
      </c>
      <c r="R890" s="49">
        <f t="shared" si="177"/>
        <v>0.94384481246373175</v>
      </c>
      <c r="S890" s="49">
        <f t="shared" si="177"/>
        <v>0.96912567214545808</v>
      </c>
      <c r="T890" s="49">
        <f t="shared" si="177"/>
        <v>0.98397583640572606</v>
      </c>
      <c r="U890" s="49">
        <f t="shared" si="177"/>
        <v>0.99214018857538488</v>
      </c>
      <c r="V890" s="49">
        <f t="shared" si="177"/>
        <v>0.99635233405572332</v>
      </c>
      <c r="W890" s="47">
        <v>0.113</v>
      </c>
    </row>
    <row r="891" spans="2:23" x14ac:dyDescent="0.25">
      <c r="B891" s="49">
        <f t="shared" si="176"/>
        <v>6.9353856269261821E-6</v>
      </c>
      <c r="C891" s="49">
        <f t="shared" si="176"/>
        <v>9.4416845358909934E-5</v>
      </c>
      <c r="D891" s="49">
        <f t="shared" si="176"/>
        <v>6.4063104765292838E-4</v>
      </c>
      <c r="E891" s="49">
        <f t="shared" si="176"/>
        <v>2.8912705557135451E-3</v>
      </c>
      <c r="F891" s="49">
        <f t="shared" si="176"/>
        <v>9.7754498273511566E-3</v>
      </c>
      <c r="G891" s="49">
        <f t="shared" si="176"/>
        <v>2.6447317366130759E-2</v>
      </c>
      <c r="H891" s="49">
        <f t="shared" si="176"/>
        <v>5.9742685263020082E-2</v>
      </c>
      <c r="I891" s="49">
        <f t="shared" si="176"/>
        <v>0.11613724421472048</v>
      </c>
      <c r="J891" s="49">
        <f t="shared" si="176"/>
        <v>0.19882669356554805</v>
      </c>
      <c r="K891" s="49">
        <f t="shared" si="176"/>
        <v>0.30544007363902587</v>
      </c>
      <c r="L891" s="49">
        <f t="shared" si="177"/>
        <v>0.42780748148056447</v>
      </c>
      <c r="M891" s="49">
        <f t="shared" si="177"/>
        <v>0.55408458186493792</v>
      </c>
      <c r="N891" s="49">
        <f t="shared" si="177"/>
        <v>0.67220874335384528</v>
      </c>
      <c r="O891" s="49">
        <f t="shared" si="177"/>
        <v>0.77305964757680135</v>
      </c>
      <c r="P891" s="49">
        <f t="shared" si="177"/>
        <v>0.85210368444039797</v>
      </c>
      <c r="Q891" s="49">
        <f t="shared" si="177"/>
        <v>0.909260860495408</v>
      </c>
      <c r="R891" s="49">
        <f t="shared" si="177"/>
        <v>0.94755748766084769</v>
      </c>
      <c r="S891" s="49">
        <f t="shared" si="177"/>
        <v>0.9714234017100859</v>
      </c>
      <c r="T891" s="49">
        <f t="shared" si="177"/>
        <v>0.985302690135337</v>
      </c>
      <c r="U891" s="49">
        <f t="shared" si="177"/>
        <v>0.99285721846957886</v>
      </c>
      <c r="V891" s="49">
        <f t="shared" si="177"/>
        <v>0.99671589736996491</v>
      </c>
      <c r="W891" s="47">
        <v>0.112</v>
      </c>
    </row>
    <row r="892" spans="2:23" x14ac:dyDescent="0.25">
      <c r="B892" s="49">
        <f t="shared" si="176"/>
        <v>7.7616204703767673E-6</v>
      </c>
      <c r="C892" s="49">
        <f t="shared" si="176"/>
        <v>1.04681736477973E-4</v>
      </c>
      <c r="D892" s="49">
        <f t="shared" si="176"/>
        <v>7.0375091919136718E-4</v>
      </c>
      <c r="E892" s="49">
        <f t="shared" si="176"/>
        <v>3.14738395353731E-3</v>
      </c>
      <c r="F892" s="49">
        <f t="shared" si="176"/>
        <v>1.0546813682813282E-2</v>
      </c>
      <c r="G892" s="49">
        <f t="shared" si="176"/>
        <v>2.8286516122228326E-2</v>
      </c>
      <c r="H892" s="49">
        <f t="shared" si="176"/>
        <v>6.3358624136635872E-2</v>
      </c>
      <c r="I892" s="49">
        <f t="shared" si="176"/>
        <v>0.12216591870338284</v>
      </c>
      <c r="J892" s="49">
        <f t="shared" si="176"/>
        <v>0.20752702017471628</v>
      </c>
      <c r="K892" s="49">
        <f t="shared" si="176"/>
        <v>0.31647959779633661</v>
      </c>
      <c r="L892" s="49">
        <f t="shared" si="177"/>
        <v>0.44027582654699177</v>
      </c>
      <c r="M892" s="49">
        <f t="shared" si="177"/>
        <v>0.56674424409460844</v>
      </c>
      <c r="N892" s="49">
        <f t="shared" si="177"/>
        <v>0.68385910919429893</v>
      </c>
      <c r="O892" s="49">
        <f t="shared" si="177"/>
        <v>0.7828439871435936</v>
      </c>
      <c r="P892" s="49">
        <f t="shared" si="177"/>
        <v>0.85964623134739804</v>
      </c>
      <c r="Q892" s="49">
        <f t="shared" si="177"/>
        <v>0.91462452751219003</v>
      </c>
      <c r="R892" s="49">
        <f t="shared" si="177"/>
        <v>0.95109124943314727</v>
      </c>
      <c r="S892" s="49">
        <f t="shared" si="177"/>
        <v>0.97358852499120729</v>
      </c>
      <c r="T892" s="49">
        <f t="shared" si="177"/>
        <v>0.98654046084616276</v>
      </c>
      <c r="U892" s="49">
        <f t="shared" si="177"/>
        <v>0.99351941649007469</v>
      </c>
      <c r="V892" s="49">
        <f t="shared" si="177"/>
        <v>0.99704829977812404</v>
      </c>
      <c r="W892" s="47">
        <v>0.111</v>
      </c>
    </row>
    <row r="893" spans="2:23" x14ac:dyDescent="0.25">
      <c r="B893" s="49">
        <f t="shared" ref="B893:K902" si="178">_xlfn.HYPGEOM.DIST(B$2,comau,tongtheN*$W893,tongtheN,TRUE)</f>
        <v>8.6851882171882465E-6</v>
      </c>
      <c r="C893" s="49">
        <f t="shared" si="178"/>
        <v>1.1604016257050885E-4</v>
      </c>
      <c r="D893" s="49">
        <f t="shared" si="178"/>
        <v>7.7289078028015042E-4</v>
      </c>
      <c r="E893" s="49">
        <f t="shared" si="178"/>
        <v>3.4250950997020899E-3</v>
      </c>
      <c r="F893" s="49">
        <f t="shared" si="178"/>
        <v>1.1374791962533708E-2</v>
      </c>
      <c r="G893" s="49">
        <f t="shared" si="178"/>
        <v>3.0240797077634211E-2</v>
      </c>
      <c r="H893" s="49">
        <f t="shared" si="178"/>
        <v>6.7162077725764019E-2</v>
      </c>
      <c r="I893" s="49">
        <f t="shared" si="178"/>
        <v>0.12844328702846156</v>
      </c>
      <c r="J893" s="49">
        <f t="shared" si="178"/>
        <v>0.21649490656552034</v>
      </c>
      <c r="K893" s="49">
        <f t="shared" si="178"/>
        <v>0.32774388436190893</v>
      </c>
      <c r="L893" s="49">
        <f t="shared" ref="L893:V902" si="179">_xlfn.HYPGEOM.DIST(L$2,comau,tongtheN*$W893,tongtheN,TRUE)</f>
        <v>0.452869747812707</v>
      </c>
      <c r="M893" s="49">
        <f t="shared" si="179"/>
        <v>0.57940247849552007</v>
      </c>
      <c r="N893" s="49">
        <f t="shared" si="179"/>
        <v>0.69539070634250555</v>
      </c>
      <c r="O893" s="49">
        <f t="shared" si="179"/>
        <v>0.79243093420188937</v>
      </c>
      <c r="P893" s="49">
        <f t="shared" si="179"/>
        <v>0.86696209790979228</v>
      </c>
      <c r="Q893" s="49">
        <f t="shared" si="179"/>
        <v>0.91977454302580541</v>
      </c>
      <c r="R893" s="49">
        <f t="shared" si="179"/>
        <v>0.95445004057981142</v>
      </c>
      <c r="S893" s="49">
        <f t="shared" si="179"/>
        <v>0.97562569556214729</v>
      </c>
      <c r="T893" s="49">
        <f t="shared" si="179"/>
        <v>0.98769334064024883</v>
      </c>
      <c r="U893" s="49">
        <f t="shared" si="179"/>
        <v>0.99412997993007246</v>
      </c>
      <c r="V893" s="49">
        <f t="shared" si="179"/>
        <v>0.9973516932278349</v>
      </c>
      <c r="W893" s="47">
        <v>0.11</v>
      </c>
    </row>
    <row r="894" spans="2:23" x14ac:dyDescent="0.25">
      <c r="B894" s="49">
        <f t="shared" si="178"/>
        <v>9.7174257960405639E-6</v>
      </c>
      <c r="C894" s="49">
        <f t="shared" si="178"/>
        <v>1.2860603352553564E-4</v>
      </c>
      <c r="D894" s="49">
        <f t="shared" si="178"/>
        <v>8.4860309144826798E-4</v>
      </c>
      <c r="E894" s="49">
        <f t="shared" si="178"/>
        <v>3.7261147898388363E-3</v>
      </c>
      <c r="F894" s="49">
        <f t="shared" si="178"/>
        <v>1.2263142073572715E-2</v>
      </c>
      <c r="G894" s="49">
        <f t="shared" si="178"/>
        <v>3.2316264260432236E-2</v>
      </c>
      <c r="H894" s="49">
        <f t="shared" si="178"/>
        <v>7.1160334455666482E-2</v>
      </c>
      <c r="I894" s="49">
        <f t="shared" si="178"/>
        <v>0.13497510213545599</v>
      </c>
      <c r="J894" s="49">
        <f t="shared" si="178"/>
        <v>0.22573146357769022</v>
      </c>
      <c r="K894" s="49">
        <f t="shared" si="178"/>
        <v>0.33922773366689984</v>
      </c>
      <c r="L894" s="49">
        <f t="shared" si="179"/>
        <v>0.46557866576674417</v>
      </c>
      <c r="M894" s="49">
        <f t="shared" si="179"/>
        <v>0.59204648102637814</v>
      </c>
      <c r="N894" s="49">
        <f t="shared" si="179"/>
        <v>0.70679227933136723</v>
      </c>
      <c r="O894" s="49">
        <f t="shared" si="179"/>
        <v>0.80181345506279045</v>
      </c>
      <c r="P894" s="49">
        <f t="shared" si="179"/>
        <v>0.87404920370295569</v>
      </c>
      <c r="Q894" s="49">
        <f t="shared" si="179"/>
        <v>0.92471282220749029</v>
      </c>
      <c r="R894" s="49">
        <f t="shared" si="179"/>
        <v>0.95763800960646217</v>
      </c>
      <c r="S894" s="49">
        <f t="shared" si="179"/>
        <v>0.97753960996165989</v>
      </c>
      <c r="T894" s="49">
        <f t="shared" si="179"/>
        <v>0.98876546014523115</v>
      </c>
      <c r="U894" s="49">
        <f t="shared" si="179"/>
        <v>0.99469200287877069</v>
      </c>
      <c r="V894" s="49">
        <f t="shared" si="179"/>
        <v>0.99762812857111749</v>
      </c>
      <c r="W894" s="47">
        <v>0.109</v>
      </c>
    </row>
    <row r="895" spans="2:23" x14ac:dyDescent="0.25">
      <c r="B895" s="49">
        <f t="shared" si="178"/>
        <v>1.0870975603183417E-5</v>
      </c>
      <c r="C895" s="49">
        <f t="shared" si="178"/>
        <v>1.4250482796551614E-4</v>
      </c>
      <c r="D895" s="49">
        <f t="shared" si="178"/>
        <v>9.3148866037837152E-4</v>
      </c>
      <c r="E895" s="49">
        <f t="shared" si="178"/>
        <v>4.0522781993774766E-3</v>
      </c>
      <c r="F895" s="49">
        <f t="shared" si="178"/>
        <v>1.3215833904791472E-2</v>
      </c>
      <c r="G895" s="49">
        <f t="shared" si="178"/>
        <v>3.4519252249859023E-2</v>
      </c>
      <c r="H895" s="49">
        <f t="shared" si="178"/>
        <v>7.5360776004243152E-2</v>
      </c>
      <c r="I895" s="49">
        <f t="shared" si="178"/>
        <v>0.14176692254057219</v>
      </c>
      <c r="J895" s="49">
        <f t="shared" si="178"/>
        <v>0.23523730356309888</v>
      </c>
      <c r="K895" s="49">
        <f t="shared" si="178"/>
        <v>0.35092531233308588</v>
      </c>
      <c r="L895" s="49">
        <f t="shared" si="179"/>
        <v>0.47839149986291685</v>
      </c>
      <c r="M895" s="49">
        <f t="shared" si="179"/>
        <v>0.60466328541948022</v>
      </c>
      <c r="N895" s="49">
        <f t="shared" si="179"/>
        <v>0.71805278175680942</v>
      </c>
      <c r="O895" s="49">
        <f t="shared" si="179"/>
        <v>0.81098496345864324</v>
      </c>
      <c r="P895" s="49">
        <f t="shared" si="179"/>
        <v>0.8809059551907753</v>
      </c>
      <c r="Q895" s="49">
        <f t="shared" si="179"/>
        <v>0.92944164923571315</v>
      </c>
      <c r="R895" s="49">
        <f t="shared" si="179"/>
        <v>0.96065949299570585</v>
      </c>
      <c r="S895" s="49">
        <f t="shared" si="179"/>
        <v>0.97933499246025568</v>
      </c>
      <c r="T895" s="49">
        <f t="shared" si="179"/>
        <v>0.98976087946613822</v>
      </c>
      <c r="U895" s="49">
        <f t="shared" si="179"/>
        <v>0.99520847316580785</v>
      </c>
      <c r="V895" s="49">
        <f t="shared" si="179"/>
        <v>0.99787955638274051</v>
      </c>
      <c r="W895" s="47">
        <v>0.108</v>
      </c>
    </row>
    <row r="896" spans="2:23" x14ac:dyDescent="0.25">
      <c r="B896" s="49">
        <f t="shared" si="178"/>
        <v>1.2159934104941443E-5</v>
      </c>
      <c r="C896" s="49">
        <f t="shared" si="178"/>
        <v>1.578747340980803E-4</v>
      </c>
      <c r="D896" s="49">
        <f t="shared" si="178"/>
        <v>1.0222006176837297E-3</v>
      </c>
      <c r="E896" s="49">
        <f t="shared" si="178"/>
        <v>4.4055528031844782E-3</v>
      </c>
      <c r="F896" s="49">
        <f t="shared" si="178"/>
        <v>1.4237058388905242E-2</v>
      </c>
      <c r="G896" s="49">
        <f t="shared" si="178"/>
        <v>3.6856326643124E-2</v>
      </c>
      <c r="H896" s="49">
        <f t="shared" si="178"/>
        <v>7.9770861576905938E-2</v>
      </c>
      <c r="I896" s="49">
        <f t="shared" si="178"/>
        <v>0.14882408248634438</v>
      </c>
      <c r="J896" s="49">
        <f t="shared" si="178"/>
        <v>0.24501251130313578</v>
      </c>
      <c r="K896" s="49">
        <f t="shared" si="178"/>
        <v>0.36283014328480095</v>
      </c>
      <c r="L896" s="49">
        <f t="shared" si="179"/>
        <v>0.49129668549961836</v>
      </c>
      <c r="M896" s="49">
        <f t="shared" si="179"/>
        <v>0.61723979862308265</v>
      </c>
      <c r="N896" s="49">
        <f t="shared" si="179"/>
        <v>0.72916141197738726</v>
      </c>
      <c r="O896" s="49">
        <f t="shared" si="179"/>
        <v>0.81993934104298527</v>
      </c>
      <c r="P896" s="49">
        <f t="shared" si="179"/>
        <v>0.887531246392946</v>
      </c>
      <c r="Q896" s="49">
        <f t="shared" si="179"/>
        <v>0.93396366373240536</v>
      </c>
      <c r="R896" s="49">
        <f t="shared" si="179"/>
        <v>0.96351899710532962</v>
      </c>
      <c r="S896" s="49">
        <f t="shared" si="179"/>
        <v>0.98101658017784754</v>
      </c>
      <c r="T896" s="49">
        <f t="shared" si="179"/>
        <v>0.99068357976943011</v>
      </c>
      <c r="U896" s="49">
        <f t="shared" si="179"/>
        <v>0.99568226986355945</v>
      </c>
      <c r="V896" s="49">
        <f t="shared" si="179"/>
        <v>0.99810782811123233</v>
      </c>
      <c r="W896" s="47">
        <v>0.107</v>
      </c>
    </row>
    <row r="897" spans="2:23" x14ac:dyDescent="0.25">
      <c r="B897" s="49">
        <f t="shared" si="178"/>
        <v>1.3600017159940244E-5</v>
      </c>
      <c r="C897" s="49">
        <f t="shared" si="178"/>
        <v>1.7486789914610587E-4</v>
      </c>
      <c r="D897" s="49">
        <f t="shared" si="178"/>
        <v>1.1214486917404474E-3</v>
      </c>
      <c r="E897" s="49">
        <f t="shared" si="178"/>
        <v>4.7880466840174718E-3</v>
      </c>
      <c r="F897" s="49">
        <f t="shared" si="178"/>
        <v>1.5331236065220294E-2</v>
      </c>
      <c r="G897" s="49">
        <f t="shared" si="178"/>
        <v>3.9334283610821447E-2</v>
      </c>
      <c r="H897" s="49">
        <f t="shared" si="178"/>
        <v>8.439811052665587E-2</v>
      </c>
      <c r="I897" s="49">
        <f t="shared" si="178"/>
        <v>0.15615166081296972</v>
      </c>
      <c r="J897" s="49">
        <f t="shared" si="178"/>
        <v>0.2550566152490496</v>
      </c>
      <c r="K897" s="49">
        <f t="shared" si="178"/>
        <v>0.37493509785154006</v>
      </c>
      <c r="L897" s="49">
        <f t="shared" si="179"/>
        <v>0.50428219365032034</v>
      </c>
      <c r="M897" s="49">
        <f t="shared" si="179"/>
        <v>0.62976283783282094</v>
      </c>
      <c r="N897" s="49">
        <f t="shared" si="179"/>
        <v>0.74010764854860611</v>
      </c>
      <c r="O897" s="49">
        <f t="shared" si="179"/>
        <v>0.82867095622722475</v>
      </c>
      <c r="P897" s="49">
        <f t="shared" si="179"/>
        <v>0.89392445762605788</v>
      </c>
      <c r="Q897" s="49">
        <f t="shared" si="179"/>
        <v>0.93828184595296293</v>
      </c>
      <c r="R897" s="49">
        <f t="shared" si="179"/>
        <v>0.9662211797864505</v>
      </c>
      <c r="S897" s="49">
        <f t="shared" si="179"/>
        <v>0.98258910861628335</v>
      </c>
      <c r="T897" s="49">
        <f t="shared" si="179"/>
        <v>0.99153745551879635</v>
      </c>
      <c r="U897" s="49">
        <f t="shared" si="179"/>
        <v>0.99611616133536085</v>
      </c>
      <c r="V897" s="49">
        <f t="shared" si="179"/>
        <v>0.99831469753963487</v>
      </c>
      <c r="W897" s="47">
        <v>0.106</v>
      </c>
    </row>
    <row r="898" spans="2:23" x14ac:dyDescent="0.25">
      <c r="B898" s="49">
        <f t="shared" si="178"/>
        <v>1.5208743920257614E-5</v>
      </c>
      <c r="C898" s="49">
        <f t="shared" si="178"/>
        <v>1.9365179723266401E-4</v>
      </c>
      <c r="D898" s="49">
        <f t="shared" si="178"/>
        <v>1.2300038019578052E-3</v>
      </c>
      <c r="E898" s="49">
        <f t="shared" si="178"/>
        <v>5.2020172362416094E-3</v>
      </c>
      <c r="F898" s="49">
        <f t="shared" si="178"/>
        <v>1.6503025598699424E-2</v>
      </c>
      <c r="G898" s="49">
        <f t="shared" si="178"/>
        <v>4.196014844756929E-2</v>
      </c>
      <c r="H898" s="49">
        <f t="shared" si="178"/>
        <v>8.9250083253722468E-2</v>
      </c>
      <c r="I898" s="49">
        <f t="shared" si="178"/>
        <v>0.16375444859858587</v>
      </c>
      <c r="J898" s="49">
        <f t="shared" si="178"/>
        <v>0.26536855925439529</v>
      </c>
      <c r="K898" s="49">
        <f t="shared" si="178"/>
        <v>0.38723239012695809</v>
      </c>
      <c r="L898" s="49">
        <f t="shared" si="179"/>
        <v>0.51733555317668523</v>
      </c>
      <c r="M898" s="49">
        <f t="shared" si="179"/>
        <v>0.64221916898818143</v>
      </c>
      <c r="N898" s="49">
        <f t="shared" si="179"/>
        <v>0.75088128520830721</v>
      </c>
      <c r="O898" s="49">
        <f t="shared" si="179"/>
        <v>0.83717468123215244</v>
      </c>
      <c r="P898" s="49">
        <f t="shared" si="179"/>
        <v>0.90008545231161941</v>
      </c>
      <c r="Q898" s="49">
        <f t="shared" si="179"/>
        <v>0.94239950080699852</v>
      </c>
      <c r="R898" s="49">
        <f t="shared" si="179"/>
        <v>0.96877083181506163</v>
      </c>
      <c r="S898" s="49">
        <f t="shared" si="179"/>
        <v>0.98405729766695027</v>
      </c>
      <c r="T898" s="49">
        <f t="shared" si="179"/>
        <v>0.99232630737800265</v>
      </c>
      <c r="U898" s="49">
        <f t="shared" si="179"/>
        <v>0.99651280381504459</v>
      </c>
      <c r="V898" s="49">
        <f t="shared" si="179"/>
        <v>0.99850182253238073</v>
      </c>
      <c r="W898" s="47">
        <v>0.105</v>
      </c>
    </row>
    <row r="899" spans="2:23" x14ac:dyDescent="0.25">
      <c r="B899" s="49">
        <f t="shared" si="178"/>
        <v>1.7005641375005359E-5</v>
      </c>
      <c r="C899" s="49">
        <f t="shared" si="178"/>
        <v>2.1441072644149298E-4</v>
      </c>
      <c r="D899" s="49">
        <f t="shared" si="178"/>
        <v>1.3487029907615561E-3</v>
      </c>
      <c r="E899" s="49">
        <f t="shared" si="178"/>
        <v>5.649880269669178E-3</v>
      </c>
      <c r="F899" s="49">
        <f t="shared" si="178"/>
        <v>1.7757332205704211E-2</v>
      </c>
      <c r="G899" s="49">
        <f t="shared" si="178"/>
        <v>4.4741173020081397E-2</v>
      </c>
      <c r="H899" s="49">
        <f t="shared" si="178"/>
        <v>9.4334360322987754E-2</v>
      </c>
      <c r="I899" s="49">
        <f t="shared" si="178"/>
        <v>0.17163691563412239</v>
      </c>
      <c r="J899" s="49">
        <f t="shared" si="178"/>
        <v>0.27594667497918862</v>
      </c>
      <c r="K899" s="49">
        <f t="shared" si="178"/>
        <v>0.3997135737477398</v>
      </c>
      <c r="L899" s="49">
        <f t="shared" si="179"/>
        <v>0.530443875841907</v>
      </c>
      <c r="M899" s="49">
        <f t="shared" si="179"/>
        <v>0.65459554659537911</v>
      </c>
      <c r="N899" s="49">
        <f t="shared" si="179"/>
        <v>0.76147246522550771</v>
      </c>
      <c r="O899" s="49">
        <f t="shared" si="179"/>
        <v>0.84544590723990087</v>
      </c>
      <c r="P899" s="49">
        <f t="shared" si="179"/>
        <v>0.90601457185543666</v>
      </c>
      <c r="Q899" s="49">
        <f t="shared" si="179"/>
        <v>0.946320240794011</v>
      </c>
      <c r="R899" s="49">
        <f t="shared" si="179"/>
        <v>0.97117285823090282</v>
      </c>
      <c r="S899" s="49">
        <f t="shared" si="179"/>
        <v>0.98542583814989215</v>
      </c>
      <c r="T899" s="49">
        <f t="shared" si="179"/>
        <v>0.99305383579181472</v>
      </c>
      <c r="U899" s="49">
        <f t="shared" si="179"/>
        <v>0.99687474050066716</v>
      </c>
      <c r="V899" s="49">
        <f t="shared" si="179"/>
        <v>0.99867076704414615</v>
      </c>
      <c r="W899" s="47">
        <v>0.104</v>
      </c>
    </row>
    <row r="900" spans="2:23" x14ac:dyDescent="0.25">
      <c r="B900" s="49">
        <f t="shared" si="178"/>
        <v>1.9012471826335093E-5</v>
      </c>
      <c r="C900" s="49">
        <f t="shared" si="178"/>
        <v>2.3734744668327807E-4</v>
      </c>
      <c r="D900" s="49">
        <f t="shared" si="178"/>
        <v>1.4784547154503076E-3</v>
      </c>
      <c r="E900" s="49">
        <f t="shared" si="178"/>
        <v>6.1342195165322343E-3</v>
      </c>
      <c r="F900" s="49">
        <f t="shared" si="178"/>
        <v>1.9099315931107974E-2</v>
      </c>
      <c r="G900" s="49">
        <f t="shared" si="178"/>
        <v>4.7684832010614533E-2</v>
      </c>
      <c r="H900" s="49">
        <f t="shared" si="178"/>
        <v>9.9658519742143792E-2</v>
      </c>
      <c r="I900" s="49">
        <f t="shared" si="178"/>
        <v>0.17980317581147856</v>
      </c>
      <c r="J900" s="49">
        <f t="shared" si="178"/>
        <v>0.28678865515552809</v>
      </c>
      <c r="K900" s="49">
        <f t="shared" si="178"/>
        <v>0.41236954125218589</v>
      </c>
      <c r="L900" s="49">
        <f t="shared" si="179"/>
        <v>0.54359388402657616</v>
      </c>
      <c r="M900" s="49">
        <f t="shared" si="179"/>
        <v>0.66687875472370095</v>
      </c>
      <c r="N900" s="49">
        <f t="shared" si="179"/>
        <v>0.77187171492237272</v>
      </c>
      <c r="O900" s="49">
        <f t="shared" si="179"/>
        <v>0.85348055754049856</v>
      </c>
      <c r="P900" s="49">
        <f t="shared" si="179"/>
        <v>0.91171262861430202</v>
      </c>
      <c r="Q900" s="49">
        <f t="shared" si="179"/>
        <v>0.95004796794479784</v>
      </c>
      <c r="R900" s="49">
        <f t="shared" si="179"/>
        <v>0.97343225967746161</v>
      </c>
      <c r="S900" s="49">
        <f t="shared" si="179"/>
        <v>0.98669937893677895</v>
      </c>
      <c r="T900" s="49">
        <f t="shared" si="179"/>
        <v>0.9937236352517862</v>
      </c>
      <c r="U900" s="49">
        <f t="shared" si="179"/>
        <v>0.99720440114297548</v>
      </c>
      <c r="V900" s="49">
        <f t="shared" si="179"/>
        <v>0.99882300336617702</v>
      </c>
      <c r="W900" s="47">
        <v>0.10299999999999999</v>
      </c>
    </row>
    <row r="901" spans="2:23" x14ac:dyDescent="0.25">
      <c r="B901" s="49">
        <f t="shared" si="178"/>
        <v>2.1255458318356722E-5</v>
      </c>
      <c r="C901" s="49">
        <f t="shared" si="178"/>
        <v>2.6270715332296494E-4</v>
      </c>
      <c r="D901" s="49">
        <f t="shared" si="178"/>
        <v>1.6203679913680677E-3</v>
      </c>
      <c r="E901" s="49">
        <f t="shared" si="178"/>
        <v>6.6582500262165785E-3</v>
      </c>
      <c r="F901" s="49">
        <f t="shared" si="178"/>
        <v>2.0535636007051911E-2</v>
      </c>
      <c r="G901" s="49">
        <f t="shared" si="178"/>
        <v>5.0801486050380873E-2</v>
      </c>
      <c r="H901" s="49">
        <f t="shared" si="178"/>
        <v>0.10523486061613088</v>
      </c>
      <c r="I901" s="49">
        <f t="shared" si="178"/>
        <v>0.18826411717627159</v>
      </c>
      <c r="J901" s="49">
        <f t="shared" si="178"/>
        <v>0.29790088813462545</v>
      </c>
      <c r="K901" s="49">
        <f t="shared" si="178"/>
        <v>0.42520127628894683</v>
      </c>
      <c r="L901" s="49">
        <f t="shared" si="179"/>
        <v>0.55678293068179008</v>
      </c>
      <c r="M901" s="49">
        <f t="shared" si="179"/>
        <v>0.67906574845203027</v>
      </c>
      <c r="N901" s="49">
        <f t="shared" si="179"/>
        <v>0.78207838848611055</v>
      </c>
      <c r="O901" s="49">
        <f t="shared" si="179"/>
        <v>0.86128149303080948</v>
      </c>
      <c r="P901" s="49">
        <f t="shared" si="179"/>
        <v>0.91718535849202942</v>
      </c>
      <c r="Q901" s="49">
        <f t="shared" si="179"/>
        <v>0.95358972640270223</v>
      </c>
      <c r="R901" s="49">
        <f t="shared" si="179"/>
        <v>0.97555582611402203</v>
      </c>
      <c r="S901" s="49">
        <f t="shared" si="179"/>
        <v>0.98788346421661588</v>
      </c>
      <c r="T901" s="49">
        <f t="shared" si="179"/>
        <v>0.99433968053497435</v>
      </c>
      <c r="U901" s="49">
        <f t="shared" si="179"/>
        <v>0.99750433998489429</v>
      </c>
      <c r="V901" s="49">
        <f t="shared" si="179"/>
        <v>0.99896002265381578</v>
      </c>
      <c r="W901" s="47">
        <v>0.10199999999999999</v>
      </c>
    </row>
    <row r="902" spans="2:23" x14ac:dyDescent="0.25">
      <c r="B902" s="49">
        <f t="shared" si="178"/>
        <v>2.3755703482072981E-5</v>
      </c>
      <c r="C902" s="49">
        <f t="shared" si="178"/>
        <v>2.9066852381201173E-4</v>
      </c>
      <c r="D902" s="49">
        <f t="shared" si="178"/>
        <v>1.775141123383373E-3</v>
      </c>
      <c r="E902" s="49">
        <f t="shared" si="178"/>
        <v>7.22356105980682E-3</v>
      </c>
      <c r="F902" s="49">
        <f t="shared" si="178"/>
        <v>2.2068277184519102E-2</v>
      </c>
      <c r="G902" s="49">
        <f t="shared" si="178"/>
        <v>5.4091034228059692E-2</v>
      </c>
      <c r="H902" s="49">
        <f t="shared" si="178"/>
        <v>0.11105663526450685</v>
      </c>
      <c r="I902" s="49">
        <f t="shared" si="178"/>
        <v>0.19700153714227672</v>
      </c>
      <c r="J902" s="49">
        <f t="shared" si="178"/>
        <v>0.30925163238055581</v>
      </c>
      <c r="K902" s="49">
        <f t="shared" si="178"/>
        <v>0.43816610801504452</v>
      </c>
      <c r="L902" s="49">
        <f t="shared" si="179"/>
        <v>0.56996408464568127</v>
      </c>
      <c r="M902" s="49">
        <f t="shared" si="179"/>
        <v>0.69111319947793826</v>
      </c>
      <c r="N902" s="49">
        <f t="shared" si="179"/>
        <v>0.79205863771733731</v>
      </c>
      <c r="O902" s="49">
        <f t="shared" si="179"/>
        <v>0.86882654880164611</v>
      </c>
      <c r="P902" s="49">
        <f t="shared" si="179"/>
        <v>0.92242110260300791</v>
      </c>
      <c r="Q902" s="49">
        <f t="shared" si="179"/>
        <v>0.95694132498733142</v>
      </c>
      <c r="R902" s="49">
        <f t="shared" si="179"/>
        <v>0.97754355704607998</v>
      </c>
      <c r="S902" s="49">
        <f t="shared" si="179"/>
        <v>0.98897977437069251</v>
      </c>
      <c r="T902" s="49">
        <f t="shared" si="179"/>
        <v>0.99490386591557511</v>
      </c>
      <c r="U902" s="49">
        <f t="shared" si="179"/>
        <v>0.99777604688356336</v>
      </c>
      <c r="V902" s="49">
        <f t="shared" si="179"/>
        <v>0.99908279723177362</v>
      </c>
      <c r="W902" s="47">
        <v>0.10100000000000001</v>
      </c>
    </row>
    <row r="903" spans="2:23" x14ac:dyDescent="0.25">
      <c r="B903" s="49">
        <f t="shared" ref="B903:K912" si="180">_xlfn.HYPGEOM.DIST(B$2,comau,tongtheN*$W903,tongtheN,TRUE)</f>
        <v>2.6549226992482749E-5</v>
      </c>
      <c r="C903" s="49">
        <f t="shared" si="180"/>
        <v>3.2156768137838886E-4</v>
      </c>
      <c r="D903" s="49">
        <f t="shared" si="180"/>
        <v>1.9443029070181075E-3</v>
      </c>
      <c r="E903" s="49">
        <f t="shared" si="180"/>
        <v>7.8346616390582088E-3</v>
      </c>
      <c r="F903" s="49">
        <f t="shared" si="180"/>
        <v>2.3706920086696993E-2</v>
      </c>
      <c r="G903" s="49">
        <f t="shared" si="180"/>
        <v>5.7569588075002551E-2</v>
      </c>
      <c r="H903" s="49">
        <f t="shared" si="180"/>
        <v>0.1171455033706218</v>
      </c>
      <c r="I903" s="49">
        <f t="shared" si="180"/>
        <v>0.20603976182043857</v>
      </c>
      <c r="J903" s="49">
        <f t="shared" si="180"/>
        <v>0.32086459575741527</v>
      </c>
      <c r="K903" s="49">
        <f t="shared" si="180"/>
        <v>0.45128522025102652</v>
      </c>
      <c r="L903" s="49">
        <f t="shared" ref="L903:V912" si="181">_xlfn.HYPGEOM.DIST(L$2,comau,tongtheN*$W903,tongtheN,TRUE)</f>
        <v>0.58315606180067336</v>
      </c>
      <c r="M903" s="49">
        <f t="shared" si="181"/>
        <v>0.70303853401608341</v>
      </c>
      <c r="N903" s="49">
        <f t="shared" si="181"/>
        <v>0.80182956500751834</v>
      </c>
      <c r="O903" s="49">
        <f t="shared" si="181"/>
        <v>0.87613248527416088</v>
      </c>
      <c r="P903" s="49">
        <f t="shared" si="181"/>
        <v>0.92743540985763473</v>
      </c>
      <c r="Q903" s="49">
        <f t="shared" si="181"/>
        <v>0.96011603212761276</v>
      </c>
      <c r="R903" s="49">
        <f t="shared" si="181"/>
        <v>0.97940576619954434</v>
      </c>
      <c r="S903" s="49">
        <f t="shared" si="181"/>
        <v>0.98999561022527405</v>
      </c>
      <c r="T903" s="49">
        <f t="shared" si="181"/>
        <v>0.99542091433922564</v>
      </c>
      <c r="U903" s="49">
        <f t="shared" si="181"/>
        <v>0.99802232702472926</v>
      </c>
      <c r="V903" s="49">
        <f t="shared" si="181"/>
        <v>0.99919286408900121</v>
      </c>
      <c r="W903" s="47">
        <v>0.1</v>
      </c>
    </row>
    <row r="904" spans="2:23" x14ac:dyDescent="0.25">
      <c r="B904" s="49">
        <f t="shared" si="180"/>
        <v>2.9667588326261439E-5</v>
      </c>
      <c r="C904" s="49">
        <f t="shared" si="180"/>
        <v>3.5567870968863848E-4</v>
      </c>
      <c r="D904" s="49">
        <f t="shared" si="180"/>
        <v>2.1289848942420693E-3</v>
      </c>
      <c r="E904" s="49">
        <f t="shared" si="180"/>
        <v>8.4944568104340385E-3</v>
      </c>
      <c r="F904" s="49">
        <f t="shared" si="180"/>
        <v>2.545658529694008E-2</v>
      </c>
      <c r="G904" s="49">
        <f t="shared" si="180"/>
        <v>6.1242779885914311E-2</v>
      </c>
      <c r="H904" s="49">
        <f t="shared" si="180"/>
        <v>0.12350401879137042</v>
      </c>
      <c r="I904" s="49">
        <f t="shared" si="180"/>
        <v>0.21537395155027594</v>
      </c>
      <c r="J904" s="49">
        <f t="shared" si="180"/>
        <v>0.33272531211823592</v>
      </c>
      <c r="K904" s="49">
        <f t="shared" si="180"/>
        <v>0.46453616147777926</v>
      </c>
      <c r="L904" s="49">
        <f t="shared" si="181"/>
        <v>0.59633336779078083</v>
      </c>
      <c r="M904" s="49">
        <f t="shared" si="181"/>
        <v>0.71481898224521812</v>
      </c>
      <c r="N904" s="49">
        <f t="shared" si="181"/>
        <v>0.8113751285505264</v>
      </c>
      <c r="O904" s="49">
        <f t="shared" si="181"/>
        <v>0.88319104793130976</v>
      </c>
      <c r="P904" s="49">
        <f t="shared" si="181"/>
        <v>0.93222640752647878</v>
      </c>
      <c r="Q904" s="49">
        <f t="shared" si="181"/>
        <v>0.96311583947645463</v>
      </c>
      <c r="R904" s="49">
        <f t="shared" si="181"/>
        <v>0.98114594099915919</v>
      </c>
      <c r="S904" s="49">
        <f t="shared" si="181"/>
        <v>0.99093438783151344</v>
      </c>
      <c r="T904" s="49">
        <f t="shared" si="181"/>
        <v>0.99589346155824132</v>
      </c>
      <c r="U904" s="49">
        <f t="shared" si="181"/>
        <v>0.99824492347790983</v>
      </c>
      <c r="V904" s="49">
        <f t="shared" si="181"/>
        <v>0.99929124714506479</v>
      </c>
      <c r="W904" s="47">
        <v>9.9000000000000005E-2</v>
      </c>
    </row>
    <row r="905" spans="2:23" x14ac:dyDescent="0.25">
      <c r="B905" s="49">
        <f t="shared" si="180"/>
        <v>3.3148135448740076E-5</v>
      </c>
      <c r="C905" s="49">
        <f t="shared" si="180"/>
        <v>3.9332711789187227E-4</v>
      </c>
      <c r="D905" s="49">
        <f t="shared" si="180"/>
        <v>2.3305461785037259E-3</v>
      </c>
      <c r="E905" s="49">
        <f t="shared" si="180"/>
        <v>9.2065265446931183E-3</v>
      </c>
      <c r="F905" s="49">
        <f t="shared" si="180"/>
        <v>2.7323821298040906E-2</v>
      </c>
      <c r="G905" s="49">
        <f t="shared" si="180"/>
        <v>6.511909228102794E-2</v>
      </c>
      <c r="H905" s="49">
        <f t="shared" si="180"/>
        <v>0.13013933835256628</v>
      </c>
      <c r="I905" s="49">
        <f t="shared" si="180"/>
        <v>0.22500589083911687</v>
      </c>
      <c r="J905" s="49">
        <f t="shared" si="180"/>
        <v>0.34482792314291177</v>
      </c>
      <c r="K905" s="49">
        <f t="shared" si="180"/>
        <v>0.47790660984015337</v>
      </c>
      <c r="L905" s="49">
        <f t="shared" si="181"/>
        <v>0.60948128642216604</v>
      </c>
      <c r="M905" s="49">
        <f t="shared" si="181"/>
        <v>0.72644211962034488</v>
      </c>
      <c r="N905" s="49">
        <f t="shared" si="181"/>
        <v>0.82068823040985017</v>
      </c>
      <c r="O905" s="49">
        <f t="shared" si="181"/>
        <v>0.89000094148791475</v>
      </c>
      <c r="P905" s="49">
        <f t="shared" si="181"/>
        <v>0.93679709286263246</v>
      </c>
      <c r="Q905" s="49">
        <f t="shared" si="181"/>
        <v>0.96594579812108849</v>
      </c>
      <c r="R905" s="49">
        <f t="shared" si="181"/>
        <v>0.98276928666119145</v>
      </c>
      <c r="S905" s="49">
        <f t="shared" si="181"/>
        <v>0.99180037668412413</v>
      </c>
      <c r="T905" s="49">
        <f t="shared" si="181"/>
        <v>0.9963245102067948</v>
      </c>
      <c r="U905" s="49">
        <f t="shared" si="181"/>
        <v>0.99844570828944679</v>
      </c>
      <c r="V905" s="49">
        <f t="shared" si="181"/>
        <v>0.99937900065825913</v>
      </c>
      <c r="W905" s="47">
        <v>9.8000000000000004E-2</v>
      </c>
    </row>
    <row r="906" spans="2:23" x14ac:dyDescent="0.25">
      <c r="B906" s="49">
        <f t="shared" si="180"/>
        <v>3.7032461628852698E-5</v>
      </c>
      <c r="C906" s="49">
        <f t="shared" si="180"/>
        <v>4.3487044549766872E-4</v>
      </c>
      <c r="D906" s="49">
        <f t="shared" si="180"/>
        <v>2.550457867094623E-3</v>
      </c>
      <c r="E906" s="49">
        <f t="shared" si="180"/>
        <v>9.9746840976653126E-3</v>
      </c>
      <c r="F906" s="49">
        <f t="shared" si="180"/>
        <v>2.9315474042671145E-2</v>
      </c>
      <c r="G906" s="49">
        <f t="shared" si="180"/>
        <v>6.920717667406355E-2</v>
      </c>
      <c r="H906" s="49">
        <f t="shared" si="180"/>
        <v>0.13705843901735587</v>
      </c>
      <c r="I906" s="49">
        <f t="shared" si="180"/>
        <v>0.23493678405058183</v>
      </c>
      <c r="J906" s="49">
        <f t="shared" si="180"/>
        <v>0.35716580103188783</v>
      </c>
      <c r="K906" s="49">
        <f t="shared" si="180"/>
        <v>0.49138364083580643</v>
      </c>
      <c r="L906" s="49">
        <f t="shared" si="181"/>
        <v>0.62258493311074692</v>
      </c>
      <c r="M906" s="49">
        <f t="shared" si="181"/>
        <v>0.73789581150089234</v>
      </c>
      <c r="N906" s="49">
        <f t="shared" si="181"/>
        <v>0.82976232877839773</v>
      </c>
      <c r="O906" s="49">
        <f t="shared" si="181"/>
        <v>0.89656143492910212</v>
      </c>
      <c r="P906" s="49">
        <f t="shared" si="181"/>
        <v>0.94115085406363652</v>
      </c>
      <c r="Q906" s="49">
        <f t="shared" si="181"/>
        <v>0.96861112522700799</v>
      </c>
      <c r="R906" s="49">
        <f t="shared" si="181"/>
        <v>0.98428099714425843</v>
      </c>
      <c r="S906" s="49">
        <f t="shared" si="181"/>
        <v>0.99259774167104153</v>
      </c>
      <c r="T906" s="49">
        <f t="shared" si="181"/>
        <v>0.99671693680391371</v>
      </c>
      <c r="U906" s="49">
        <f t="shared" si="181"/>
        <v>0.99862644664964606</v>
      </c>
      <c r="V906" s="49">
        <f t="shared" si="181"/>
        <v>0.99945710431604129</v>
      </c>
      <c r="W906" s="47">
        <v>9.7000000000000003E-2</v>
      </c>
    </row>
    <row r="907" spans="2:23" x14ac:dyDescent="0.25">
      <c r="B907" s="49">
        <f t="shared" si="180"/>
        <v>4.1366882469948959E-5</v>
      </c>
      <c r="C907" s="49">
        <f t="shared" si="180"/>
        <v>4.8070130371028358E-4</v>
      </c>
      <c r="D907" s="49">
        <f t="shared" si="180"/>
        <v>2.7903115530018303E-3</v>
      </c>
      <c r="E907" s="49">
        <f t="shared" si="180"/>
        <v>1.0802988198680577E-2</v>
      </c>
      <c r="F907" s="49">
        <f t="shared" si="180"/>
        <v>3.1438692091302081E-2</v>
      </c>
      <c r="G907" s="49">
        <f t="shared" si="180"/>
        <v>7.3515837928923342E-2</v>
      </c>
      <c r="H907" s="49">
        <f t="shared" si="180"/>
        <v>0.14426808130219004</v>
      </c>
      <c r="I907" s="49">
        <f t="shared" si="180"/>
        <v>0.24516721664145907</v>
      </c>
      <c r="J907" s="49">
        <f t="shared" si="180"/>
        <v>0.36973153383946139</v>
      </c>
      <c r="K907" s="49">
        <f t="shared" si="180"/>
        <v>0.50495374858951603</v>
      </c>
      <c r="L907" s="49">
        <f t="shared" si="181"/>
        <v>0.63562930008935326</v>
      </c>
      <c r="M907" s="49">
        <f t="shared" si="181"/>
        <v>0.74916825696391154</v>
      </c>
      <c r="N907" s="49">
        <f t="shared" si="181"/>
        <v>0.83859146041981436</v>
      </c>
      <c r="O907" s="49">
        <f t="shared" si="181"/>
        <v>0.90287235857527182</v>
      </c>
      <c r="P907" s="49">
        <f t="shared" si="181"/>
        <v>0.94529145126945124</v>
      </c>
      <c r="Q907" s="49">
        <f t="shared" si="181"/>
        <v>0.97111718199455255</v>
      </c>
      <c r="R907" s="49">
        <f t="shared" si="181"/>
        <v>0.9856862389789105</v>
      </c>
      <c r="S907" s="49">
        <f t="shared" si="181"/>
        <v>0.99333053534776272</v>
      </c>
      <c r="T907" s="49">
        <f t="shared" si="181"/>
        <v>0.99707349066263307</v>
      </c>
      <c r="U907" s="49">
        <f t="shared" si="181"/>
        <v>0.99878879924943353</v>
      </c>
      <c r="V907" s="49">
        <f t="shared" si="181"/>
        <v>0.99952646646425569</v>
      </c>
      <c r="W907" s="47">
        <v>9.6000000000000002E-2</v>
      </c>
    </row>
    <row r="908" spans="2:23" x14ac:dyDescent="0.25">
      <c r="B908" s="49">
        <f t="shared" si="180"/>
        <v>4.6202965923229025E-5</v>
      </c>
      <c r="C908" s="49">
        <f t="shared" si="180"/>
        <v>5.3125069267254902E-4</v>
      </c>
      <c r="D908" s="49">
        <f t="shared" si="180"/>
        <v>3.0518283434954841E-3</v>
      </c>
      <c r="E908" s="49">
        <f t="shared" si="180"/>
        <v>1.1695755557919582E-2</v>
      </c>
      <c r="F908" s="49">
        <f t="shared" si="180"/>
        <v>3.3700930912804176E-2</v>
      </c>
      <c r="G908" s="49">
        <f t="shared" si="180"/>
        <v>7.8054016881930269E-2</v>
      </c>
      <c r="H908" s="49">
        <f t="shared" si="180"/>
        <v>0.15177477069331072</v>
      </c>
      <c r="I908" s="49">
        <f t="shared" si="180"/>
        <v>0.25569711649503674</v>
      </c>
      <c r="J908" s="49">
        <f t="shared" si="180"/>
        <v>0.3825169134694088</v>
      </c>
      <c r="K908" s="49">
        <f t="shared" si="180"/>
        <v>0.5186028706717406</v>
      </c>
      <c r="L908" s="49">
        <f t="shared" si="181"/>
        <v>0.6485993036742933</v>
      </c>
      <c r="M908" s="49">
        <f t="shared" si="181"/>
        <v>0.76024803211240344</v>
      </c>
      <c r="N908" s="49">
        <f t="shared" si="181"/>
        <v>0.84717026081877411</v>
      </c>
      <c r="O908" s="49">
        <f t="shared" si="181"/>
        <v>0.90893409871433106</v>
      </c>
      <c r="P908" s="49">
        <f t="shared" si="181"/>
        <v>0.94922299618736572</v>
      </c>
      <c r="Q908" s="49">
        <f t="shared" si="181"/>
        <v>0.97346945151109887</v>
      </c>
      <c r="R908" s="49">
        <f t="shared" si="181"/>
        <v>0.98699013576847006</v>
      </c>
      <c r="S908" s="49">
        <f t="shared" si="181"/>
        <v>0.99400269103682803</v>
      </c>
      <c r="T908" s="49">
        <f t="shared" si="181"/>
        <v>0.99739679339659904</v>
      </c>
      <c r="U908" s="49">
        <f t="shared" si="181"/>
        <v>0.9989343249186049</v>
      </c>
      <c r="V908" s="49">
        <f t="shared" si="181"/>
        <v>0.99958792738532387</v>
      </c>
      <c r="W908" s="47">
        <v>9.5000000000000001E-2</v>
      </c>
    </row>
    <row r="909" spans="2:23" x14ac:dyDescent="0.25">
      <c r="B909" s="49">
        <f t="shared" si="180"/>
        <v>5.1598121099767349E-5</v>
      </c>
      <c r="C909" s="49">
        <f t="shared" si="180"/>
        <v>5.8699161812109167E-4</v>
      </c>
      <c r="D909" s="49">
        <f t="shared" si="180"/>
        <v>3.3368684723538702E-3</v>
      </c>
      <c r="E909" s="49">
        <f t="shared" si="180"/>
        <v>1.2657573662069816E-2</v>
      </c>
      <c r="F909" s="49">
        <f t="shared" si="180"/>
        <v>3.6109956225878329E-2</v>
      </c>
      <c r="G909" s="49">
        <f t="shared" si="180"/>
        <v>8.2830770607573823E-2</v>
      </c>
      <c r="H909" s="49">
        <f t="shared" si="180"/>
        <v>0.15958471709905611</v>
      </c>
      <c r="I909" s="49">
        <f t="shared" si="180"/>
        <v>0.26652571557517718</v>
      </c>
      <c r="J909" s="49">
        <f t="shared" si="180"/>
        <v>0.39551292657720005</v>
      </c>
      <c r="K909" s="49">
        <f t="shared" si="180"/>
        <v>0.53231641651726558</v>
      </c>
      <c r="L909" s="49">
        <f t="shared" si="181"/>
        <v>0.66147983341882166</v>
      </c>
      <c r="M909" s="49">
        <f t="shared" si="181"/>
        <v>0.77112413262598756</v>
      </c>
      <c r="N909" s="49">
        <f t="shared" si="181"/>
        <v>0.85549398188650849</v>
      </c>
      <c r="O909" s="49">
        <f t="shared" si="181"/>
        <v>0.91474758981155124</v>
      </c>
      <c r="P909" s="49">
        <f t="shared" si="181"/>
        <v>0.95294993045861132</v>
      </c>
      <c r="Q909" s="49">
        <f t="shared" si="181"/>
        <v>0.97567351661897528</v>
      </c>
      <c r="R909" s="49">
        <f t="shared" si="181"/>
        <v>0.98819775342611094</v>
      </c>
      <c r="S909" s="49">
        <f t="shared" si="181"/>
        <v>0.99461801675837647</v>
      </c>
      <c r="T909" s="49">
        <f t="shared" si="181"/>
        <v>0.99768933899807821</v>
      </c>
      <c r="U909" s="49">
        <f t="shared" si="181"/>
        <v>0.99906448351533794</v>
      </c>
      <c r="V909" s="49">
        <f t="shared" si="181"/>
        <v>0.9996422626049456</v>
      </c>
      <c r="W909" s="47">
        <v>9.4E-2</v>
      </c>
    </row>
    <row r="910" spans="2:23" x14ac:dyDescent="0.25">
      <c r="B910" s="49">
        <f t="shared" si="180"/>
        <v>5.7616252328005352E-5</v>
      </c>
      <c r="C910" s="49">
        <f t="shared" si="180"/>
        <v>6.4844303276883957E-4</v>
      </c>
      <c r="D910" s="49">
        <f t="shared" si="180"/>
        <v>3.6474415226968471E-3</v>
      </c>
      <c r="E910" s="49">
        <f t="shared" si="180"/>
        <v>1.3693313821416501E-2</v>
      </c>
      <c r="F910" s="49">
        <f t="shared" si="180"/>
        <v>3.8673846250604757E-2</v>
      </c>
      <c r="G910" s="49">
        <f t="shared" si="180"/>
        <v>8.7855250307169702E-2</v>
      </c>
      <c r="H910" s="49">
        <f t="shared" si="180"/>
        <v>0.1677037923901214</v>
      </c>
      <c r="I910" s="49">
        <f t="shared" si="180"/>
        <v>0.27765151214320877</v>
      </c>
      <c r="J910" s="49">
        <f t="shared" si="180"/>
        <v>0.40870974862219495</v>
      </c>
      <c r="K910" s="49">
        <f t="shared" si="180"/>
        <v>0.54607929947943201</v>
      </c>
      <c r="L910" s="49">
        <f t="shared" si="181"/>
        <v>0.67425580295946996</v>
      </c>
      <c r="M910" s="49">
        <f t="shared" si="181"/>
        <v>0.78178601529603153</v>
      </c>
      <c r="N910" s="49">
        <f t="shared" si="181"/>
        <v>0.86355850707946835</v>
      </c>
      <c r="O910" s="49">
        <f t="shared" si="181"/>
        <v>0.92031430432327987</v>
      </c>
      <c r="P910" s="49">
        <f t="shared" si="181"/>
        <v>0.95647700289011506</v>
      </c>
      <c r="Q910" s="49">
        <f t="shared" si="181"/>
        <v>0.97773503791833027</v>
      </c>
      <c r="R910" s="49">
        <f t="shared" si="181"/>
        <v>0.98931408620732619</v>
      </c>
      <c r="S910" s="49">
        <f t="shared" si="181"/>
        <v>0.99518018999226154</v>
      </c>
      <c r="T910" s="49">
        <f t="shared" si="181"/>
        <v>0.99795349445875936</v>
      </c>
      <c r="U910" s="49">
        <f t="shared" si="181"/>
        <v>0.9991806390366007</v>
      </c>
      <c r="V910" s="49">
        <f t="shared" si="181"/>
        <v>0.99969018620794503</v>
      </c>
      <c r="W910" s="47">
        <v>9.2999999999999999E-2</v>
      </c>
    </row>
    <row r="911" spans="2:23" x14ac:dyDescent="0.25">
      <c r="B911" s="49">
        <f t="shared" si="180"/>
        <v>6.432848560211635E-5</v>
      </c>
      <c r="C911" s="49">
        <f t="shared" si="180"/>
        <v>7.1617412966060146E-4</v>
      </c>
      <c r="D911" s="49">
        <f t="shared" si="180"/>
        <v>3.9857172872605328E-3</v>
      </c>
      <c r="E911" s="49">
        <f t="shared" si="180"/>
        <v>1.4808144424602382E-2</v>
      </c>
      <c r="F911" s="49">
        <f t="shared" si="180"/>
        <v>4.1400992730361276E-2</v>
      </c>
      <c r="G911" s="49">
        <f t="shared" si="180"/>
        <v>9.313667670244119E-2</v>
      </c>
      <c r="H911" s="49">
        <f t="shared" si="180"/>
        <v>0.17613748609821114</v>
      </c>
      <c r="I911" s="49">
        <f t="shared" si="180"/>
        <v>0.28907223379720959</v>
      </c>
      <c r="J911" s="49">
        <f t="shared" si="180"/>
        <v>0.42209674131050817</v>
      </c>
      <c r="K911" s="49">
        <f t="shared" si="180"/>
        <v>0.55987597253337573</v>
      </c>
      <c r="L911" s="49">
        <f t="shared" si="181"/>
        <v>0.68691220234008155</v>
      </c>
      <c r="M911" s="49">
        <f t="shared" si="181"/>
        <v>0.79222363828391229</v>
      </c>
      <c r="N911" s="49">
        <f t="shared" si="181"/>
        <v>0.87136036380215121</v>
      </c>
      <c r="O911" s="49">
        <f t="shared" si="181"/>
        <v>0.92563624015683321</v>
      </c>
      <c r="P911" s="49">
        <f t="shared" si="181"/>
        <v>0.95980924568271064</v>
      </c>
      <c r="Q911" s="49">
        <f t="shared" si="181"/>
        <v>0.97965973202242695</v>
      </c>
      <c r="R911" s="49">
        <f t="shared" si="181"/>
        <v>0.99034404359069517</v>
      </c>
      <c r="S911" s="49">
        <f t="shared" si="181"/>
        <v>0.99569275326689033</v>
      </c>
      <c r="T911" s="49">
        <f t="shared" si="181"/>
        <v>0.99819150090246855</v>
      </c>
      <c r="U911" s="49">
        <f t="shared" si="181"/>
        <v>0.99928406291927796</v>
      </c>
      <c r="V911" s="49">
        <f t="shared" si="181"/>
        <v>0.99973235414505512</v>
      </c>
      <c r="W911" s="47">
        <v>9.1999999999999998E-2</v>
      </c>
    </row>
    <row r="912" spans="2:23" x14ac:dyDescent="0.25">
      <c r="B912" s="49">
        <f t="shared" si="180"/>
        <v>7.1813975339969608E-5</v>
      </c>
      <c r="C912" s="49">
        <f t="shared" si="180"/>
        <v>7.9080901679722438E-4</v>
      </c>
      <c r="D912" s="49">
        <f t="shared" si="180"/>
        <v>4.3540372925668647E-3</v>
      </c>
      <c r="E912" s="49">
        <f t="shared" si="180"/>
        <v>1.6007544349707813E-2</v>
      </c>
      <c r="F912" s="49">
        <f t="shared" si="180"/>
        <v>4.4300100575206731E-2</v>
      </c>
      <c r="G912" s="49">
        <f t="shared" si="180"/>
        <v>9.8684312819866227E-2</v>
      </c>
      <c r="H912" s="49">
        <f t="shared" si="180"/>
        <v>0.18489085936331082</v>
      </c>
      <c r="I912" s="49">
        <f t="shared" si="180"/>
        <v>0.30078480161058702</v>
      </c>
      <c r="J912" s="49">
        <f t="shared" si="180"/>
        <v>0.43566245366434903</v>
      </c>
      <c r="K912" s="49">
        <f t="shared" si="180"/>
        <v>0.57369046761786113</v>
      </c>
      <c r="L912" s="49">
        <f t="shared" si="181"/>
        <v>0.69943415157743005</v>
      </c>
      <c r="M912" s="49">
        <f t="shared" si="181"/>
        <v>0.80242749983950945</v>
      </c>
      <c r="N912" s="49">
        <f t="shared" si="181"/>
        <v>0.87889673297969251</v>
      </c>
      <c r="O912" s="49">
        <f t="shared" si="181"/>
        <v>0.93071590583505681</v>
      </c>
      <c r="P912" s="49">
        <f t="shared" si="181"/>
        <v>0.96295194979411225</v>
      </c>
      <c r="Q912" s="49">
        <f t="shared" si="181"/>
        <v>0.98145335018018043</v>
      </c>
      <c r="R912" s="49">
        <f t="shared" si="181"/>
        <v>0.99129243805330658</v>
      </c>
      <c r="S912" s="49">
        <f t="shared" si="181"/>
        <v>0.99615911056476192</v>
      </c>
      <c r="T912" s="49">
        <f t="shared" si="181"/>
        <v>0.99840547519694367</v>
      </c>
      <c r="U912" s="49">
        <f t="shared" si="181"/>
        <v>0.99937593750223863</v>
      </c>
      <c r="V912" s="49">
        <f t="shared" si="181"/>
        <v>0.9997693675136673</v>
      </c>
      <c r="W912" s="47">
        <v>9.0999999999999998E-2</v>
      </c>
    </row>
    <row r="913" spans="2:23" x14ac:dyDescent="0.25">
      <c r="B913" s="49">
        <f t="shared" ref="B913:K922" si="182">_xlfn.HYPGEOM.DIST(B$2,comau,tongtheN*$W913,tongtheN,TRUE)</f>
        <v>8.0160800225432865E-5</v>
      </c>
      <c r="C913" s="49">
        <f t="shared" si="182"/>
        <v>8.7303180449658656E-4</v>
      </c>
      <c r="D913" s="49">
        <f t="shared" si="182"/>
        <v>4.7549270127834678E-3</v>
      </c>
      <c r="E913" s="49">
        <f t="shared" si="182"/>
        <v>1.7297316471996019E-2</v>
      </c>
      <c r="F913" s="49">
        <f t="shared" si="182"/>
        <v>4.7380185968622458E-2</v>
      </c>
      <c r="G913" s="49">
        <f t="shared" si="182"/>
        <v>0.10450743405689682</v>
      </c>
      <c r="H913" s="49">
        <f t="shared" si="182"/>
        <v>0.1939684972410374</v>
      </c>
      <c r="I913" s="49">
        <f t="shared" si="182"/>
        <v>0.31278529566353058</v>
      </c>
      <c r="J913" s="49">
        <f t="shared" si="182"/>
        <v>0.44939462694644772</v>
      </c>
      <c r="K913" s="49">
        <f t="shared" si="182"/>
        <v>0.58750643857983953</v>
      </c>
      <c r="L913" s="49">
        <f t="shared" ref="L913:V922" si="183">_xlfn.HYPGEOM.DIST(L$2,comau,tongtheN*$W913,tongtheN,TRUE)</f>
        <v>0.7118069552120927</v>
      </c>
      <c r="M913" s="49">
        <f t="shared" si="183"/>
        <v>0.81238867521745617</v>
      </c>
      <c r="N913" s="49">
        <f t="shared" si="183"/>
        <v>0.88616545570187744</v>
      </c>
      <c r="O913" s="49">
        <f t="shared" si="183"/>
        <v>0.93555630344015195</v>
      </c>
      <c r="P913" s="49">
        <f t="shared" si="183"/>
        <v>0.96591063958096457</v>
      </c>
      <c r="Q913" s="49">
        <f t="shared" si="183"/>
        <v>0.98312165737723123</v>
      </c>
      <c r="R913" s="49">
        <f t="shared" si="183"/>
        <v>0.9921639737803496</v>
      </c>
      <c r="S913" s="49">
        <f t="shared" si="183"/>
        <v>0.99658252452970053</v>
      </c>
      <c r="T913" s="49">
        <f t="shared" si="183"/>
        <v>0.99859741201016428</v>
      </c>
      <c r="U913" s="49">
        <f t="shared" si="183"/>
        <v>0.9994573596201719</v>
      </c>
      <c r="V913" s="49">
        <f t="shared" si="183"/>
        <v>0.99980177579685947</v>
      </c>
      <c r="W913" s="47">
        <v>0.09</v>
      </c>
    </row>
    <row r="914" spans="2:23" x14ac:dyDescent="0.25">
      <c r="B914" s="49">
        <f t="shared" si="182"/>
        <v>8.9466957857200471E-5</v>
      </c>
      <c r="C914" s="49">
        <f t="shared" si="182"/>
        <v>9.6359213925846174E-4</v>
      </c>
      <c r="D914" s="49">
        <f t="shared" si="182"/>
        <v>5.1911087980875828E-3</v>
      </c>
      <c r="E914" s="49">
        <f t="shared" si="182"/>
        <v>1.8683601199597766E-2</v>
      </c>
      <c r="F914" s="49">
        <f t="shared" si="182"/>
        <v>5.0650572770325815E-2</v>
      </c>
      <c r="G914" s="49">
        <f t="shared" si="182"/>
        <v>0.1106152954279432</v>
      </c>
      <c r="H914" s="49">
        <f t="shared" si="182"/>
        <v>0.20337445950427352</v>
      </c>
      <c r="I914" s="49">
        <f t="shared" si="182"/>
        <v>0.32506892227697531</v>
      </c>
      <c r="J914" s="49">
        <f t="shared" si="182"/>
        <v>0.46328020365863209</v>
      </c>
      <c r="K914" s="49">
        <f t="shared" si="182"/>
        <v>0.6013072076587912</v>
      </c>
      <c r="L914" s="49">
        <f t="shared" si="183"/>
        <v>0.7240161575687265</v>
      </c>
      <c r="M914" s="49">
        <f t="shared" si="183"/>
        <v>0.82209885153113571</v>
      </c>
      <c r="N914" s="49">
        <f t="shared" si="183"/>
        <v>0.89316503685753257</v>
      </c>
      <c r="O914" s="49">
        <f t="shared" si="183"/>
        <v>0.94016090942724906</v>
      </c>
      <c r="P914" s="49">
        <f t="shared" si="183"/>
        <v>0.96869104686925289</v>
      </c>
      <c r="Q914" s="49">
        <f t="shared" si="183"/>
        <v>0.98467041202246719</v>
      </c>
      <c r="R914" s="49">
        <f t="shared" si="183"/>
        <v>0.99296323634133565</v>
      </c>
      <c r="S914" s="49">
        <f t="shared" si="183"/>
        <v>0.99696611445602157</v>
      </c>
      <c r="T914" s="49">
        <f t="shared" si="183"/>
        <v>0.99876918627539013</v>
      </c>
      <c r="U914" s="49">
        <f t="shared" si="183"/>
        <v>0.99952934430081508</v>
      </c>
      <c r="V914" s="49">
        <f t="shared" si="183"/>
        <v>0.99983008004634832</v>
      </c>
      <c r="W914" s="47">
        <v>8.8999999999999996E-2</v>
      </c>
    </row>
    <row r="915" spans="2:23" x14ac:dyDescent="0.25">
      <c r="B915" s="49">
        <f t="shared" si="182"/>
        <v>9.9841468974876154E-5</v>
      </c>
      <c r="C915" s="49">
        <f t="shared" si="182"/>
        <v>1.0633112203272835E-3</v>
      </c>
      <c r="D915" s="49">
        <f t="shared" si="182"/>
        <v>5.6655155409961822E-3</v>
      </c>
      <c r="E915" s="49">
        <f t="shared" si="182"/>
        <v>2.0172889958529984E-2</v>
      </c>
      <c r="F915" s="49">
        <f t="shared" si="182"/>
        <v>5.4120887038803425E-2</v>
      </c>
      <c r="G915" s="49">
        <f t="shared" si="182"/>
        <v>0.11701709589649906</v>
      </c>
      <c r="H915" s="49">
        <f t="shared" si="182"/>
        <v>0.21311223009741284</v>
      </c>
      <c r="I915" s="49">
        <f t="shared" si="182"/>
        <v>0.33762998327378985</v>
      </c>
      <c r="J915" s="49">
        <f t="shared" si="182"/>
        <v>0.47730534082134896</v>
      </c>
      <c r="K915" s="49">
        <f t="shared" si="182"/>
        <v>0.61507581541946277</v>
      </c>
      <c r="L915" s="49">
        <f t="shared" si="183"/>
        <v>0.73604759843152978</v>
      </c>
      <c r="M915" s="49">
        <f t="shared" si="183"/>
        <v>0.83155036028907148</v>
      </c>
      <c r="N915" s="49">
        <f t="shared" si="183"/>
        <v>0.89989464569686406</v>
      </c>
      <c r="O915" s="49">
        <f t="shared" si="183"/>
        <v>0.94453365341376305</v>
      </c>
      <c r="P915" s="49">
        <f t="shared" si="183"/>
        <v>0.97129908460620529</v>
      </c>
      <c r="Q915" s="49">
        <f t="shared" si="183"/>
        <v>0.98610534632171554</v>
      </c>
      <c r="R915" s="49">
        <f t="shared" si="183"/>
        <v>0.99369468335820288</v>
      </c>
      <c r="S915" s="49">
        <f t="shared" si="183"/>
        <v>0.99731285503538936</v>
      </c>
      <c r="T915" s="49">
        <f t="shared" si="183"/>
        <v>0.99892255602805058</v>
      </c>
      <c r="U915" s="49">
        <f t="shared" si="183"/>
        <v>0.99959282853816811</v>
      </c>
      <c r="V915" s="49">
        <f t="shared" si="183"/>
        <v>0.99985473599636809</v>
      </c>
      <c r="W915" s="47">
        <v>8.7999999999999995E-2</v>
      </c>
    </row>
    <row r="916" spans="2:23" x14ac:dyDescent="0.25">
      <c r="B916" s="49">
        <f t="shared" si="182"/>
        <v>1.1140560319331082E-4</v>
      </c>
      <c r="C916" s="49">
        <f t="shared" si="182"/>
        <v>1.1730883377030603E-3</v>
      </c>
      <c r="D916" s="49">
        <f t="shared" si="182"/>
        <v>6.1813051023498966E-3</v>
      </c>
      <c r="E916" s="49">
        <f t="shared" si="182"/>
        <v>2.1772038537727294E-2</v>
      </c>
      <c r="F916" s="49">
        <f t="shared" si="182"/>
        <v>5.7801049488383417E-2</v>
      </c>
      <c r="G916" s="49">
        <f t="shared" si="182"/>
        <v>0.12372193971008927</v>
      </c>
      <c r="H916" s="49">
        <f t="shared" si="182"/>
        <v>0.2231846654270985</v>
      </c>
      <c r="I916" s="49">
        <f t="shared" si="182"/>
        <v>0.35046184760577881</v>
      </c>
      <c r="J916" s="49">
        <f t="shared" si="182"/>
        <v>0.49145542772610146</v>
      </c>
      <c r="K916" s="49">
        <f t="shared" si="182"/>
        <v>0.62879507401175072</v>
      </c>
      <c r="L916" s="49">
        <f t="shared" si="183"/>
        <v>0.74788746882347068</v>
      </c>
      <c r="M916" s="49">
        <f t="shared" si="183"/>
        <v>0.8407362073652932</v>
      </c>
      <c r="N916" s="49">
        <f t="shared" si="183"/>
        <v>0.9063541132790095</v>
      </c>
      <c r="O916" s="49">
        <f t="shared" si="183"/>
        <v>0.94867889506559999</v>
      </c>
      <c r="P916" s="49">
        <f t="shared" si="183"/>
        <v>0.97374082024951514</v>
      </c>
      <c r="Q916" s="49">
        <f t="shared" si="183"/>
        <v>0.98743214743434549</v>
      </c>
      <c r="R916" s="49">
        <f t="shared" si="183"/>
        <v>0.99436263618325604</v>
      </c>
      <c r="S916" s="49">
        <f t="shared" si="183"/>
        <v>0.99762557583294653</v>
      </c>
      <c r="T916" s="49">
        <f t="shared" si="183"/>
        <v>0.99905916557692809</v>
      </c>
      <c r="U916" s="49">
        <f t="shared" si="183"/>
        <v>0.99964867511541677</v>
      </c>
      <c r="V916" s="49">
        <f t="shared" si="183"/>
        <v>0.99987615709685462</v>
      </c>
      <c r="W916" s="47">
        <v>8.6999999999999994E-2</v>
      </c>
    </row>
    <row r="917" spans="2:23" x14ac:dyDescent="0.25">
      <c r="B917" s="49">
        <f t="shared" si="182"/>
        <v>1.2430557292638047E-4</v>
      </c>
      <c r="C917" s="49">
        <f t="shared" si="182"/>
        <v>1.2940135538026419E-3</v>
      </c>
      <c r="D917" s="49">
        <f t="shared" si="182"/>
        <v>6.7423623304706847E-3</v>
      </c>
      <c r="E917" s="49">
        <f t="shared" si="182"/>
        <v>2.348976131663584E-2</v>
      </c>
      <c r="F917" s="49">
        <f t="shared" si="182"/>
        <v>6.1704610528661906E-2</v>
      </c>
      <c r="G917" s="49">
        <f t="shared" si="182"/>
        <v>0.13074477461744455</v>
      </c>
      <c r="H917" s="49">
        <f t="shared" si="182"/>
        <v>0.23360275701883668</v>
      </c>
      <c r="I917" s="49">
        <f t="shared" si="182"/>
        <v>0.36356794571172429</v>
      </c>
      <c r="J917" s="49">
        <f t="shared" si="182"/>
        <v>0.50572703268220465</v>
      </c>
      <c r="K917" s="49">
        <f t="shared" si="182"/>
        <v>0.6424589680574555</v>
      </c>
      <c r="L917" s="49">
        <f t="shared" si="183"/>
        <v>0.75953197320054822</v>
      </c>
      <c r="M917" s="49">
        <f t="shared" si="183"/>
        <v>0.84965741340014311</v>
      </c>
      <c r="N917" s="49">
        <f t="shared" si="183"/>
        <v>0.91254897278221636</v>
      </c>
      <c r="O917" s="49">
        <f t="shared" si="183"/>
        <v>0.95260457648987307</v>
      </c>
      <c r="P917" s="49">
        <f t="shared" si="183"/>
        <v>0.97602428538699548</v>
      </c>
      <c r="Q917" s="49">
        <f t="shared" si="183"/>
        <v>0.98865741854570233</v>
      </c>
      <c r="R917" s="49">
        <f t="shared" si="183"/>
        <v>0.99497175618972766</v>
      </c>
      <c r="S917" s="49">
        <f t="shared" si="183"/>
        <v>0.99790718359781205</v>
      </c>
      <c r="T917" s="49">
        <f t="shared" si="183"/>
        <v>0.99918064417928476</v>
      </c>
      <c r="U917" s="49">
        <f t="shared" si="183"/>
        <v>0.99969771463881141</v>
      </c>
      <c r="V917" s="49">
        <f t="shared" si="183"/>
        <v>0.9998947318260053</v>
      </c>
      <c r="W917" s="47">
        <v>8.5999999999999993E-2</v>
      </c>
    </row>
    <row r="918" spans="2:23" x14ac:dyDescent="0.25">
      <c r="B918" s="49">
        <f t="shared" si="182"/>
        <v>1.3865737587039E-4</v>
      </c>
      <c r="C918" s="49">
        <f t="shared" si="182"/>
        <v>1.4268475076563939E-3</v>
      </c>
      <c r="D918" s="49">
        <f t="shared" si="182"/>
        <v>7.35088099149739E-3</v>
      </c>
      <c r="E918" s="49">
        <f t="shared" si="182"/>
        <v>2.5329238397665294E-2</v>
      </c>
      <c r="F918" s="49">
        <f t="shared" si="182"/>
        <v>6.5832013793924712E-2</v>
      </c>
      <c r="G918" s="49">
        <f t="shared" si="182"/>
        <v>0.13807644725846341</v>
      </c>
      <c r="H918" s="49">
        <f t="shared" si="182"/>
        <v>0.24434150154748971</v>
      </c>
      <c r="I918" s="49">
        <f t="shared" si="182"/>
        <v>0.37690664686913489</v>
      </c>
      <c r="J918" s="49">
        <f t="shared" si="182"/>
        <v>0.52006830848052765</v>
      </c>
      <c r="K918" s="49">
        <f t="shared" si="182"/>
        <v>0.65601599181699688</v>
      </c>
      <c r="L918" s="49">
        <f t="shared" si="183"/>
        <v>0.77093935125233126</v>
      </c>
      <c r="M918" s="49">
        <f t="shared" si="183"/>
        <v>0.85828647175438877</v>
      </c>
      <c r="N918" s="49">
        <f t="shared" si="183"/>
        <v>0.91846522068013003</v>
      </c>
      <c r="O918" s="49">
        <f t="shared" si="183"/>
        <v>0.95630630936374317</v>
      </c>
      <c r="P918" s="49">
        <f t="shared" si="183"/>
        <v>0.97815026739344302</v>
      </c>
      <c r="Q918" s="49">
        <f t="shared" si="183"/>
        <v>0.98978376662978707</v>
      </c>
      <c r="R918" s="49">
        <f t="shared" si="183"/>
        <v>0.99552462053320367</v>
      </c>
      <c r="S918" s="49">
        <f t="shared" si="183"/>
        <v>0.9981595524107193</v>
      </c>
      <c r="T918" s="49">
        <f t="shared" si="183"/>
        <v>0.99928813372888325</v>
      </c>
      <c r="U918" s="49">
        <f t="shared" si="183"/>
        <v>0.99974055845521592</v>
      </c>
      <c r="V918" s="49">
        <f t="shared" si="183"/>
        <v>0.99991075468113888</v>
      </c>
      <c r="W918" s="47">
        <v>8.5000000000000006E-2</v>
      </c>
    </row>
    <row r="919" spans="2:23" x14ac:dyDescent="0.25">
      <c r="B919" s="49">
        <f t="shared" si="182"/>
        <v>1.5466180504787898E-4</v>
      </c>
      <c r="C919" s="49">
        <f t="shared" si="182"/>
        <v>1.5730855849212665E-3</v>
      </c>
      <c r="D919" s="49">
        <f t="shared" si="182"/>
        <v>8.0122487199889274E-3</v>
      </c>
      <c r="E919" s="49">
        <f t="shared" si="182"/>
        <v>2.7302939109478747E-2</v>
      </c>
      <c r="F919" s="49">
        <f t="shared" si="182"/>
        <v>7.020402962533788E-2</v>
      </c>
      <c r="G919" s="49">
        <f t="shared" si="182"/>
        <v>0.14574345464571495</v>
      </c>
      <c r="H919" s="49">
        <f t="shared" si="182"/>
        <v>0.25542800020186862</v>
      </c>
      <c r="I919" s="49">
        <f t="shared" si="182"/>
        <v>0.39050144020751071</v>
      </c>
      <c r="J919" s="49">
        <f t="shared" si="182"/>
        <v>0.53449826799643596</v>
      </c>
      <c r="K919" s="49">
        <f t="shared" si="182"/>
        <v>0.66948265590803169</v>
      </c>
      <c r="L919" s="49">
        <f t="shared" si="183"/>
        <v>0.782125998359813</v>
      </c>
      <c r="M919" s="49">
        <f t="shared" si="183"/>
        <v>0.8666405017517993</v>
      </c>
      <c r="N919" s="49">
        <f t="shared" si="183"/>
        <v>0.92411976479409785</v>
      </c>
      <c r="O919" s="49">
        <f t="shared" si="183"/>
        <v>0.95979911971929233</v>
      </c>
      <c r="P919" s="49">
        <f t="shared" si="183"/>
        <v>0.98013064633342739</v>
      </c>
      <c r="Q919" s="49">
        <f t="shared" si="183"/>
        <v>0.9908195768975373</v>
      </c>
      <c r="R919" s="49">
        <f t="shared" si="183"/>
        <v>0.99602655281538988</v>
      </c>
      <c r="S919" s="49">
        <f t="shared" si="183"/>
        <v>0.99838574651446066</v>
      </c>
      <c r="T919" s="49">
        <f t="shared" si="183"/>
        <v>0.99938324477830076</v>
      </c>
      <c r="U919" s="49">
        <f t="shared" si="183"/>
        <v>0.99977798434230658</v>
      </c>
      <c r="V919" s="49">
        <f t="shared" si="183"/>
        <v>0.99992457261692647</v>
      </c>
      <c r="W919" s="47">
        <v>8.4000000000000005E-2</v>
      </c>
    </row>
    <row r="920" spans="2:23" x14ac:dyDescent="0.25">
      <c r="B920" s="49">
        <f t="shared" si="182"/>
        <v>1.7249297303137572E-4</v>
      </c>
      <c r="C920" s="49">
        <f t="shared" si="182"/>
        <v>1.733911177134167E-3</v>
      </c>
      <c r="D920" s="49">
        <f t="shared" si="182"/>
        <v>8.7301965057680099E-3</v>
      </c>
      <c r="E920" s="49">
        <f t="shared" si="182"/>
        <v>2.9417822418449941E-2</v>
      </c>
      <c r="F920" s="49">
        <f t="shared" si="182"/>
        <v>7.4828288836926313E-2</v>
      </c>
      <c r="G920" s="49">
        <f t="shared" si="182"/>
        <v>0.15374809345251944</v>
      </c>
      <c r="H920" s="49">
        <f t="shared" si="182"/>
        <v>0.26685325152756784</v>
      </c>
      <c r="I920" s="49">
        <f t="shared" si="182"/>
        <v>0.40433071926451908</v>
      </c>
      <c r="J920" s="49">
        <f t="shared" si="182"/>
        <v>0.54898757788073349</v>
      </c>
      <c r="K920" s="49">
        <f t="shared" si="182"/>
        <v>0.68283010751197182</v>
      </c>
      <c r="L920" s="49">
        <f t="shared" si="183"/>
        <v>0.79307045200887916</v>
      </c>
      <c r="M920" s="49">
        <f t="shared" si="183"/>
        <v>0.87470813376515588</v>
      </c>
      <c r="N920" s="49">
        <f t="shared" si="183"/>
        <v>0.92950994928580633</v>
      </c>
      <c r="O920" s="49">
        <f t="shared" si="183"/>
        <v>0.96308564596052249</v>
      </c>
      <c r="P920" s="49">
        <f t="shared" si="183"/>
        <v>0.98197000551040736</v>
      </c>
      <c r="Q920" s="49">
        <f t="shared" si="183"/>
        <v>0.99176920745964292</v>
      </c>
      <c r="R920" s="49">
        <f t="shared" si="183"/>
        <v>0.99648078291386144</v>
      </c>
      <c r="S920" s="49">
        <f t="shared" si="183"/>
        <v>0.9985878009781618</v>
      </c>
      <c r="T920" s="49">
        <f t="shared" si="183"/>
        <v>0.99946710859304466</v>
      </c>
      <c r="U920" s="49">
        <f t="shared" si="183"/>
        <v>0.99981055843250655</v>
      </c>
      <c r="V920" s="49">
        <f t="shared" si="183"/>
        <v>0.99993644396378567</v>
      </c>
      <c r="W920" s="47">
        <v>8.3000000000000004E-2</v>
      </c>
    </row>
    <row r="921" spans="2:23" x14ac:dyDescent="0.25">
      <c r="B921" s="49">
        <f t="shared" si="182"/>
        <v>1.9235704153728648E-4</v>
      </c>
      <c r="C921" s="49">
        <f t="shared" si="182"/>
        <v>1.9107334104438067E-3</v>
      </c>
      <c r="D921" s="49">
        <f t="shared" si="182"/>
        <v>9.5092512143511859E-3</v>
      </c>
      <c r="E921" s="49">
        <f t="shared" si="182"/>
        <v>3.1682753413059241E-2</v>
      </c>
      <c r="F921" s="49">
        <f t="shared" si="182"/>
        <v>7.9715985997118793E-2</v>
      </c>
      <c r="G921" s="49">
        <f t="shared" si="182"/>
        <v>0.16209830537301781</v>
      </c>
      <c r="H921" s="49">
        <f t="shared" si="182"/>
        <v>0.27861617423077639</v>
      </c>
      <c r="I921" s="49">
        <f t="shared" si="182"/>
        <v>0.41838287096127857</v>
      </c>
      <c r="J921" s="49">
        <f t="shared" si="182"/>
        <v>0.56351822256569473</v>
      </c>
      <c r="K921" s="49">
        <f t="shared" si="182"/>
        <v>0.69604091959975967</v>
      </c>
      <c r="L921" s="49">
        <f t="shared" si="183"/>
        <v>0.80376147612970161</v>
      </c>
      <c r="M921" s="49">
        <f t="shared" si="183"/>
        <v>0.88248608921517235</v>
      </c>
      <c r="N921" s="49">
        <f t="shared" si="183"/>
        <v>0.93463876663804712</v>
      </c>
      <c r="O921" s="49">
        <f t="shared" si="183"/>
        <v>0.96617199489302985</v>
      </c>
      <c r="P921" s="49">
        <f t="shared" si="183"/>
        <v>0.983674787566445</v>
      </c>
      <c r="Q921" s="49">
        <f t="shared" si="183"/>
        <v>0.99263787079618637</v>
      </c>
      <c r="R921" s="49">
        <f t="shared" si="183"/>
        <v>0.99689086168569907</v>
      </c>
      <c r="S921" s="49">
        <f t="shared" si="183"/>
        <v>0.9987678349591137</v>
      </c>
      <c r="T921" s="49">
        <f t="shared" si="183"/>
        <v>0.99954085746630339</v>
      </c>
      <c r="U921" s="49">
        <f t="shared" si="183"/>
        <v>0.99983882987028616</v>
      </c>
      <c r="V921" s="49">
        <f t="shared" si="183"/>
        <v>0.9999466127824973</v>
      </c>
      <c r="W921" s="47">
        <v>8.2000000000000003E-2</v>
      </c>
    </row>
    <row r="922" spans="2:23" x14ac:dyDescent="0.25">
      <c r="B922" s="49">
        <f t="shared" si="182"/>
        <v>2.1448317558637279E-4</v>
      </c>
      <c r="C922" s="49">
        <f t="shared" si="182"/>
        <v>2.1050922044160854E-3</v>
      </c>
      <c r="D922" s="49">
        <f t="shared" si="182"/>
        <v>1.0354268043549716E-2</v>
      </c>
      <c r="E922" s="49">
        <f t="shared" si="182"/>
        <v>3.4107032095395257E-2</v>
      </c>
      <c r="F922" s="49">
        <f t="shared" si="182"/>
        <v>8.487851032801294E-2</v>
      </c>
      <c r="G922" s="49">
        <f t="shared" si="182"/>
        <v>0.17080163962126191</v>
      </c>
      <c r="H922" s="49">
        <f t="shared" si="182"/>
        <v>0.29071473861099667</v>
      </c>
      <c r="I922" s="49">
        <f t="shared" si="182"/>
        <v>0.43264524908095586</v>
      </c>
      <c r="J922" s="49">
        <f t="shared" si="182"/>
        <v>0.5780716273336215</v>
      </c>
      <c r="K922" s="49">
        <f t="shared" si="182"/>
        <v>0.70909781537217387</v>
      </c>
      <c r="L922" s="49">
        <f t="shared" si="183"/>
        <v>0.81418850358490502</v>
      </c>
      <c r="M922" s="49">
        <f t="shared" si="183"/>
        <v>0.88997187737628936</v>
      </c>
      <c r="N922" s="49">
        <f t="shared" si="183"/>
        <v>0.93950979072625174</v>
      </c>
      <c r="O922" s="49">
        <f t="shared" si="183"/>
        <v>0.96906453320047659</v>
      </c>
      <c r="P922" s="49">
        <f t="shared" si="183"/>
        <v>0.98525143322592668</v>
      </c>
      <c r="Q922" s="49">
        <f t="shared" si="183"/>
        <v>0.99343064215812948</v>
      </c>
      <c r="R922" s="49">
        <f t="shared" si="183"/>
        <v>0.99726017508560527</v>
      </c>
      <c r="S922" s="49">
        <f t="shared" si="183"/>
        <v>0.99892783263210716</v>
      </c>
      <c r="T922" s="49">
        <f t="shared" si="183"/>
        <v>0.99960553389981122</v>
      </c>
      <c r="U922" s="49">
        <f t="shared" si="183"/>
        <v>0.99986329627469106</v>
      </c>
      <c r="V922" s="49">
        <f t="shared" si="183"/>
        <v>0.99995529687473494</v>
      </c>
      <c r="W922" s="47">
        <v>8.1000000000000003E-2</v>
      </c>
    </row>
    <row r="923" spans="2:23" x14ac:dyDescent="0.25">
      <c r="B923" s="49">
        <f t="shared" ref="B923:K932" si="184">_xlfn.HYPGEOM.DIST(B$2,comau,tongtheN*$W923,tongtheN,TRUE)</f>
        <v>2.3912608083674234E-4</v>
      </c>
      <c r="C923" s="49">
        <f t="shared" si="184"/>
        <v>2.3186697863254915E-3</v>
      </c>
      <c r="D923" s="49">
        <f t="shared" si="184"/>
        <v>1.1270450606605781E-2</v>
      </c>
      <c r="E923" s="49">
        <f t="shared" si="184"/>
        <v>3.6700402153724346E-2</v>
      </c>
      <c r="F923" s="49">
        <f t="shared" si="184"/>
        <v>9.0327417884002711E-2</v>
      </c>
      <c r="G923" s="49">
        <f t="shared" si="184"/>
        <v>0.17986519227513229</v>
      </c>
      <c r="H923" s="49">
        <f t="shared" si="184"/>
        <v>0.30314591424546239</v>
      </c>
      <c r="I923" s="49">
        <f t="shared" si="184"/>
        <v>0.44710417272881381</v>
      </c>
      <c r="J923" s="49">
        <f t="shared" si="184"/>
        <v>0.59262871088247659</v>
      </c>
      <c r="K923" s="49">
        <f t="shared" si="184"/>
        <v>0.72198373872878252</v>
      </c>
      <c r="L923" s="49">
        <f t="shared" ref="L923:V932" si="185">_xlfn.HYPGEOM.DIST(L$2,comau,tongtheN*$W923,tongtheN,TRUE)</f>
        <v>0.82434168289973075</v>
      </c>
      <c r="M923" s="49">
        <f t="shared" si="185"/>
        <v>0.89716380150491515</v>
      </c>
      <c r="N923" s="49">
        <f t="shared" si="185"/>
        <v>0.94412715309065265</v>
      </c>
      <c r="O923" s="49">
        <f t="shared" si="185"/>
        <v>0.97176985548707473</v>
      </c>
      <c r="P923" s="49">
        <f t="shared" si="185"/>
        <v>0.98670635717357413</v>
      </c>
      <c r="Q923" s="49">
        <f t="shared" si="185"/>
        <v>0.99415244824494042</v>
      </c>
      <c r="R923" s="49">
        <f t="shared" si="185"/>
        <v>0.99759194281338093</v>
      </c>
      <c r="S923" s="49">
        <f t="shared" si="185"/>
        <v>0.99906964670081644</v>
      </c>
      <c r="T923" s="49">
        <f t="shared" si="185"/>
        <v>0.99966209506981263</v>
      </c>
      <c r="U923" s="49">
        <f t="shared" si="185"/>
        <v>0.99988440729547345</v>
      </c>
      <c r="V923" s="49">
        <f t="shared" si="185"/>
        <v>0.99996269003916072</v>
      </c>
      <c r="W923" s="47">
        <v>0.08</v>
      </c>
    </row>
    <row r="924" spans="2:23" x14ac:dyDescent="0.25">
      <c r="B924" s="49">
        <f t="shared" si="184"/>
        <v>2.6656881756205876E-4</v>
      </c>
      <c r="C924" s="49">
        <f t="shared" si="184"/>
        <v>2.5533031436447613E-3</v>
      </c>
      <c r="D924" s="49">
        <f t="shared" si="184"/>
        <v>1.2263371811719312E-2</v>
      </c>
      <c r="E924" s="49">
        <f t="shared" si="184"/>
        <v>3.9473058384048285E-2</v>
      </c>
      <c r="F924" s="49">
        <f t="shared" si="184"/>
        <v>9.6074399937810293E-2</v>
      </c>
      <c r="G924" s="49">
        <f t="shared" si="184"/>
        <v>0.18929554259797762</v>
      </c>
      <c r="H924" s="49">
        <f t="shared" si="184"/>
        <v>0.31590561903026987</v>
      </c>
      <c r="I924" s="49">
        <f t="shared" si="184"/>
        <v>0.46174493013257245</v>
      </c>
      <c r="J924" s="49">
        <f t="shared" si="184"/>
        <v>0.60716994300584204</v>
      </c>
      <c r="K924" s="49">
        <f t="shared" si="184"/>
        <v>0.73468192593301829</v>
      </c>
      <c r="L924" s="49">
        <f t="shared" si="185"/>
        <v>0.83421192222317497</v>
      </c>
      <c r="M924" s="49">
        <f t="shared" si="185"/>
        <v>0.90406096094589639</v>
      </c>
      <c r="N924" s="49">
        <f t="shared" si="185"/>
        <v>0.94849551654617581</v>
      </c>
      <c r="O924" s="49">
        <f t="shared" si="185"/>
        <v>0.97429475181749114</v>
      </c>
      <c r="P924" s="49">
        <f t="shared" si="185"/>
        <v>0.98804592486315546</v>
      </c>
      <c r="Q924" s="49">
        <f t="shared" si="185"/>
        <v>0.9948080571416571</v>
      </c>
      <c r="R924" s="49">
        <f t="shared" si="185"/>
        <v>0.99788921786265339</v>
      </c>
      <c r="S924" s="49">
        <f t="shared" si="185"/>
        <v>0.99919500230599489</v>
      </c>
      <c r="T924" s="49">
        <f t="shared" si="185"/>
        <v>0.9997114173380014</v>
      </c>
      <c r="U924" s="49">
        <f t="shared" si="185"/>
        <v>0.99990256806305167</v>
      </c>
      <c r="V924" s="49">
        <f t="shared" si="185"/>
        <v>0.99996896420132397</v>
      </c>
      <c r="W924" s="47">
        <v>7.9000000000000001E-2</v>
      </c>
    </row>
    <row r="925" spans="2:23" x14ac:dyDescent="0.25">
      <c r="B925" s="49">
        <f t="shared" si="184"/>
        <v>2.971259210862005E-4</v>
      </c>
      <c r="C925" s="49">
        <f t="shared" si="184"/>
        <v>2.8109974816893663E-3</v>
      </c>
      <c r="D925" s="49">
        <f t="shared" si="184"/>
        <v>1.3338995512918008E-2</v>
      </c>
      <c r="E925" s="49">
        <f t="shared" si="184"/>
        <v>4.243565253281225E-2</v>
      </c>
      <c r="F925" s="49">
        <f t="shared" si="184"/>
        <v>0.1021312473439651</v>
      </c>
      <c r="G925" s="49">
        <f t="shared" si="184"/>
        <v>0.19909868645464193</v>
      </c>
      <c r="H925" s="49">
        <f t="shared" si="184"/>
        <v>0.32898867003341137</v>
      </c>
      <c r="I925" s="49">
        <f t="shared" si="184"/>
        <v>0.4765517881460285</v>
      </c>
      <c r="J925" s="49">
        <f t="shared" si="184"/>
        <v>0.62167540730959026</v>
      </c>
      <c r="K925" s="49">
        <f t="shared" si="184"/>
        <v>0.7471759780620808</v>
      </c>
      <c r="L925" s="49">
        <f t="shared" si="185"/>
        <v>0.84379093015272244</v>
      </c>
      <c r="M925" s="49">
        <f t="shared" si="185"/>
        <v>0.91066324913607288</v>
      </c>
      <c r="N925" s="49">
        <f t="shared" si="185"/>
        <v>0.95262004628873065</v>
      </c>
      <c r="O925" s="49">
        <f t="shared" si="185"/>
        <v>0.97664617496390393</v>
      </c>
      <c r="P925" s="49">
        <f t="shared" si="185"/>
        <v>0.9892764303806777</v>
      </c>
      <c r="Q925" s="49">
        <f t="shared" si="185"/>
        <v>0.99540206953259747</v>
      </c>
      <c r="R925" s="49">
        <f t="shared" si="185"/>
        <v>0.99815488692963616</v>
      </c>
      <c r="S925" s="49">
        <f t="shared" si="185"/>
        <v>0.9993055012821066</v>
      </c>
      <c r="T925" s="49">
        <f t="shared" si="185"/>
        <v>0.99975430077659699</v>
      </c>
      <c r="U925" s="49">
        <f t="shared" si="185"/>
        <v>0.99991814252054145</v>
      </c>
      <c r="V925" s="49">
        <f t="shared" si="185"/>
        <v>0.99997427141694772</v>
      </c>
      <c r="W925" s="47">
        <v>7.8E-2</v>
      </c>
    </row>
    <row r="926" spans="2:23" x14ac:dyDescent="0.25">
      <c r="B926" s="49">
        <f t="shared" si="184"/>
        <v>3.311468616602464E-4</v>
      </c>
      <c r="C926" s="49">
        <f t="shared" si="184"/>
        <v>3.0939407568717969E-3</v>
      </c>
      <c r="D926" s="49">
        <f t="shared" si="184"/>
        <v>1.4503698896920974E-2</v>
      </c>
      <c r="E926" s="49">
        <f t="shared" si="184"/>
        <v>4.5599297312810233E-2</v>
      </c>
      <c r="F926" s="49">
        <f t="shared" si="184"/>
        <v>0.10850981065244449</v>
      </c>
      <c r="G926" s="49">
        <f t="shared" si="184"/>
        <v>0.2092799669751278</v>
      </c>
      <c r="H926" s="49">
        <f t="shared" si="184"/>
        <v>0.34238873664564112</v>
      </c>
      <c r="I926" s="49">
        <f t="shared" si="184"/>
        <v>0.4915080078045993</v>
      </c>
      <c r="J926" s="49">
        <f t="shared" si="184"/>
        <v>0.63612486884280783</v>
      </c>
      <c r="K926" s="49">
        <f t="shared" si="184"/>
        <v>0.75944993380128456</v>
      </c>
      <c r="L926" s="49">
        <f t="shared" si="185"/>
        <v>0.85307125306419473</v>
      </c>
      <c r="M926" s="49">
        <f t="shared" si="185"/>
        <v>0.91697134745299858</v>
      </c>
      <c r="N926" s="49">
        <f t="shared" si="185"/>
        <v>0.95650637867789423</v>
      </c>
      <c r="O926" s="49">
        <f t="shared" si="185"/>
        <v>0.97883120757227293</v>
      </c>
      <c r="P926" s="49">
        <f t="shared" si="185"/>
        <v>0.99040407547633891</v>
      </c>
      <c r="Q926" s="49">
        <f t="shared" si="185"/>
        <v>0.99593891119894984</v>
      </c>
      <c r="R926" s="49">
        <f t="shared" si="185"/>
        <v>0.99839167163592324</v>
      </c>
      <c r="S926" s="49">
        <f t="shared" si="185"/>
        <v>0.99940262671395108</v>
      </c>
      <c r="T926" s="49">
        <f t="shared" si="185"/>
        <v>0.9997914736786051</v>
      </c>
      <c r="U926" s="49">
        <f t="shared" si="185"/>
        <v>0.9999314566278662</v>
      </c>
      <c r="V926" s="49">
        <f t="shared" si="185"/>
        <v>0.99997874574913226</v>
      </c>
      <c r="W926" s="47">
        <v>7.6999999999999999E-2</v>
      </c>
    </row>
    <row r="927" spans="2:23" x14ac:dyDescent="0.25">
      <c r="B927" s="49">
        <f t="shared" si="184"/>
        <v>3.690198802764354E-4</v>
      </c>
      <c r="C927" s="49">
        <f t="shared" si="184"/>
        <v>3.4045193595058235E-3</v>
      </c>
      <c r="D927" s="49">
        <f t="shared" si="184"/>
        <v>1.576429555888938E-2</v>
      </c>
      <c r="E927" s="49">
        <f t="shared" si="184"/>
        <v>4.8975568323394419E-2</v>
      </c>
      <c r="F927" s="49">
        <f t="shared" si="184"/>
        <v>0.11522195575041358</v>
      </c>
      <c r="G927" s="49">
        <f t="shared" si="184"/>
        <v>0.21984400265888185</v>
      </c>
      <c r="H927" s="49">
        <f t="shared" si="184"/>
        <v>0.35609829654482994</v>
      </c>
      <c r="I927" s="49">
        <f t="shared" si="184"/>
        <v>0.50659586626262065</v>
      </c>
      <c r="J927" s="49">
        <f t="shared" si="184"/>
        <v>0.65049784647297548</v>
      </c>
      <c r="K927" s="49">
        <f t="shared" si="184"/>
        <v>0.77148834211545914</v>
      </c>
      <c r="L927" s="49">
        <f t="shared" si="185"/>
        <v>0.86204630860085008</v>
      </c>
      <c r="M927" s="49">
        <f t="shared" si="185"/>
        <v>0.92298671488774497</v>
      </c>
      <c r="N927" s="49">
        <f t="shared" si="185"/>
        <v>0.96016058789622361</v>
      </c>
      <c r="O927" s="49">
        <f t="shared" si="185"/>
        <v>0.98085702946037878</v>
      </c>
      <c r="P927" s="49">
        <f t="shared" si="185"/>
        <v>0.99143494986901848</v>
      </c>
      <c r="Q927" s="49">
        <f t="shared" si="185"/>
        <v>0.9964228267975872</v>
      </c>
      <c r="R927" s="49">
        <f t="shared" si="185"/>
        <v>0.99860213051508451</v>
      </c>
      <c r="S927" s="49">
        <f t="shared" si="185"/>
        <v>0.99948774774519655</v>
      </c>
      <c r="T927" s="49">
        <f t="shared" si="185"/>
        <v>0.99982359702633539</v>
      </c>
      <c r="U927" s="49">
        <f t="shared" si="185"/>
        <v>0.9999428014296784</v>
      </c>
      <c r="V927" s="49">
        <f t="shared" si="185"/>
        <v>0.99998250502088259</v>
      </c>
      <c r="W927" s="47">
        <v>7.5999999999999998E-2</v>
      </c>
    </row>
    <row r="928" spans="2:23" x14ac:dyDescent="0.25">
      <c r="B928" s="49">
        <f t="shared" si="184"/>
        <v>4.111762407912458E-4</v>
      </c>
      <c r="C928" s="49">
        <f t="shared" si="184"/>
        <v>3.7453350235306191E-3</v>
      </c>
      <c r="D928" s="49">
        <f t="shared" si="184"/>
        <v>1.7128059206606421E-2</v>
      </c>
      <c r="E928" s="49">
        <f t="shared" si="184"/>
        <v>5.2576503584415006E-2</v>
      </c>
      <c r="F928" s="49">
        <f t="shared" si="184"/>
        <v>0.12227951481803424</v>
      </c>
      <c r="G928" s="49">
        <f t="shared" si="184"/>
        <v>0.2307946131556671</v>
      </c>
      <c r="H928" s="49">
        <f t="shared" si="184"/>
        <v>0.37010859501765309</v>
      </c>
      <c r="I928" s="49">
        <f t="shared" si="184"/>
        <v>0.52179668541835922</v>
      </c>
      <c r="J928" s="49">
        <f t="shared" si="184"/>
        <v>0.66477368978573081</v>
      </c>
      <c r="K928" s="49">
        <f t="shared" si="184"/>
        <v>0.78327633430549981</v>
      </c>
      <c r="L928" s="49">
        <f t="shared" si="185"/>
        <v>0.87071041499231616</v>
      </c>
      <c r="M928" s="49">
        <f t="shared" si="185"/>
        <v>0.9287115735529079</v>
      </c>
      <c r="N928" s="49">
        <f t="shared" si="185"/>
        <v>0.96358915070437801</v>
      </c>
      <c r="O928" s="49">
        <f t="shared" si="185"/>
        <v>0.98273088525877539</v>
      </c>
      <c r="P928" s="49">
        <f t="shared" si="185"/>
        <v>0.99237501291571539</v>
      </c>
      <c r="Q928" s="49">
        <f t="shared" si="185"/>
        <v>0.99685787490875188</v>
      </c>
      <c r="R928" s="49">
        <f t="shared" si="185"/>
        <v>0.99878866170915437</v>
      </c>
      <c r="S928" s="49">
        <f t="shared" si="185"/>
        <v>0.99956212459149196</v>
      </c>
      <c r="T928" s="49">
        <f t="shared" si="185"/>
        <v>0.99985126889339004</v>
      </c>
      <c r="U928" s="49">
        <f t="shared" si="185"/>
        <v>0.99995243598050076</v>
      </c>
      <c r="V928" s="49">
        <f t="shared" si="185"/>
        <v>0.99998565244515092</v>
      </c>
      <c r="W928" s="47">
        <v>7.4999999999999997E-2</v>
      </c>
    </row>
    <row r="929" spans="2:23" x14ac:dyDescent="0.25">
      <c r="B929" s="49">
        <f t="shared" si="184"/>
        <v>4.5809494301437745E-4</v>
      </c>
      <c r="C929" s="49">
        <f t="shared" si="184"/>
        <v>4.1192230438509975E-3</v>
      </c>
      <c r="D929" s="49">
        <f t="shared" si="184"/>
        <v>1.86027479175318E-2</v>
      </c>
      <c r="E929" s="49">
        <f t="shared" si="184"/>
        <v>5.6414600371007935E-2</v>
      </c>
      <c r="F929" s="49">
        <f t="shared" si="184"/>
        <v>0.12969423239559755</v>
      </c>
      <c r="G929" s="49">
        <f t="shared" si="184"/>
        <v>0.24213474300522012</v>
      </c>
      <c r="H929" s="49">
        <f t="shared" si="184"/>
        <v>0.38440960820863657</v>
      </c>
      <c r="I929" s="49">
        <f t="shared" si="184"/>
        <v>0.5370908675038355</v>
      </c>
      <c r="J929" s="49">
        <f t="shared" si="184"/>
        <v>0.67893166023771789</v>
      </c>
      <c r="K929" s="49">
        <f t="shared" si="184"/>
        <v>0.7947996949365117</v>
      </c>
      <c r="L929" s="49">
        <f t="shared" si="185"/>
        <v>0.87905881589425583</v>
      </c>
      <c r="M929" s="49">
        <f t="shared" si="185"/>
        <v>0.93414889007025348</v>
      </c>
      <c r="N929" s="49">
        <f t="shared" si="185"/>
        <v>0.96679890952862202</v>
      </c>
      <c r="O929" s="49">
        <f t="shared" si="185"/>
        <v>0.98446005260248159</v>
      </c>
      <c r="P929" s="49">
        <f t="shared" si="185"/>
        <v>0.99323007672618546</v>
      </c>
      <c r="Q929" s="49">
        <f t="shared" si="185"/>
        <v>0.9972479243308503</v>
      </c>
      <c r="R929" s="49">
        <f t="shared" si="185"/>
        <v>0.99895350631803215</v>
      </c>
      <c r="S929" s="49">
        <f t="shared" si="185"/>
        <v>0.99962691371196932</v>
      </c>
      <c r="T929" s="49">
        <f t="shared" si="185"/>
        <v>0.99987502875757805</v>
      </c>
      <c r="U929" s="49">
        <f t="shared" si="185"/>
        <v>0.99996059012211702</v>
      </c>
      <c r="V929" s="49">
        <f t="shared" si="185"/>
        <v>0.99998827813528912</v>
      </c>
      <c r="W929" s="47">
        <v>7.3999999999999996E-2</v>
      </c>
    </row>
    <row r="930" spans="2:23" x14ac:dyDescent="0.25">
      <c r="B930" s="49">
        <f t="shared" si="184"/>
        <v>5.1030794615437847E-4</v>
      </c>
      <c r="C930" s="49">
        <f t="shared" si="184"/>
        <v>4.5292718851532316E-3</v>
      </c>
      <c r="D930" s="49">
        <f t="shared" si="184"/>
        <v>2.0196628856166365E-2</v>
      </c>
      <c r="E930" s="49">
        <f t="shared" si="184"/>
        <v>6.0502809013547647E-2</v>
      </c>
      <c r="F930" s="49">
        <f t="shared" si="184"/>
        <v>0.13747770637408802</v>
      </c>
      <c r="G930" s="49">
        <f t="shared" si="184"/>
        <v>0.25386638366720693</v>
      </c>
      <c r="H930" s="49">
        <f t="shared" si="184"/>
        <v>0.39899001089023517</v>
      </c>
      <c r="I930" s="49">
        <f t="shared" si="184"/>
        <v>0.55245793788207087</v>
      </c>
      <c r="J930" s="49">
        <f t="shared" si="184"/>
        <v>0.69295101623768229</v>
      </c>
      <c r="K930" s="49">
        <f t="shared" si="184"/>
        <v>0.80604493110585251</v>
      </c>
      <c r="L930" s="49">
        <f t="shared" si="185"/>
        <v>0.88708770046392937</v>
      </c>
      <c r="M930" s="49">
        <f t="shared" si="185"/>
        <v>0.93930235291656339</v>
      </c>
      <c r="N930" s="49">
        <f t="shared" si="185"/>
        <v>0.96979703413287688</v>
      </c>
      <c r="O930" s="49">
        <f t="shared" si="185"/>
        <v>0.98605181107598505</v>
      </c>
      <c r="P930" s="49">
        <f t="shared" si="185"/>
        <v>0.99400579079022389</v>
      </c>
      <c r="Q930" s="49">
        <f t="shared" si="185"/>
        <v>0.99759665159156241</v>
      </c>
      <c r="R930" s="49">
        <f t="shared" si="185"/>
        <v>0.9990987523423408</v>
      </c>
      <c r="S930" s="49">
        <f t="shared" si="185"/>
        <v>0.99968317309444021</v>
      </c>
      <c r="T930" s="49">
        <f t="shared" si="185"/>
        <v>0.9998953617045061</v>
      </c>
      <c r="U930" s="49">
        <f t="shared" si="185"/>
        <v>0.99996746710977746</v>
      </c>
      <c r="V930" s="49">
        <f t="shared" si="185"/>
        <v>0.99999046049942375</v>
      </c>
      <c r="W930" s="47">
        <v>7.2999999999999995E-2</v>
      </c>
    </row>
    <row r="931" spans="2:23" x14ac:dyDescent="0.25">
      <c r="B931" s="49">
        <f t="shared" si="184"/>
        <v>5.6840595724147317E-4</v>
      </c>
      <c r="C931" s="49">
        <f t="shared" si="184"/>
        <v>4.9788442689864343E-3</v>
      </c>
      <c r="D931" s="49">
        <f t="shared" si="184"/>
        <v>2.1918503340074228E-2</v>
      </c>
      <c r="E931" s="49">
        <f t="shared" si="184"/>
        <v>6.4854523303959133E-2</v>
      </c>
      <c r="F931" s="49">
        <f t="shared" si="184"/>
        <v>0.14564132374013086</v>
      </c>
      <c r="G931" s="49">
        <f t="shared" si="184"/>
        <v>0.26599049422547455</v>
      </c>
      <c r="H931" s="49">
        <f t="shared" si="184"/>
        <v>0.41383714936813853</v>
      </c>
      <c r="I931" s="49">
        <f t="shared" si="184"/>
        <v>0.56787659525438205</v>
      </c>
      <c r="J931" s="49">
        <f t="shared" si="184"/>
        <v>0.70681110177632078</v>
      </c>
      <c r="K931" s="49">
        <f t="shared" si="184"/>
        <v>0.81699933950495884</v>
      </c>
      <c r="L931" s="49">
        <f t="shared" si="185"/>
        <v>0.89479421841497664</v>
      </c>
      <c r="M931" s="49">
        <f t="shared" si="185"/>
        <v>0.94417634584085408</v>
      </c>
      <c r="N931" s="49">
        <f t="shared" si="185"/>
        <v>0.97259098214108242</v>
      </c>
      <c r="O931" s="49">
        <f t="shared" si="185"/>
        <v>0.98751341210697641</v>
      </c>
      <c r="P931" s="49">
        <f t="shared" si="185"/>
        <v>0.99470762817170111</v>
      </c>
      <c r="Q931" s="49">
        <f t="shared" si="185"/>
        <v>0.99790753963591949</v>
      </c>
      <c r="R931" s="49">
        <f t="shared" si="185"/>
        <v>0.99922633915845127</v>
      </c>
      <c r="S931" s="49">
        <f t="shared" si="185"/>
        <v>0.99973186761141852</v>
      </c>
      <c r="T931" s="49">
        <f t="shared" si="185"/>
        <v>0.99991270250393804</v>
      </c>
      <c r="U931" s="49">
        <f t="shared" si="185"/>
        <v>0.99997324608524807</v>
      </c>
      <c r="V931" s="49">
        <f t="shared" si="185"/>
        <v>0.99999226752280057</v>
      </c>
      <c r="W931" s="47">
        <v>7.1999999999999995E-2</v>
      </c>
    </row>
    <row r="932" spans="2:23" x14ac:dyDescent="0.25">
      <c r="B932" s="49">
        <f t="shared" si="184"/>
        <v>6.3310163547661464E-4</v>
      </c>
      <c r="C932" s="49">
        <f t="shared" si="184"/>
        <v>5.4720295499301793E-3</v>
      </c>
      <c r="D932" s="49">
        <f t="shared" si="184"/>
        <v>2.3779341481945233E-2</v>
      </c>
      <c r="E932" s="49">
        <f t="shared" si="184"/>
        <v>6.9487544244844601E-2</v>
      </c>
      <c r="F932" s="49">
        <f t="shared" si="184"/>
        <v>0.1542034861602018</v>
      </c>
      <c r="G932" s="49">
        <f t="shared" si="184"/>
        <v>0.2785175148748526</v>
      </c>
      <c r="H932" s="49">
        <f t="shared" si="184"/>
        <v>0.42894970459227277</v>
      </c>
      <c r="I932" s="49">
        <f t="shared" si="184"/>
        <v>0.58333764893388407</v>
      </c>
      <c r="J932" s="49">
        <f t="shared" si="184"/>
        <v>0.72050275784959772</v>
      </c>
      <c r="K932" s="49">
        <f t="shared" si="184"/>
        <v>0.82765981783378262</v>
      </c>
      <c r="L932" s="49">
        <f t="shared" si="185"/>
        <v>0.90218250618482632</v>
      </c>
      <c r="M932" s="49">
        <f t="shared" si="185"/>
        <v>0.94877963757712847</v>
      </c>
      <c r="N932" s="49">
        <f t="shared" si="185"/>
        <v>0.97519054350726631</v>
      </c>
      <c r="O932" s="49">
        <f t="shared" si="185"/>
        <v>0.98885311623377981</v>
      </c>
      <c r="P932" s="49">
        <f t="shared" si="185"/>
        <v>0.99534137383866594</v>
      </c>
      <c r="Q932" s="49">
        <f t="shared" si="185"/>
        <v>0.99818409439231437</v>
      </c>
      <c r="R932" s="49">
        <f t="shared" si="185"/>
        <v>0.99933814942094312</v>
      </c>
      <c r="S932" s="49">
        <f t="shared" si="185"/>
        <v>0.99977390684955947</v>
      </c>
      <c r="T932" s="49">
        <f t="shared" si="185"/>
        <v>0.99992745083740686</v>
      </c>
      <c r="U932" s="49">
        <f t="shared" si="185"/>
        <v>0.99997808807532373</v>
      </c>
      <c r="V932" s="49">
        <f t="shared" si="185"/>
        <v>0.9999937590671677</v>
      </c>
      <c r="W932" s="47">
        <v>7.0999999999999994E-2</v>
      </c>
    </row>
    <row r="933" spans="2:23" x14ac:dyDescent="0.25">
      <c r="B933" s="49">
        <f t="shared" ref="B933:K942" si="186">_xlfn.HYPGEOM.DIST(B$2,comau,tongtheN*$W933,tongtheN,TRUE)</f>
        <v>7.0495274542499312E-4</v>
      </c>
      <c r="C933" s="49">
        <f t="shared" si="186"/>
        <v>6.0115194225495291E-3</v>
      </c>
      <c r="D933" s="49">
        <f t="shared" si="186"/>
        <v>2.5784260728177851E-2</v>
      </c>
      <c r="E933" s="49">
        <f t="shared" si="186"/>
        <v>7.4404176906865183E-2</v>
      </c>
      <c r="F933" s="49">
        <f t="shared" si="186"/>
        <v>0.16315305867185878</v>
      </c>
      <c r="G933" s="49">
        <f t="shared" si="186"/>
        <v>0.29141431800528106</v>
      </c>
      <c r="H933" s="49">
        <f t="shared" si="186"/>
        <v>0.44427425504037948</v>
      </c>
      <c r="I933" s="49">
        <f t="shared" si="186"/>
        <v>0.59877968679418281</v>
      </c>
      <c r="J933" s="49">
        <f t="shared" si="186"/>
        <v>0.73397181842876291</v>
      </c>
      <c r="K933" s="49">
        <f t="shared" si="186"/>
        <v>0.83798919020202423</v>
      </c>
      <c r="L933" s="49">
        <f t="shared" ref="L933:V942" si="187">_xlfn.HYPGEOM.DIST(L$2,comau,tongtheN*$W933,tongtheN,TRUE)</f>
        <v>0.90923360951965027</v>
      </c>
      <c r="M933" s="49">
        <f t="shared" si="187"/>
        <v>0.95310674750156232</v>
      </c>
      <c r="N933" s="49">
        <f t="shared" si="187"/>
        <v>0.9775973754775058</v>
      </c>
      <c r="O933" s="49">
        <f t="shared" si="187"/>
        <v>0.99007483425203735</v>
      </c>
      <c r="P933" s="49">
        <f t="shared" si="187"/>
        <v>0.99591061145340398</v>
      </c>
      <c r="Q933" s="49">
        <f t="shared" si="187"/>
        <v>0.99842876192346208</v>
      </c>
      <c r="R933" s="49">
        <f t="shared" si="187"/>
        <v>0.99943557962492691</v>
      </c>
      <c r="S933" s="49">
        <f t="shared" si="187"/>
        <v>0.99980998827078105</v>
      </c>
      <c r="T933" s="49">
        <f t="shared" si="187"/>
        <v>0.9999399186055814</v>
      </c>
      <c r="U933" s="49">
        <f t="shared" si="187"/>
        <v>0.9999821197618024</v>
      </c>
      <c r="V933" s="49">
        <f t="shared" si="187"/>
        <v>0.99999498232002115</v>
      </c>
      <c r="W933" s="47">
        <v>7.0000000000000007E-2</v>
      </c>
    </row>
    <row r="934" spans="2:23" x14ac:dyDescent="0.25">
      <c r="B934" s="49">
        <f t="shared" si="186"/>
        <v>7.8493793445970545E-4</v>
      </c>
      <c r="C934" s="49">
        <f t="shared" si="186"/>
        <v>6.6029312021466486E-3</v>
      </c>
      <c r="D934" s="49">
        <f t="shared" si="186"/>
        <v>2.794864467887026E-2</v>
      </c>
      <c r="E934" s="49">
        <f t="shared" si="186"/>
        <v>7.9630979454829734E-2</v>
      </c>
      <c r="F934" s="49">
        <f t="shared" si="186"/>
        <v>0.17252224124137175</v>
      </c>
      <c r="G934" s="49">
        <f t="shared" si="186"/>
        <v>0.30471006448884475</v>
      </c>
      <c r="H934" s="49">
        <f t="shared" si="186"/>
        <v>0.45983211325422368</v>
      </c>
      <c r="I934" s="49">
        <f t="shared" si="186"/>
        <v>0.61421794342795266</v>
      </c>
      <c r="J934" s="49">
        <f t="shared" si="186"/>
        <v>0.74723240370108024</v>
      </c>
      <c r="K934" s="49">
        <f t="shared" si="186"/>
        <v>0.84800373536898532</v>
      </c>
      <c r="L934" s="49">
        <f t="shared" si="187"/>
        <v>0.91596564584608187</v>
      </c>
      <c r="M934" s="49">
        <f t="shared" si="187"/>
        <v>0.95717510905120273</v>
      </c>
      <c r="N934" s="49">
        <f t="shared" si="187"/>
        <v>0.97982580956188703</v>
      </c>
      <c r="O934" s="49">
        <f t="shared" si="187"/>
        <v>0.991188763413695</v>
      </c>
      <c r="P934" s="49">
        <f t="shared" si="187"/>
        <v>0.99642171974236726</v>
      </c>
      <c r="Q934" s="49">
        <f t="shared" si="187"/>
        <v>0.99864509781569533</v>
      </c>
      <c r="R934" s="49">
        <f t="shared" si="187"/>
        <v>0.99952041537856706</v>
      </c>
      <c r="S934" s="49">
        <f t="shared" si="187"/>
        <v>0.99984092697943638</v>
      </c>
      <c r="T934" s="49">
        <f t="shared" si="187"/>
        <v>0.99995044647931342</v>
      </c>
      <c r="U934" s="49">
        <f t="shared" si="187"/>
        <v>0.99998547228868195</v>
      </c>
      <c r="V934" s="49">
        <f t="shared" si="187"/>
        <v>0.99999598401497602</v>
      </c>
      <c r="W934" s="47">
        <v>6.9000000000000006E-2</v>
      </c>
    </row>
    <row r="935" spans="2:23" x14ac:dyDescent="0.25">
      <c r="B935" s="49">
        <f t="shared" si="186"/>
        <v>8.7389754676183318E-4</v>
      </c>
      <c r="C935" s="49">
        <f t="shared" si="186"/>
        <v>7.2505385240805905E-3</v>
      </c>
      <c r="D935" s="49">
        <f t="shared" si="186"/>
        <v>3.0282074363109368E-2</v>
      </c>
      <c r="E935" s="49">
        <f t="shared" si="186"/>
        <v>8.5178964745686481E-2</v>
      </c>
      <c r="F935" s="49">
        <f t="shared" si="186"/>
        <v>0.18231353006984555</v>
      </c>
      <c r="G935" s="49">
        <f t="shared" si="186"/>
        <v>0.3183901873771533</v>
      </c>
      <c r="H935" s="49">
        <f t="shared" si="186"/>
        <v>0.47559248129820192</v>
      </c>
      <c r="I935" s="49">
        <f t="shared" si="186"/>
        <v>0.62961558601915701</v>
      </c>
      <c r="J935" s="49">
        <f t="shared" si="186"/>
        <v>0.76025382119958174</v>
      </c>
      <c r="K935" s="49">
        <f t="shared" si="186"/>
        <v>0.85768576824397358</v>
      </c>
      <c r="L935" s="49">
        <f t="shared" si="187"/>
        <v>0.92237363379182735</v>
      </c>
      <c r="M935" s="49">
        <f t="shared" si="187"/>
        <v>0.96098782848563102</v>
      </c>
      <c r="N935" s="49">
        <f t="shared" si="187"/>
        <v>0.98188196210305889</v>
      </c>
      <c r="O935" s="49">
        <f t="shared" si="187"/>
        <v>0.99220070047711151</v>
      </c>
      <c r="P935" s="49">
        <f t="shared" si="187"/>
        <v>0.99687885993168668</v>
      </c>
      <c r="Q935" s="49">
        <f t="shared" si="187"/>
        <v>0.99883560254800041</v>
      </c>
      <c r="R935" s="49">
        <f t="shared" si="187"/>
        <v>0.99959396780097431</v>
      </c>
      <c r="S935" s="49">
        <f t="shared" si="187"/>
        <v>0.9998673365457349</v>
      </c>
      <c r="T935" s="49">
        <f t="shared" si="187"/>
        <v>0.99995929439429831</v>
      </c>
      <c r="U935" s="49">
        <f t="shared" si="187"/>
        <v>0.99998824633614947</v>
      </c>
      <c r="V935" s="49">
        <f t="shared" si="187"/>
        <v>0.99999680006843639</v>
      </c>
      <c r="W935" s="47">
        <v>6.8000000000000005E-2</v>
      </c>
    </row>
    <row r="936" spans="2:23" x14ac:dyDescent="0.25">
      <c r="B936" s="49">
        <f t="shared" si="186"/>
        <v>9.7282723337687729E-4</v>
      </c>
      <c r="C936" s="49">
        <f t="shared" si="186"/>
        <v>7.9594498057105334E-3</v>
      </c>
      <c r="D936" s="49">
        <f t="shared" si="186"/>
        <v>3.2796399338231336E-2</v>
      </c>
      <c r="E936" s="49">
        <f t="shared" si="186"/>
        <v>9.1063453175076733E-2</v>
      </c>
      <c r="F936" s="49">
        <f t="shared" si="186"/>
        <v>0.19253610172079949</v>
      </c>
      <c r="G936" s="49">
        <f t="shared" si="186"/>
        <v>0.33244928210646357</v>
      </c>
      <c r="H936" s="49">
        <f t="shared" si="186"/>
        <v>0.49153588116965452</v>
      </c>
      <c r="I936" s="49">
        <f t="shared" si="186"/>
        <v>0.64494820032163092</v>
      </c>
      <c r="J936" s="49">
        <f t="shared" si="186"/>
        <v>0.77301726295264672</v>
      </c>
      <c r="K936" s="49">
        <f t="shared" si="186"/>
        <v>0.86702742312494951</v>
      </c>
      <c r="L936" s="49">
        <f t="shared" si="187"/>
        <v>0.92845956232544335</v>
      </c>
      <c r="M936" s="49">
        <f t="shared" si="187"/>
        <v>0.96455224194014633</v>
      </c>
      <c r="N936" s="49">
        <f t="shared" si="187"/>
        <v>0.98377411744763132</v>
      </c>
      <c r="O936" s="49">
        <f t="shared" si="187"/>
        <v>0.99311735009157986</v>
      </c>
      <c r="P936" s="49">
        <f t="shared" si="187"/>
        <v>0.99728647274542603</v>
      </c>
      <c r="Q936" s="49">
        <f t="shared" si="187"/>
        <v>0.99900280895971394</v>
      </c>
      <c r="R936" s="49">
        <f t="shared" si="187"/>
        <v>0.99965751450656248</v>
      </c>
      <c r="S936" s="49">
        <f t="shared" si="187"/>
        <v>0.99988979637228415</v>
      </c>
      <c r="T936" s="49">
        <f t="shared" si="187"/>
        <v>0.99996670127424603</v>
      </c>
      <c r="U936" s="49">
        <f t="shared" si="187"/>
        <v>0.99999053223840018</v>
      </c>
      <c r="V936" s="49">
        <f t="shared" si="187"/>
        <v>0.99999746199825723</v>
      </c>
      <c r="W936" s="47">
        <v>6.7000000000000004E-2</v>
      </c>
    </row>
    <row r="937" spans="2:23" x14ac:dyDescent="0.25">
      <c r="B937" s="49">
        <f t="shared" si="186"/>
        <v>1.082831856432471E-3</v>
      </c>
      <c r="C937" s="49">
        <f t="shared" si="186"/>
        <v>8.7352104149821599E-3</v>
      </c>
      <c r="D937" s="49">
        <f t="shared" si="186"/>
        <v>3.55041517644216E-2</v>
      </c>
      <c r="E937" s="49">
        <f t="shared" si="186"/>
        <v>9.730005679465864E-2</v>
      </c>
      <c r="F937" s="49">
        <f t="shared" si="186"/>
        <v>0.2031984202777746</v>
      </c>
      <c r="G937" s="49">
        <f t="shared" si="186"/>
        <v>0.3468804369125264</v>
      </c>
      <c r="H937" s="49">
        <f t="shared" si="186"/>
        <v>0.50764148756600969</v>
      </c>
      <c r="I937" s="49">
        <f t="shared" si="186"/>
        <v>0.66019100709411427</v>
      </c>
      <c r="J937" s="49">
        <f t="shared" si="186"/>
        <v>0.78550458468290119</v>
      </c>
      <c r="K937" s="49">
        <f t="shared" si="186"/>
        <v>0.87602194873546146</v>
      </c>
      <c r="L937" s="49">
        <f t="shared" si="187"/>
        <v>0.93422635598430015</v>
      </c>
      <c r="M937" s="49">
        <f t="shared" si="187"/>
        <v>0.96787614948010081</v>
      </c>
      <c r="N937" s="49">
        <f t="shared" si="187"/>
        <v>0.98551060278934877</v>
      </c>
      <c r="O937" s="49">
        <f t="shared" si="187"/>
        <v>0.99394523762253373</v>
      </c>
      <c r="P937" s="49">
        <f t="shared" si="187"/>
        <v>0.99764877383010064</v>
      </c>
      <c r="Q937" s="49">
        <f t="shared" si="187"/>
        <v>0.99914907002549891</v>
      </c>
      <c r="R937" s="49">
        <f t="shared" si="187"/>
        <v>0.9997122190029033</v>
      </c>
      <c r="S937" s="49">
        <f t="shared" si="187"/>
        <v>0.99990882426672101</v>
      </c>
      <c r="T937" s="49">
        <f t="shared" si="187"/>
        <v>0.99997287680328961</v>
      </c>
      <c r="U937" s="49">
        <f t="shared" si="187"/>
        <v>0.99999240788589427</v>
      </c>
      <c r="V937" s="49">
        <f t="shared" si="187"/>
        <v>0.99999799651386512</v>
      </c>
      <c r="W937" s="47">
        <v>6.6000000000000003E-2</v>
      </c>
    </row>
    <row r="938" spans="2:23" x14ac:dyDescent="0.25">
      <c r="B938" s="49">
        <f t="shared" si="186"/>
        <v>1.2051373315348707E-3</v>
      </c>
      <c r="C938" s="49">
        <f t="shared" si="186"/>
        <v>9.5838366873354404E-3</v>
      </c>
      <c r="D938" s="49">
        <f t="shared" si="186"/>
        <v>3.8418568657799669E-2</v>
      </c>
      <c r="E938" s="49">
        <f t="shared" si="186"/>
        <v>0.10390463402315475</v>
      </c>
      <c r="F938" s="49">
        <f t="shared" si="186"/>
        <v>0.21430813425785722</v>
      </c>
      <c r="G938" s="49">
        <f t="shared" si="186"/>
        <v>0.36167515995314398</v>
      </c>
      <c r="H938" s="49">
        <f t="shared" si="186"/>
        <v>0.52388715469912106</v>
      </c>
      <c r="I938" s="49">
        <f t="shared" si="186"/>
        <v>0.67531896524420987</v>
      </c>
      <c r="J938" s="49">
        <f t="shared" si="186"/>
        <v>0.7976984040646623</v>
      </c>
      <c r="K938" s="49">
        <f t="shared" si="186"/>
        <v>0.88466374436197881</v>
      </c>
      <c r="L938" s="49">
        <f t="shared" si="187"/>
        <v>0.93967785073563148</v>
      </c>
      <c r="M938" s="49">
        <f t="shared" si="187"/>
        <v>0.97096776702759025</v>
      </c>
      <c r="N938" s="49">
        <f t="shared" si="187"/>
        <v>0.98709974871530493</v>
      </c>
      <c r="O938" s="49">
        <f t="shared" si="187"/>
        <v>0.99469069018566114</v>
      </c>
      <c r="P938" s="49">
        <f t="shared" si="187"/>
        <v>0.99796975126616627</v>
      </c>
      <c r="Q938" s="49">
        <f t="shared" si="187"/>
        <v>0.99927656409592536</v>
      </c>
      <c r="R938" s="49">
        <f t="shared" si="187"/>
        <v>0.99975913714924125</v>
      </c>
      <c r="S938" s="49">
        <f t="shared" si="187"/>
        <v>0.99992488130002977</v>
      </c>
      <c r="T938" s="49">
        <f t="shared" si="187"/>
        <v>0.99997800430343442</v>
      </c>
      <c r="U938" s="49">
        <f t="shared" si="187"/>
        <v>0.99999394017197396</v>
      </c>
      <c r="V938" s="49">
        <f t="shared" si="187"/>
        <v>0.99999842615547241</v>
      </c>
      <c r="W938" s="47">
        <v>6.5000000000000002E-2</v>
      </c>
    </row>
    <row r="939" spans="2:23" x14ac:dyDescent="0.25">
      <c r="B939" s="49">
        <f t="shared" si="186"/>
        <v>1.341103739509129E-3</v>
      </c>
      <c r="C939" s="49">
        <f t="shared" si="186"/>
        <v>1.0511852157888366E-2</v>
      </c>
      <c r="D939" s="49">
        <f t="shared" si="186"/>
        <v>4.1553612599294208E-2</v>
      </c>
      <c r="E939" s="49">
        <f t="shared" si="186"/>
        <v>0.11089323731200237</v>
      </c>
      <c r="F939" s="49">
        <f t="shared" si="186"/>
        <v>0.22587196822850733</v>
      </c>
      <c r="G939" s="49">
        <f t="shared" si="186"/>
        <v>0.37682331035030897</v>
      </c>
      <c r="H939" s="49">
        <f t="shared" si="186"/>
        <v>0.54024945330166663</v>
      </c>
      <c r="I939" s="49">
        <f t="shared" si="186"/>
        <v>0.69030688185220856</v>
      </c>
      <c r="J939" s="49">
        <f t="shared" si="186"/>
        <v>0.8095821975713362</v>
      </c>
      <c r="K939" s="49">
        <f t="shared" si="186"/>
        <v>0.89294838950548172</v>
      </c>
      <c r="L939" s="49">
        <f t="shared" si="187"/>
        <v>0.94481876420414546</v>
      </c>
      <c r="M939" s="49">
        <f t="shared" si="187"/>
        <v>0.9738356764465228</v>
      </c>
      <c r="N939" s="49">
        <f t="shared" si="187"/>
        <v>0.98854985091606307</v>
      </c>
      <c r="O939" s="49">
        <f t="shared" si="187"/>
        <v>0.99535981973053755</v>
      </c>
      <c r="P939" s="49">
        <f t="shared" si="187"/>
        <v>0.99825316458346203</v>
      </c>
      <c r="Q939" s="49">
        <f t="shared" si="187"/>
        <v>0.9993873007729821</v>
      </c>
      <c r="R939" s="49">
        <f t="shared" si="187"/>
        <v>0.99979922366326823</v>
      </c>
      <c r="S939" s="49">
        <f t="shared" si="187"/>
        <v>0.99993837648661343</v>
      </c>
      <c r="T939" s="49">
        <f t="shared" si="187"/>
        <v>0.99998224342235731</v>
      </c>
      <c r="U939" s="49">
        <f t="shared" si="187"/>
        <v>0.99999518631044249</v>
      </c>
      <c r="V939" s="49">
        <f t="shared" si="187"/>
        <v>0.99999876986336178</v>
      </c>
      <c r="W939" s="47">
        <v>6.4000000000000001E-2</v>
      </c>
    </row>
    <row r="940" spans="2:23" x14ac:dyDescent="0.25">
      <c r="B940" s="49">
        <f t="shared" si="186"/>
        <v>1.4922398419568589E-3</v>
      </c>
      <c r="C940" s="49">
        <f t="shared" si="186"/>
        <v>1.1526326092163768E-2</v>
      </c>
      <c r="D940" s="49">
        <f t="shared" si="186"/>
        <v>4.4923990490390212E-2</v>
      </c>
      <c r="E940" s="49">
        <f t="shared" si="186"/>
        <v>0.11828205323425867</v>
      </c>
      <c r="F940" s="49">
        <f t="shared" si="186"/>
        <v>0.2378956093803449</v>
      </c>
      <c r="G940" s="49">
        <f t="shared" si="186"/>
        <v>0.39231303409699614</v>
      </c>
      <c r="H940" s="49">
        <f t="shared" si="186"/>
        <v>0.55670371837070998</v>
      </c>
      <c r="I940" s="49">
        <f t="shared" si="186"/>
        <v>0.70512952865419831</v>
      </c>
      <c r="J940" s="49">
        <f t="shared" si="186"/>
        <v>0.82114039508700132</v>
      </c>
      <c r="K940" s="49">
        <f t="shared" si="186"/>
        <v>0.900872666614149</v>
      </c>
      <c r="L940" s="49">
        <f t="shared" si="187"/>
        <v>0.94965466041192548</v>
      </c>
      <c r="M940" s="49">
        <f t="shared" si="187"/>
        <v>0.97648877416981039</v>
      </c>
      <c r="N940" s="49">
        <f t="shared" si="187"/>
        <v>0.98986913332954418</v>
      </c>
      <c r="O940" s="49">
        <f t="shared" si="187"/>
        <v>0.99595850823319332</v>
      </c>
      <c r="P940" s="49">
        <f t="shared" si="187"/>
        <v>0.99850254521506254</v>
      </c>
      <c r="Q940" s="49">
        <f t="shared" si="187"/>
        <v>0.99948312733666811</v>
      </c>
      <c r="R940" s="49">
        <f t="shared" si="187"/>
        <v>0.99983333862464407</v>
      </c>
      <c r="S940" s="49">
        <f t="shared" si="187"/>
        <v>0.99994967126869749</v>
      </c>
      <c r="T940" s="49">
        <f t="shared" si="187"/>
        <v>0.99998573263259127</v>
      </c>
      <c r="U940" s="49">
        <f t="shared" si="187"/>
        <v>0.99999619503041315</v>
      </c>
      <c r="V940" s="49">
        <f t="shared" si="187"/>
        <v>0.99999904348270752</v>
      </c>
      <c r="W940" s="47">
        <v>6.3E-2</v>
      </c>
    </row>
    <row r="941" spans="2:23" x14ac:dyDescent="0.25">
      <c r="B941" s="49">
        <f t="shared" si="186"/>
        <v>1.6602191491843475E-3</v>
      </c>
      <c r="C941" s="49">
        <f t="shared" si="186"/>
        <v>1.2634914391508904E-2</v>
      </c>
      <c r="D941" s="49">
        <f t="shared" si="186"/>
        <v>4.8545169896180088E-2</v>
      </c>
      <c r="E941" s="49">
        <f t="shared" si="186"/>
        <v>0.12608733445892223</v>
      </c>
      <c r="F941" s="49">
        <f t="shared" si="186"/>
        <v>0.25038358939149202</v>
      </c>
      <c r="G941" s="49">
        <f t="shared" si="186"/>
        <v>0.40813070583584254</v>
      </c>
      <c r="H941" s="49">
        <f t="shared" si="186"/>
        <v>0.57322410814383595</v>
      </c>
      <c r="I941" s="49">
        <f t="shared" si="186"/>
        <v>0.71976176446891282</v>
      </c>
      <c r="J941" s="49">
        <f t="shared" si="186"/>
        <v>0.83235847142592734</v>
      </c>
      <c r="K941" s="49">
        <f t="shared" si="186"/>
        <v>0.90843457650895632</v>
      </c>
      <c r="L941" s="49">
        <f t="shared" si="187"/>
        <v>0.95419190923137331</v>
      </c>
      <c r="M941" s="49">
        <f t="shared" si="187"/>
        <v>0.97893621877043879</v>
      </c>
      <c r="N941" s="49">
        <f t="shared" si="187"/>
        <v>0.99106571297432378</v>
      </c>
      <c r="O941" s="49">
        <f t="shared" si="187"/>
        <v>0.99649239503675957</v>
      </c>
      <c r="P941" s="49">
        <f t="shared" si="187"/>
        <v>0.99872119831345429</v>
      </c>
      <c r="Q941" s="49">
        <f t="shared" si="187"/>
        <v>0.99956573563823203</v>
      </c>
      <c r="R941" s="49">
        <f t="shared" si="187"/>
        <v>0.99986225392722161</v>
      </c>
      <c r="S941" s="49">
        <f t="shared" si="187"/>
        <v>0.99995908379078335</v>
      </c>
      <c r="T941" s="49">
        <f t="shared" si="187"/>
        <v>0.99998859154467135</v>
      </c>
      <c r="U941" s="49">
        <f t="shared" si="187"/>
        <v>0.99999700765509048</v>
      </c>
      <c r="V941" s="49">
        <f t="shared" si="187"/>
        <v>0.99999926020926266</v>
      </c>
      <c r="W941" s="47">
        <v>6.2E-2</v>
      </c>
    </row>
    <row r="942" spans="2:23" x14ac:dyDescent="0.25">
      <c r="B942" s="49">
        <f t="shared" si="186"/>
        <v>1.8468977045891619E-3</v>
      </c>
      <c r="C942" s="49">
        <f t="shared" si="186"/>
        <v>1.3845902939866895E-2</v>
      </c>
      <c r="D942" s="49">
        <f t="shared" si="186"/>
        <v>5.2433392461272134E-2</v>
      </c>
      <c r="E942" s="49">
        <f t="shared" si="186"/>
        <v>0.13432532307144043</v>
      </c>
      <c r="F942" s="49">
        <f t="shared" si="186"/>
        <v>0.26333916201064589</v>
      </c>
      <c r="G942" s="49">
        <f t="shared" si="186"/>
        <v>0.4242608775758438</v>
      </c>
      <c r="H942" s="49">
        <f t="shared" si="186"/>
        <v>0.58978367474231741</v>
      </c>
      <c r="I942" s="49">
        <f t="shared" si="186"/>
        <v>0.73417866295454792</v>
      </c>
      <c r="J942" s="49">
        <f t="shared" si="186"/>
        <v>0.84322303388031772</v>
      </c>
      <c r="K942" s="49">
        <f t="shared" si="186"/>
        <v>0.91563334616597103</v>
      </c>
      <c r="L942" s="49">
        <f t="shared" si="187"/>
        <v>0.95843764080713245</v>
      </c>
      <c r="M942" s="49">
        <f t="shared" si="187"/>
        <v>0.98118737789231347</v>
      </c>
      <c r="N942" s="49">
        <f t="shared" si="187"/>
        <v>0.99214756671089432</v>
      </c>
      <c r="O942" s="49">
        <f t="shared" si="187"/>
        <v>0.99696686635879306</v>
      </c>
      <c r="P942" s="49">
        <f t="shared" si="187"/>
        <v>0.99891220584345997</v>
      </c>
      <c r="Q942" s="49">
        <f t="shared" si="187"/>
        <v>0.99963666937594953</v>
      </c>
      <c r="R942" s="49">
        <f t="shared" si="187"/>
        <v>0.99988665963570367</v>
      </c>
      <c r="S942" s="49">
        <f t="shared" si="187"/>
        <v>0.99996689295293084</v>
      </c>
      <c r="T942" s="49">
        <f t="shared" si="187"/>
        <v>0.99999092303819404</v>
      </c>
      <c r="U942" s="49">
        <f t="shared" si="187"/>
        <v>0.99999765907140092</v>
      </c>
      <c r="V942" s="49">
        <f t="shared" si="187"/>
        <v>0.99999943098107391</v>
      </c>
      <c r="W942" s="47">
        <v>6.0999999999999999E-2</v>
      </c>
    </row>
    <row r="943" spans="2:23" x14ac:dyDescent="0.25">
      <c r="B943" s="49">
        <f t="shared" ref="B943:K952" si="188">_xlfn.HYPGEOM.DIST(B$2,comau,tongtheN*$W943,tongtheN,TRUE)</f>
        <v>2.0543337667341525E-3</v>
      </c>
      <c r="C943" s="49">
        <f t="shared" si="188"/>
        <v>1.5168253446285758E-2</v>
      </c>
      <c r="D943" s="49">
        <f t="shared" si="188"/>
        <v>5.6605683824898133E-2</v>
      </c>
      <c r="E943" s="49">
        <f t="shared" si="188"/>
        <v>0.14301216470582959</v>
      </c>
      <c r="F943" s="49">
        <f t="shared" si="188"/>
        <v>0.27676417688649607</v>
      </c>
      <c r="G943" s="49">
        <f t="shared" si="188"/>
        <v>0.44068623546768559</v>
      </c>
      <c r="H943" s="49">
        <f t="shared" si="188"/>
        <v>0.60635444684308981</v>
      </c>
      <c r="I943" s="49">
        <f t="shared" si="188"/>
        <v>0.74835564498107043</v>
      </c>
      <c r="J943" s="49">
        <f t="shared" si="188"/>
        <v>0.85372190490119837</v>
      </c>
      <c r="K943" s="49">
        <f t="shared" si="188"/>
        <v>0.92246942857786529</v>
      </c>
      <c r="L943" s="49">
        <f t="shared" ref="L943:V952" si="189">_xlfn.HYPGEOM.DIST(L$2,comau,tongtheN*$W943,tongtheN,TRUE)</f>
        <v>0.96239969525762059</v>
      </c>
      <c r="M943" s="49">
        <f t="shared" si="189"/>
        <v>0.98325177496674687</v>
      </c>
      <c r="N943" s="49">
        <f t="shared" si="189"/>
        <v>0.99312250014965464</v>
      </c>
      <c r="O943" s="49">
        <f t="shared" si="189"/>
        <v>0.99738704696331781</v>
      </c>
      <c r="P943" s="49">
        <f t="shared" si="189"/>
        <v>0.99907843085798276</v>
      </c>
      <c r="Q943" s="49">
        <f t="shared" si="189"/>
        <v>0.99969733167051777</v>
      </c>
      <c r="R943" s="49">
        <f t="shared" si="189"/>
        <v>0.99990717020648689</v>
      </c>
      <c r="S943" s="49">
        <f t="shared" si="189"/>
        <v>0.99997334223460954</v>
      </c>
      <c r="T943" s="49">
        <f t="shared" si="189"/>
        <v>0.99999281521596539</v>
      </c>
      <c r="U943" s="49">
        <f t="shared" si="189"/>
        <v>0.99999817859754669</v>
      </c>
      <c r="V943" s="49">
        <f t="shared" si="189"/>
        <v>0.9999995648211768</v>
      </c>
      <c r="W943" s="47">
        <v>0.06</v>
      </c>
    </row>
    <row r="944" spans="2:23" x14ac:dyDescent="0.25">
      <c r="B944" s="49">
        <f t="shared" si="188"/>
        <v>2.2848095892478819E-3</v>
      </c>
      <c r="C944" s="49">
        <f t="shared" si="188"/>
        <v>1.6611651822028672E-2</v>
      </c>
      <c r="D944" s="49">
        <f t="shared" si="188"/>
        <v>6.1079859397883518E-2</v>
      </c>
      <c r="E944" s="49">
        <f t="shared" si="188"/>
        <v>0.15216381296563536</v>
      </c>
      <c r="F944" s="49">
        <f t="shared" si="188"/>
        <v>0.29065895028057775</v>
      </c>
      <c r="G944" s="49">
        <f t="shared" si="188"/>
        <v>0.45738756580694051</v>
      </c>
      <c r="H944" s="49">
        <f t="shared" si="188"/>
        <v>0.62290752465608645</v>
      </c>
      <c r="I944" s="49">
        <f t="shared" si="188"/>
        <v>0.76226861480154173</v>
      </c>
      <c r="J944" s="49">
        <f t="shared" si="188"/>
        <v>0.86384419901094012</v>
      </c>
      <c r="K944" s="49">
        <f t="shared" si="188"/>
        <v>0.92894449448249861</v>
      </c>
      <c r="L944" s="49">
        <f t="shared" si="189"/>
        <v>0.96608656802025517</v>
      </c>
      <c r="M944" s="49">
        <f t="shared" si="189"/>
        <v>0.98513903614593512</v>
      </c>
      <c r="N944" s="49">
        <f t="shared" si="189"/>
        <v>0.99399811890206269</v>
      </c>
      <c r="O944" s="49">
        <f t="shared" si="189"/>
        <v>0.99775779397528641</v>
      </c>
      <c r="P944" s="49">
        <f t="shared" si="189"/>
        <v>0.99922252285553614</v>
      </c>
      <c r="Q944" s="49">
        <f t="shared" si="189"/>
        <v>0.99974899285918162</v>
      </c>
      <c r="R944" s="49">
        <f t="shared" si="189"/>
        <v>0.99992433053665919</v>
      </c>
      <c r="S944" s="49">
        <f t="shared" si="189"/>
        <v>0.99997864328368169</v>
      </c>
      <c r="T944" s="49">
        <f t="shared" si="189"/>
        <v>0.99999434318746683</v>
      </c>
      <c r="U944" s="49">
        <f t="shared" si="189"/>
        <v>0.99999859075562703</v>
      </c>
      <c r="V944" s="49">
        <f t="shared" si="189"/>
        <v>0.99999966913599747</v>
      </c>
      <c r="W944" s="47">
        <v>5.8999999999999997E-2</v>
      </c>
    </row>
    <row r="945" spans="2:23" x14ac:dyDescent="0.25">
      <c r="B945" s="49">
        <f t="shared" si="188"/>
        <v>2.5408555195503791E-3</v>
      </c>
      <c r="C945" s="49">
        <f t="shared" si="188"/>
        <v>1.8186559111841877E-2</v>
      </c>
      <c r="D945" s="49">
        <f t="shared" si="188"/>
        <v>6.5874525295954375E-2</v>
      </c>
      <c r="E945" s="49">
        <f t="shared" si="188"/>
        <v>0.16179592363109821</v>
      </c>
      <c r="F945" s="49">
        <f t="shared" si="188"/>
        <v>0.30502213341919615</v>
      </c>
      <c r="G945" s="49">
        <f t="shared" si="188"/>
        <v>0.47434373147557796</v>
      </c>
      <c r="H945" s="49">
        <f t="shared" si="188"/>
        <v>0.63941318738541186</v>
      </c>
      <c r="I945" s="49">
        <f t="shared" si="188"/>
        <v>0.77589409910375351</v>
      </c>
      <c r="J945" s="49">
        <f t="shared" si="188"/>
        <v>0.87358039304940271</v>
      </c>
      <c r="K945" s="49">
        <f t="shared" si="188"/>
        <v>0.93506141581794944</v>
      </c>
      <c r="L945" s="49">
        <f t="shared" si="189"/>
        <v>0.96950735125594589</v>
      </c>
      <c r="M945" s="49">
        <f t="shared" si="189"/>
        <v>0.98685883788554829</v>
      </c>
      <c r="N945" s="49">
        <f t="shared" si="189"/>
        <v>0.99478180234676183</v>
      </c>
      <c r="O945" s="49">
        <f t="shared" si="189"/>
        <v>0.99808369279532105</v>
      </c>
      <c r="P945" s="49">
        <f t="shared" si="189"/>
        <v>0.99934692411271331</v>
      </c>
      <c r="Q945" s="49">
        <f t="shared" si="189"/>
        <v>0.99979279843051427</v>
      </c>
      <c r="R945" s="49">
        <f t="shared" si="189"/>
        <v>0.99993862180946069</v>
      </c>
      <c r="S945" s="49">
        <f t="shared" si="189"/>
        <v>0.99998297926774848</v>
      </c>
      <c r="T945" s="49">
        <f t="shared" si="189"/>
        <v>0.99999557068875977</v>
      </c>
      <c r="U945" s="49">
        <f t="shared" si="189"/>
        <v>0.99999891595645374</v>
      </c>
      <c r="V945" s="49">
        <f t="shared" si="189"/>
        <v>0.99999974997393493</v>
      </c>
      <c r="W945" s="47">
        <v>5.8000000000000003E-2</v>
      </c>
    </row>
    <row r="946" spans="2:23" x14ac:dyDescent="0.25">
      <c r="B946" s="49">
        <f t="shared" si="188"/>
        <v>2.8252766604113799E-3</v>
      </c>
      <c r="C946" s="49">
        <f t="shared" si="188"/>
        <v>1.9904264975237305E-2</v>
      </c>
      <c r="D946" s="49">
        <f t="shared" si="188"/>
        <v>7.1009073651153026E-2</v>
      </c>
      <c r="E946" s="49">
        <f t="shared" si="188"/>
        <v>0.17192373817963078</v>
      </c>
      <c r="F946" s="49">
        <f t="shared" si="188"/>
        <v>0.31985057936759076</v>
      </c>
      <c r="G946" s="49">
        <f t="shared" si="188"/>
        <v>0.49153166006446869</v>
      </c>
      <c r="H946" s="49">
        <f t="shared" si="188"/>
        <v>0.65584101324141186</v>
      </c>
      <c r="I946" s="49">
        <f t="shared" si="188"/>
        <v>0.78920938792241979</v>
      </c>
      <c r="J946" s="49">
        <f t="shared" si="188"/>
        <v>0.88292238886992858</v>
      </c>
      <c r="K946" s="49">
        <f t="shared" si="188"/>
        <v>0.94082424084064353</v>
      </c>
      <c r="L946" s="49">
        <f t="shared" si="189"/>
        <v>0.97267167177715796</v>
      </c>
      <c r="M946" s="49">
        <f t="shared" si="189"/>
        <v>0.98842085560442638</v>
      </c>
      <c r="N946" s="49">
        <f t="shared" si="189"/>
        <v>0.99548068005583246</v>
      </c>
      <c r="O946" s="49">
        <f t="shared" si="189"/>
        <v>0.99836905505348084</v>
      </c>
      <c r="P946" s="49">
        <f t="shared" si="189"/>
        <v>0.99945387688031029</v>
      </c>
      <c r="Q946" s="49">
        <f t="shared" si="189"/>
        <v>0.99982977702531717</v>
      </c>
      <c r="R946" s="49">
        <f t="shared" si="189"/>
        <v>0.99995046710892976</v>
      </c>
      <c r="S946" s="49">
        <f t="shared" si="189"/>
        <v>0.99998650798757183</v>
      </c>
      <c r="T946" s="49">
        <f t="shared" si="189"/>
        <v>0.99999655154668377</v>
      </c>
      <c r="U946" s="49">
        <f t="shared" si="189"/>
        <v>0.99999917110360148</v>
      </c>
      <c r="V946" s="49">
        <f t="shared" si="189"/>
        <v>0.99999981224832923</v>
      </c>
      <c r="W946" s="47">
        <v>5.7000000000000002E-2</v>
      </c>
    </row>
    <row r="947" spans="2:23" x14ac:dyDescent="0.25">
      <c r="B947" s="49">
        <f t="shared" si="188"/>
        <v>3.1411823637234348E-3</v>
      </c>
      <c r="C947" s="49">
        <f t="shared" si="188"/>
        <v>2.1776943684867774E-2</v>
      </c>
      <c r="D947" s="49">
        <f t="shared" si="188"/>
        <v>7.6503671445981455E-2</v>
      </c>
      <c r="E947" s="49">
        <f t="shared" si="188"/>
        <v>0.18256195618756868</v>
      </c>
      <c r="F947" s="49">
        <f t="shared" si="188"/>
        <v>0.33513920944585601</v>
      </c>
      <c r="G947" s="49">
        <f t="shared" si="188"/>
        <v>0.5089263449409076</v>
      </c>
      <c r="H947" s="49">
        <f t="shared" si="188"/>
        <v>0.67216001194585706</v>
      </c>
      <c r="I947" s="49">
        <f t="shared" si="188"/>
        <v>0.80219267629376467</v>
      </c>
      <c r="J947" s="49">
        <f t="shared" si="188"/>
        <v>0.89186356762720953</v>
      </c>
      <c r="K947" s="49">
        <f t="shared" si="188"/>
        <v>0.94623816092560298</v>
      </c>
      <c r="L947" s="49">
        <f t="shared" si="189"/>
        <v>0.97558962600902444</v>
      </c>
      <c r="M947" s="49">
        <f t="shared" si="189"/>
        <v>0.98983471384021871</v>
      </c>
      <c r="N947" s="49">
        <f t="shared" si="189"/>
        <v>0.99610161099794137</v>
      </c>
      <c r="O947" s="49">
        <f t="shared" si="189"/>
        <v>0.99861791852268067</v>
      </c>
      <c r="P947" s="49">
        <f t="shared" si="189"/>
        <v>0.99954543132876439</v>
      </c>
      <c r="Q947" s="49">
        <f t="shared" si="189"/>
        <v>0.99986084843330236</v>
      </c>
      <c r="R947" s="49">
        <f t="shared" si="189"/>
        <v>0.99996023678088419</v>
      </c>
      <c r="S947" s="49">
        <f t="shared" si="189"/>
        <v>0.99998936475457056</v>
      </c>
      <c r="T947" s="49">
        <f t="shared" si="189"/>
        <v>0.99999733099577393</v>
      </c>
      <c r="U947" s="49">
        <f t="shared" si="189"/>
        <v>0.99999937012357898</v>
      </c>
      <c r="V947" s="49">
        <f t="shared" si="189"/>
        <v>0.99999985992874929</v>
      </c>
      <c r="W947" s="47">
        <v>5.6000000000000001E-2</v>
      </c>
    </row>
    <row r="948" spans="2:23" x14ac:dyDescent="0.25">
      <c r="B948" s="49">
        <f t="shared" si="188"/>
        <v>3.4920188538552798E-3</v>
      </c>
      <c r="C948" s="49">
        <f t="shared" si="188"/>
        <v>2.3817712574422473E-2</v>
      </c>
      <c r="D948" s="49">
        <f t="shared" si="188"/>
        <v>8.2379241933444425E-2</v>
      </c>
      <c r="E948" s="49">
        <f t="shared" si="188"/>
        <v>0.19372459623459179</v>
      </c>
      <c r="F948" s="49">
        <f t="shared" si="188"/>
        <v>0.35088088035076065</v>
      </c>
      <c r="G948" s="49">
        <f t="shared" si="188"/>
        <v>0.52650086053374612</v>
      </c>
      <c r="H948" s="49">
        <f t="shared" si="188"/>
        <v>0.68833876953395423</v>
      </c>
      <c r="I948" s="49">
        <f t="shared" si="188"/>
        <v>0.81482320544027709</v>
      </c>
      <c r="J948" s="49">
        <f t="shared" si="188"/>
        <v>0.90039883483715399</v>
      </c>
      <c r="K948" s="49">
        <f t="shared" si="188"/>
        <v>0.95130946915462478</v>
      </c>
      <c r="L948" s="49">
        <f t="shared" si="189"/>
        <v>0.97827171253383705</v>
      </c>
      <c r="M948" s="49">
        <f t="shared" si="189"/>
        <v>0.99110993830556293</v>
      </c>
      <c r="N948" s="49">
        <f t="shared" si="189"/>
        <v>0.99665116560539502</v>
      </c>
      <c r="O948" s="49">
        <f t="shared" si="189"/>
        <v>0.99883404889547767</v>
      </c>
      <c r="P948" s="49">
        <f t="shared" si="189"/>
        <v>0.99962345412693088</v>
      </c>
      <c r="Q948" s="49">
        <f t="shared" si="189"/>
        <v>0.99988683151999413</v>
      </c>
      <c r="R948" s="49">
        <f t="shared" si="189"/>
        <v>0.99996825352176222</v>
      </c>
      <c r="S948" s="49">
        <f t="shared" si="189"/>
        <v>0.99999166503645665</v>
      </c>
      <c r="T948" s="49">
        <f t="shared" si="189"/>
        <v>0.99999794685674936</v>
      </c>
      <c r="U948" s="49">
        <f t="shared" si="189"/>
        <v>0.99999952442879714</v>
      </c>
      <c r="V948" s="49">
        <f t="shared" si="189"/>
        <v>0.99999989620424357</v>
      </c>
      <c r="W948" s="47">
        <v>5.5E-2</v>
      </c>
    </row>
    <row r="949" spans="2:23" x14ac:dyDescent="0.25">
      <c r="B949" s="49">
        <f t="shared" si="188"/>
        <v>3.8816053088060361E-3</v>
      </c>
      <c r="C949" s="49">
        <f t="shared" si="188"/>
        <v>2.60406928270649E-2</v>
      </c>
      <c r="D949" s="49">
        <f t="shared" si="188"/>
        <v>8.8657437620691212E-2</v>
      </c>
      <c r="E949" s="49">
        <f t="shared" si="188"/>
        <v>0.20542484500001149</v>
      </c>
      <c r="F949" s="49">
        <f t="shared" si="188"/>
        <v>0.36706625330002324</v>
      </c>
      <c r="G949" s="49">
        <f t="shared" si="188"/>
        <v>0.5442263931024075</v>
      </c>
      <c r="H949" s="49">
        <f t="shared" si="188"/>
        <v>0.70434560510508581</v>
      </c>
      <c r="I949" s="49">
        <f t="shared" si="188"/>
        <v>0.82708140218540438</v>
      </c>
      <c r="J949" s="49">
        <f t="shared" si="188"/>
        <v>0.90852465543982275</v>
      </c>
      <c r="K949" s="49">
        <f t="shared" si="188"/>
        <v>0.95604551088847201</v>
      </c>
      <c r="L949" s="49">
        <f t="shared" si="189"/>
        <v>0.9807287628049367</v>
      </c>
      <c r="M949" s="49">
        <f t="shared" si="189"/>
        <v>0.99225591023009418</v>
      </c>
      <c r="N949" s="49">
        <f t="shared" si="189"/>
        <v>0.99713561076133683</v>
      </c>
      <c r="O949" s="49">
        <f t="shared" si="189"/>
        <v>0.99902094331247737</v>
      </c>
      <c r="P949" s="49">
        <f t="shared" si="189"/>
        <v>0.99968963753797846</v>
      </c>
      <c r="Q949" s="49">
        <f t="shared" si="189"/>
        <v>0.9999084520235606</v>
      </c>
      <c r="R949" s="49">
        <f t="shared" si="189"/>
        <v>0.99997479718113247</v>
      </c>
      <c r="S949" s="49">
        <f t="shared" si="189"/>
        <v>0.9999935068769199</v>
      </c>
      <c r="T949" s="49">
        <f t="shared" si="189"/>
        <v>0.99999843058570526</v>
      </c>
      <c r="U949" s="49">
        <f t="shared" si="189"/>
        <v>0.99999964331974733</v>
      </c>
      <c r="V949" s="49">
        <f t="shared" si="189"/>
        <v>0.99999992362191981</v>
      </c>
      <c r="W949" s="47">
        <v>5.3999999999999999E-2</v>
      </c>
    </row>
    <row r="950" spans="2:23" x14ac:dyDescent="0.25">
      <c r="B950" s="49">
        <f t="shared" si="188"/>
        <v>4.3141737613997394E-3</v>
      </c>
      <c r="C950" s="49">
        <f t="shared" si="188"/>
        <v>2.8461072446257323E-2</v>
      </c>
      <c r="D950" s="49">
        <f t="shared" si="188"/>
        <v>9.5360603704834318E-2</v>
      </c>
      <c r="E950" s="49">
        <f t="shared" si="188"/>
        <v>0.21767489432401302</v>
      </c>
      <c r="F950" s="49">
        <f t="shared" si="188"/>
        <v>0.38368366667482434</v>
      </c>
      <c r="G950" s="49">
        <f t="shared" si="188"/>
        <v>0.56207228823268529</v>
      </c>
      <c r="H950" s="49">
        <f t="shared" si="188"/>
        <v>0.72014873900934906</v>
      </c>
      <c r="I950" s="49">
        <f t="shared" si="188"/>
        <v>0.83894901521802534</v>
      </c>
      <c r="J950" s="49">
        <f t="shared" si="188"/>
        <v>0.91623907816082639</v>
      </c>
      <c r="K950" s="49">
        <f t="shared" si="188"/>
        <v>0.96045462661195602</v>
      </c>
      <c r="L950" s="49">
        <f t="shared" si="189"/>
        <v>0.98297187064585301</v>
      </c>
      <c r="M950" s="49">
        <f t="shared" si="189"/>
        <v>0.99328182334929394</v>
      </c>
      <c r="N950" s="49">
        <f t="shared" si="189"/>
        <v>0.99756089773195034</v>
      </c>
      <c r="O950" s="49">
        <f t="shared" si="189"/>
        <v>0.9991818355167863</v>
      </c>
      <c r="P950" s="49">
        <f t="shared" si="189"/>
        <v>0.99974550891732394</v>
      </c>
      <c r="Q950" s="49">
        <f t="shared" si="189"/>
        <v>0.99992635016696607</v>
      </c>
      <c r="R950" s="49">
        <f t="shared" si="189"/>
        <v>0.999980109267811</v>
      </c>
      <c r="S950" s="49">
        <f t="shared" si="189"/>
        <v>0.99999497309687824</v>
      </c>
      <c r="T950" s="49">
        <f t="shared" si="189"/>
        <v>0.99999880820328813</v>
      </c>
      <c r="U950" s="49">
        <f t="shared" si="189"/>
        <v>0.99999973433250711</v>
      </c>
      <c r="V950" s="49">
        <f t="shared" si="189"/>
        <v>0.9999999442039329</v>
      </c>
      <c r="W950" s="47">
        <v>5.2999999999999999E-2</v>
      </c>
    </row>
    <row r="951" spans="2:23" x14ac:dyDescent="0.25">
      <c r="B951" s="49">
        <f t="shared" si="188"/>
        <v>4.7944132202629858E-3</v>
      </c>
      <c r="C951" s="49">
        <f t="shared" si="188"/>
        <v>3.1095171192731572E-2</v>
      </c>
      <c r="D951" s="49">
        <f t="shared" si="188"/>
        <v>0.10251173075732251</v>
      </c>
      <c r="E951" s="49">
        <f t="shared" si="188"/>
        <v>0.23048576610893978</v>
      </c>
      <c r="F951" s="49">
        <f t="shared" si="188"/>
        <v>0.40071901380125158</v>
      </c>
      <c r="G951" s="49">
        <f t="shared" si="188"/>
        <v>0.58000611625951026</v>
      </c>
      <c r="H951" s="49">
        <f t="shared" si="188"/>
        <v>0.73571647177981758</v>
      </c>
      <c r="I951" s="49">
        <f t="shared" si="188"/>
        <v>0.85040924675669904</v>
      </c>
      <c r="J951" s="49">
        <f t="shared" si="188"/>
        <v>0.92354174854452564</v>
      </c>
      <c r="K951" s="49">
        <f t="shared" si="188"/>
        <v>0.96454608743495662</v>
      </c>
      <c r="L951" s="49">
        <f t="shared" si="189"/>
        <v>0.98501232117372561</v>
      </c>
      <c r="M951" s="49">
        <f t="shared" si="189"/>
        <v>0.9941966438721086</v>
      </c>
      <c r="N951" s="49">
        <f t="shared" si="189"/>
        <v>0.9979326530369802</v>
      </c>
      <c r="O951" s="49">
        <f t="shared" si="189"/>
        <v>0.99931970249693669</v>
      </c>
      <c r="P951" s="49">
        <f t="shared" si="189"/>
        <v>0.99979244049998994</v>
      </c>
      <c r="Q951" s="49">
        <f t="shared" si="189"/>
        <v>0.99994108803683002</v>
      </c>
      <c r="R951" s="49">
        <f t="shared" si="189"/>
        <v>0.99998439715345955</v>
      </c>
      <c r="S951" s="49">
        <f t="shared" si="189"/>
        <v>0.99999613328618242</v>
      </c>
      <c r="T951" s="49">
        <f t="shared" si="189"/>
        <v>0.99999910111315871</v>
      </c>
      <c r="U951" s="49">
        <f t="shared" si="189"/>
        <v>0.99999980353735696</v>
      </c>
      <c r="V951" s="49">
        <f t="shared" si="189"/>
        <v>0.99999995954568377</v>
      </c>
      <c r="W951" s="47">
        <v>5.1999999999999998E-2</v>
      </c>
    </row>
    <row r="952" spans="2:23" x14ac:dyDescent="0.25">
      <c r="B952" s="49">
        <f t="shared" si="188"/>
        <v>5.3279863109614162E-3</v>
      </c>
      <c r="C952" s="49">
        <f t="shared" si="188"/>
        <v>3.3962996545819073E-2</v>
      </c>
      <c r="D952" s="49">
        <f t="shared" si="188"/>
        <v>0.11014095088462764</v>
      </c>
      <c r="E952" s="49">
        <f t="shared" si="188"/>
        <v>0.24387851646323391</v>
      </c>
      <c r="F952" s="49">
        <f t="shared" si="188"/>
        <v>0.41817032033811702</v>
      </c>
      <c r="G952" s="49">
        <f t="shared" si="188"/>
        <v>0.59800875906766537</v>
      </c>
      <c r="H952" s="49">
        <f t="shared" si="188"/>
        <v>0.75103000375769879</v>
      </c>
      <c r="I952" s="49">
        <f t="shared" si="188"/>
        <v>0.86145589601877937</v>
      </c>
      <c r="J952" s="49">
        <f t="shared" si="188"/>
        <v>0.93043948308199398</v>
      </c>
      <c r="K952" s="49">
        <f t="shared" si="188"/>
        <v>0.96833305174893913</v>
      </c>
      <c r="L952" s="49">
        <f t="shared" si="189"/>
        <v>0.98686298423158525</v>
      </c>
      <c r="M952" s="49">
        <f t="shared" si="189"/>
        <v>0.99500971041163111</v>
      </c>
      <c r="N952" s="49">
        <f t="shared" si="189"/>
        <v>0.99825642310788809</v>
      </c>
      <c r="O952" s="49">
        <f t="shared" si="189"/>
        <v>0.99943736268991035</v>
      </c>
      <c r="P952" s="49">
        <f t="shared" si="189"/>
        <v>0.99983168914724585</v>
      </c>
      <c r="Q952" s="49">
        <f t="shared" si="189"/>
        <v>0.99995316575359416</v>
      </c>
      <c r="R952" s="49">
        <f t="shared" si="189"/>
        <v>0.99998784052891365</v>
      </c>
      <c r="S952" s="49">
        <f t="shared" si="189"/>
        <v>0.99999704626674824</v>
      </c>
      <c r="T952" s="49">
        <f t="shared" si="189"/>
        <v>0.9999993269831855</v>
      </c>
      <c r="U952" s="49">
        <f t="shared" si="189"/>
        <v>0.99999985583155127</v>
      </c>
      <c r="V952" s="49">
        <f t="shared" si="189"/>
        <v>0.99999997090584891</v>
      </c>
      <c r="W952" s="47">
        <v>5.0999999999999997E-2</v>
      </c>
    </row>
    <row r="953" spans="2:23" x14ac:dyDescent="0.25">
      <c r="B953" s="49">
        <f t="shared" ref="B953:K962" si="190">_xlfn.HYPGEOM.DIST(B$2,comau,tongtheN*$W953,tongtheN,TRUE)</f>
        <v>5.9192439088892081E-3</v>
      </c>
      <c r="C953" s="49">
        <f t="shared" si="190"/>
        <v>3.7075864925394358E-2</v>
      </c>
      <c r="D953" s="49">
        <f t="shared" si="190"/>
        <v>0.11825268728931722</v>
      </c>
      <c r="E953" s="49">
        <f t="shared" si="190"/>
        <v>0.25782707939188526</v>
      </c>
      <c r="F953" s="49">
        <f t="shared" si="190"/>
        <v>0.43597417464921423</v>
      </c>
      <c r="G953" s="49">
        <f t="shared" si="190"/>
        <v>0.61599950311038276</v>
      </c>
      <c r="H953" s="49">
        <f t="shared" si="190"/>
        <v>0.76602047855304201</v>
      </c>
      <c r="I953" s="49">
        <f t="shared" si="190"/>
        <v>0.87204838755494762</v>
      </c>
      <c r="J953" s="49">
        <f t="shared" si="190"/>
        <v>0.93691839329903792</v>
      </c>
      <c r="K953" s="49">
        <f t="shared" si="190"/>
        <v>0.97181734745367776</v>
      </c>
      <c r="L953" s="49">
        <f t="shared" ref="L953:V962" si="191">_xlfn.HYPGEOM.DIST(L$2,comau,tongtheN*$W953,tongtheN,TRUE)</f>
        <v>0.98853092198507753</v>
      </c>
      <c r="M953" s="49">
        <f t="shared" si="191"/>
        <v>0.99572751733749632</v>
      </c>
      <c r="N953" s="49">
        <f t="shared" si="191"/>
        <v>0.99853641645390956</v>
      </c>
      <c r="O953" s="49">
        <f t="shared" si="191"/>
        <v>0.99953703405415928</v>
      </c>
      <c r="P953" s="49">
        <f t="shared" si="191"/>
        <v>0.99986425749725594</v>
      </c>
      <c r="Q953" s="49">
        <f t="shared" si="191"/>
        <v>0.99996298292791541</v>
      </c>
      <c r="R953" s="49">
        <f t="shared" si="191"/>
        <v>0.99999058221052917</v>
      </c>
      <c r="S953" s="49">
        <f t="shared" si="191"/>
        <v>0.99999775834140936</v>
      </c>
      <c r="T953" s="49">
        <f t="shared" si="191"/>
        <v>0.99999949954883072</v>
      </c>
      <c r="U953" s="49">
        <f t="shared" si="191"/>
        <v>0.99999989496799235</v>
      </c>
      <c r="V953" s="49">
        <f t="shared" si="191"/>
        <v>0.99999997923393091</v>
      </c>
      <c r="W953" s="47">
        <v>0.05</v>
      </c>
    </row>
    <row r="954" spans="2:23" x14ac:dyDescent="0.25">
      <c r="B954" s="49">
        <f t="shared" si="190"/>
        <v>6.5759633459335836E-3</v>
      </c>
      <c r="C954" s="49">
        <f t="shared" si="190"/>
        <v>4.046136391441036E-2</v>
      </c>
      <c r="D954" s="49">
        <f t="shared" si="190"/>
        <v>0.12689112178643291</v>
      </c>
      <c r="E954" s="49">
        <f t="shared" si="190"/>
        <v>0.27237196985746537</v>
      </c>
      <c r="F954" s="49">
        <f t="shared" si="190"/>
        <v>0.45415255912258795</v>
      </c>
      <c r="G954" s="49">
        <f t="shared" si="190"/>
        <v>0.63398618819922614</v>
      </c>
      <c r="H954" s="49">
        <f t="shared" si="190"/>
        <v>0.78069549639792202</v>
      </c>
      <c r="I954" s="49">
        <f t="shared" si="190"/>
        <v>0.8822020590385371</v>
      </c>
      <c r="J954" s="49">
        <f t="shared" si="190"/>
        <v>0.94299959160903679</v>
      </c>
      <c r="K954" s="49">
        <f t="shared" si="190"/>
        <v>0.97501966888176039</v>
      </c>
      <c r="L954" s="49">
        <f t="shared" si="191"/>
        <v>0.99003196436840069</v>
      </c>
      <c r="M954" s="49">
        <f t="shared" si="191"/>
        <v>0.99636005217448409</v>
      </c>
      <c r="N954" s="49">
        <f t="shared" si="191"/>
        <v>0.99877801187146042</v>
      </c>
      <c r="O954" s="49">
        <f t="shared" si="191"/>
        <v>0.99962124645509098</v>
      </c>
      <c r="P954" s="49">
        <f t="shared" si="191"/>
        <v>0.99989120177555013</v>
      </c>
      <c r="Q954" s="49">
        <f t="shared" si="191"/>
        <v>0.99997093578064111</v>
      </c>
      <c r="R954" s="49">
        <f t="shared" si="191"/>
        <v>0.999992757011819</v>
      </c>
      <c r="S954" s="49">
        <f t="shared" si="191"/>
        <v>0.99999831143000539</v>
      </c>
      <c r="T954" s="49">
        <f t="shared" si="191"/>
        <v>0.99999963079619969</v>
      </c>
      <c r="U954" s="49">
        <f t="shared" si="191"/>
        <v>0.9999999241144093</v>
      </c>
      <c r="V954" s="49">
        <f t="shared" si="191"/>
        <v>0.99999998530712142</v>
      </c>
      <c r="W954" s="47">
        <v>4.9000000000000002E-2</v>
      </c>
    </row>
    <row r="955" spans="2:23" x14ac:dyDescent="0.25">
      <c r="B955" s="49">
        <f t="shared" si="190"/>
        <v>7.3047357078473048E-3</v>
      </c>
      <c r="C955" s="49">
        <f t="shared" si="190"/>
        <v>4.4138527919532683E-2</v>
      </c>
      <c r="D955" s="49">
        <f t="shared" si="190"/>
        <v>0.1360745352811962</v>
      </c>
      <c r="E955" s="49">
        <f t="shared" si="190"/>
        <v>0.28750614752934028</v>
      </c>
      <c r="F955" s="49">
        <f t="shared" si="190"/>
        <v>0.47266584174245391</v>
      </c>
      <c r="G955" s="49">
        <f t="shared" si="190"/>
        <v>0.6519153318170412</v>
      </c>
      <c r="H955" s="49">
        <f t="shared" si="190"/>
        <v>0.79501301699368576</v>
      </c>
      <c r="I955" s="49">
        <f t="shared" si="190"/>
        <v>0.89189807998162962</v>
      </c>
      <c r="J955" s="49">
        <f t="shared" si="190"/>
        <v>0.94868342522540516</v>
      </c>
      <c r="K955" s="49">
        <f t="shared" si="190"/>
        <v>0.97794920838932198</v>
      </c>
      <c r="L955" s="49">
        <f t="shared" si="191"/>
        <v>0.99137599799595899</v>
      </c>
      <c r="M955" s="49">
        <f t="shared" si="191"/>
        <v>0.99691440321215985</v>
      </c>
      <c r="N955" s="49">
        <f t="shared" si="191"/>
        <v>0.9989852515152523</v>
      </c>
      <c r="O955" s="49">
        <f t="shared" si="191"/>
        <v>0.99969195052539883</v>
      </c>
      <c r="P955" s="49">
        <f t="shared" si="191"/>
        <v>0.99991334391780018</v>
      </c>
      <c r="Q955" s="49">
        <f t="shared" si="191"/>
        <v>0.99997733255788368</v>
      </c>
      <c r="R955" s="49">
        <f t="shared" si="191"/>
        <v>0.99999446916874335</v>
      </c>
      <c r="S955" s="49">
        <f t="shared" si="191"/>
        <v>0.99999873762159619</v>
      </c>
      <c r="T955" s="49">
        <f t="shared" si="191"/>
        <v>0.99999972978531815</v>
      </c>
      <c r="U955" s="49">
        <f t="shared" si="191"/>
        <v>0.99999994563078853</v>
      </c>
      <c r="V955" s="49">
        <f t="shared" si="191"/>
        <v>0.99999998969534321</v>
      </c>
      <c r="W955" s="47">
        <v>4.8000000000000001E-2</v>
      </c>
    </row>
    <row r="956" spans="2:23" x14ac:dyDescent="0.25">
      <c r="B956" s="49">
        <f t="shared" si="190"/>
        <v>8.113377950765617E-3</v>
      </c>
      <c r="C956" s="49">
        <f t="shared" si="190"/>
        <v>4.8130353574152192E-2</v>
      </c>
      <c r="D956" s="49">
        <f t="shared" si="190"/>
        <v>0.14582796294000988</v>
      </c>
      <c r="E956" s="49">
        <f t="shared" si="190"/>
        <v>0.30323174114188434</v>
      </c>
      <c r="F956" s="49">
        <f t="shared" si="190"/>
        <v>0.49148617341482725</v>
      </c>
      <c r="G956" s="49">
        <f t="shared" si="190"/>
        <v>0.66974731060209325</v>
      </c>
      <c r="H956" s="49">
        <f t="shared" si="190"/>
        <v>0.80894472903995163</v>
      </c>
      <c r="I956" s="49">
        <f t="shared" si="190"/>
        <v>0.90112862675188454</v>
      </c>
      <c r="J956" s="49">
        <f t="shared" si="190"/>
        <v>0.95397729162362366</v>
      </c>
      <c r="K956" s="49">
        <f t="shared" si="190"/>
        <v>0.98061870421796971</v>
      </c>
      <c r="L956" s="49">
        <f t="shared" si="191"/>
        <v>0.99257422421187502</v>
      </c>
      <c r="M956" s="49">
        <f t="shared" si="191"/>
        <v>0.9973979214614439</v>
      </c>
      <c r="N956" s="49">
        <f t="shared" si="191"/>
        <v>0.99916209973521286</v>
      </c>
      <c r="O956" s="49">
        <f t="shared" si="191"/>
        <v>0.99975098050715205</v>
      </c>
      <c r="P956" s="49">
        <f t="shared" si="191"/>
        <v>0.99993143017792863</v>
      </c>
      <c r="Q956" s="49">
        <f t="shared" si="191"/>
        <v>0.9999824445690374</v>
      </c>
      <c r="R956" s="49">
        <f t="shared" si="191"/>
        <v>0.99999580784661868</v>
      </c>
      <c r="S956" s="49">
        <f t="shared" si="191"/>
        <v>0.99999906363831603</v>
      </c>
      <c r="T956" s="49">
        <f t="shared" si="191"/>
        <v>0.99999980386949405</v>
      </c>
      <c r="U956" s="49">
        <f t="shared" si="191"/>
        <v>0.99999996138550939</v>
      </c>
      <c r="V956" s="49">
        <f t="shared" si="191"/>
        <v>0.99999999283899288</v>
      </c>
      <c r="W956" s="47">
        <v>4.7E-2</v>
      </c>
    </row>
    <row r="957" spans="2:23" x14ac:dyDescent="0.25">
      <c r="B957" s="49">
        <f t="shared" si="190"/>
        <v>9.0105455120542081E-3</v>
      </c>
      <c r="C957" s="49">
        <f t="shared" si="190"/>
        <v>5.2461377848655129E-2</v>
      </c>
      <c r="D957" s="49">
        <f t="shared" si="190"/>
        <v>0.1561764962465681</v>
      </c>
      <c r="E957" s="49">
        <f t="shared" si="190"/>
        <v>0.3195484149370178</v>
      </c>
      <c r="F957" s="49">
        <f t="shared" si="190"/>
        <v>0.51058274787544755</v>
      </c>
      <c r="G957" s="49">
        <f t="shared" si="190"/>
        <v>0.68744155078510094</v>
      </c>
      <c r="H957" s="49">
        <f t="shared" si="190"/>
        <v>0.82246363717334459</v>
      </c>
      <c r="I957" s="49">
        <f t="shared" si="190"/>
        <v>0.90988793619166985</v>
      </c>
      <c r="J957" s="49">
        <f t="shared" si="190"/>
        <v>0.9588900035553356</v>
      </c>
      <c r="K957" s="49">
        <f t="shared" si="190"/>
        <v>0.98304131706024866</v>
      </c>
      <c r="L957" s="49">
        <f t="shared" si="191"/>
        <v>0.99363763386294268</v>
      </c>
      <c r="M957" s="49">
        <f t="shared" si="191"/>
        <v>0.99781756662966969</v>
      </c>
      <c r="N957" s="49">
        <f t="shared" si="191"/>
        <v>0.99931219887066125</v>
      </c>
      <c r="O957" s="49">
        <f t="shared" si="191"/>
        <v>0.99979997630699369</v>
      </c>
      <c r="P957" s="49">
        <f t="shared" si="191"/>
        <v>0.99994611079273565</v>
      </c>
      <c r="Q957" s="49">
        <f t="shared" si="191"/>
        <v>0.99998650242936094</v>
      </c>
      <c r="R957" s="49">
        <f t="shared" si="191"/>
        <v>0.99999684702900993</v>
      </c>
      <c r="S957" s="49">
        <f t="shared" si="191"/>
        <v>0.99999931113336737</v>
      </c>
      <c r="T957" s="49">
        <f t="shared" si="191"/>
        <v>0.99999985886961096</v>
      </c>
      <c r="U957" s="49">
        <f t="shared" si="191"/>
        <v>0.99999997282379516</v>
      </c>
      <c r="V957" s="49">
        <f t="shared" si="191"/>
        <v>0.99999999507100723</v>
      </c>
      <c r="W957" s="47">
        <v>4.5999999999999999E-2</v>
      </c>
    </row>
    <row r="958" spans="2:23" x14ac:dyDescent="0.25">
      <c r="B958" s="49">
        <f t="shared" si="190"/>
        <v>1.0005821224889537E-2</v>
      </c>
      <c r="C958" s="49">
        <f t="shared" si="190"/>
        <v>5.7157743262136643E-2</v>
      </c>
      <c r="D958" s="49">
        <f t="shared" si="190"/>
        <v>0.16714511878414545</v>
      </c>
      <c r="E958" s="49">
        <f t="shared" si="190"/>
        <v>0.33645311830849955</v>
      </c>
      <c r="F958" s="49">
        <f t="shared" si="190"/>
        <v>0.52992177556091791</v>
      </c>
      <c r="G958" s="49">
        <f t="shared" si="190"/>
        <v>0.704956743945236</v>
      </c>
      <c r="H958" s="49">
        <f t="shared" si="190"/>
        <v>0.83554427995045311</v>
      </c>
      <c r="I958" s="49">
        <f t="shared" si="190"/>
        <v>0.91817236175965689</v>
      </c>
      <c r="J958" s="49">
        <f t="shared" si="190"/>
        <v>0.96343171460087151</v>
      </c>
      <c r="K958" s="49">
        <f t="shared" si="190"/>
        <v>0.985230532446836</v>
      </c>
      <c r="L958" s="49">
        <f t="shared" si="191"/>
        <v>0.99457695037348426</v>
      </c>
      <c r="M958" s="49">
        <f t="shared" si="191"/>
        <v>0.99817989394235063</v>
      </c>
      <c r="N958" s="49">
        <f t="shared" si="191"/>
        <v>0.99943887801720532</v>
      </c>
      <c r="O958" s="49">
        <f t="shared" si="191"/>
        <v>0.99984039613732345</v>
      </c>
      <c r="P958" s="49">
        <f t="shared" si="191"/>
        <v>0.9999579490882754</v>
      </c>
      <c r="Q958" s="49">
        <f t="shared" si="191"/>
        <v>0.99998970097042306</v>
      </c>
      <c r="R958" s="49">
        <f t="shared" si="191"/>
        <v>0.99999764770557908</v>
      </c>
      <c r="S958" s="49">
        <f t="shared" si="191"/>
        <v>0.99999949753210415</v>
      </c>
      <c r="T958" s="49">
        <f t="shared" si="191"/>
        <v>0.99999989935998257</v>
      </c>
      <c r="U958" s="49">
        <f t="shared" si="191"/>
        <v>0.9999999810549618</v>
      </c>
      <c r="V958" s="49">
        <f t="shared" si="191"/>
        <v>0.99999999664104589</v>
      </c>
      <c r="W958" s="47">
        <v>4.4999999999999998E-2</v>
      </c>
    </row>
    <row r="959" spans="2:23" x14ac:dyDescent="0.25">
      <c r="B959" s="49">
        <f t="shared" si="190"/>
        <v>1.1109813553140753E-2</v>
      </c>
      <c r="C959" s="49">
        <f t="shared" si="190"/>
        <v>6.2247259654733648E-2</v>
      </c>
      <c r="D959" s="49">
        <f t="shared" si="190"/>
        <v>0.17875851831136658</v>
      </c>
      <c r="E959" s="49">
        <f t="shared" si="190"/>
        <v>0.35393982884935798</v>
      </c>
      <c r="F959" s="49">
        <f t="shared" si="190"/>
        <v>0.54946648168336698</v>
      </c>
      <c r="G959" s="49">
        <f t="shared" si="190"/>
        <v>0.72225108564731622</v>
      </c>
      <c r="H959" s="49">
        <f t="shared" si="190"/>
        <v>0.84816294569574691</v>
      </c>
      <c r="I959" s="49">
        <f t="shared" si="190"/>
        <v>0.92598041290466016</v>
      </c>
      <c r="J959" s="49">
        <f t="shared" si="190"/>
        <v>0.96761383275391299</v>
      </c>
      <c r="K959" s="49">
        <f t="shared" si="190"/>
        <v>0.98720006194812815</v>
      </c>
      <c r="L959" s="49">
        <f t="shared" si="191"/>
        <v>0.99540257721786296</v>
      </c>
      <c r="M959" s="49">
        <f t="shared" si="191"/>
        <v>0.99849104510077902</v>
      </c>
      <c r="N959" s="49">
        <f t="shared" si="191"/>
        <v>0.99954516366587565</v>
      </c>
      <c r="O959" s="49">
        <f t="shared" si="191"/>
        <v>0.99987352936787044</v>
      </c>
      <c r="P959" s="49">
        <f t="shared" si="191"/>
        <v>0.99996743019246614</v>
      </c>
      <c r="Q959" s="49">
        <f t="shared" si="191"/>
        <v>0.99999220375092834</v>
      </c>
      <c r="R959" s="49">
        <f t="shared" si="191"/>
        <v>0.99999825981588231</v>
      </c>
      <c r="S959" s="49">
        <f t="shared" si="191"/>
        <v>0.99999963675732528</v>
      </c>
      <c r="T959" s="49">
        <f t="shared" si="191"/>
        <v>0.99999992890809475</v>
      </c>
      <c r="U959" s="49">
        <f t="shared" si="191"/>
        <v>0.99999998692367709</v>
      </c>
      <c r="V959" s="49">
        <f t="shared" si="191"/>
        <v>0.99999999773474113</v>
      </c>
      <c r="W959" s="47">
        <v>4.3999999999999997E-2</v>
      </c>
    </row>
    <row r="960" spans="2:23" x14ac:dyDescent="0.25">
      <c r="B960" s="49">
        <f t="shared" si="190"/>
        <v>1.2335339243902217E-2</v>
      </c>
      <c r="C960" s="49">
        <f t="shared" si="190"/>
        <v>6.7764239450129576E-2</v>
      </c>
      <c r="D960" s="49">
        <f t="shared" si="190"/>
        <v>0.19105139401266671</v>
      </c>
      <c r="E960" s="49">
        <f t="shared" si="190"/>
        <v>0.37201457587867565</v>
      </c>
      <c r="F960" s="49">
        <f t="shared" si="190"/>
        <v>0.56919361458380813</v>
      </c>
      <c r="G960" s="49">
        <f t="shared" si="190"/>
        <v>0.73929660807006581</v>
      </c>
      <c r="H960" s="49">
        <f t="shared" si="190"/>
        <v>0.86030778878558167</v>
      </c>
      <c r="I960" s="49">
        <f t="shared" si="190"/>
        <v>0.93331868899523562</v>
      </c>
      <c r="J960" s="49">
        <f t="shared" si="190"/>
        <v>0.97145197757613277</v>
      </c>
      <c r="K960" s="49">
        <f t="shared" si="190"/>
        <v>0.98896513199806968</v>
      </c>
      <c r="L960" s="49">
        <f t="shared" si="191"/>
        <v>0.99612511138807147</v>
      </c>
      <c r="M960" s="49">
        <f t="shared" si="191"/>
        <v>0.99875694726444497</v>
      </c>
      <c r="N960" s="49">
        <f t="shared" si="191"/>
        <v>0.99963385918349068</v>
      </c>
      <c r="O960" s="49">
        <f t="shared" si="191"/>
        <v>0.99990052964087206</v>
      </c>
      <c r="P960" s="49">
        <f t="shared" si="191"/>
        <v>0.99997497488161058</v>
      </c>
      <c r="Q960" s="49">
        <f t="shared" si="191"/>
        <v>0.9999941485913989</v>
      </c>
      <c r="R960" s="49">
        <f t="shared" si="191"/>
        <v>0.99999872429952685</v>
      </c>
      <c r="S960" s="49">
        <f t="shared" si="191"/>
        <v>0.9999997399238727</v>
      </c>
      <c r="T960" s="49">
        <f t="shared" si="191"/>
        <v>0.99999995028927569</v>
      </c>
      <c r="U960" s="49">
        <f t="shared" si="191"/>
        <v>0.99999999107060678</v>
      </c>
      <c r="V960" s="49">
        <f t="shared" si="191"/>
        <v>0.99999999848942023</v>
      </c>
      <c r="W960" s="47">
        <v>4.2999999999999997E-2</v>
      </c>
    </row>
    <row r="961" spans="2:23" x14ac:dyDescent="0.25">
      <c r="B961" s="49">
        <f t="shared" si="190"/>
        <v>1.3692172540257503E-2</v>
      </c>
      <c r="C961" s="49">
        <f t="shared" si="190"/>
        <v>7.3725656289204008E-2</v>
      </c>
      <c r="D961" s="49">
        <f t="shared" si="190"/>
        <v>0.20401561106912272</v>
      </c>
      <c r="E961" s="49">
        <f t="shared" si="190"/>
        <v>0.39061875109799843</v>
      </c>
      <c r="F961" s="49">
        <f t="shared" si="190"/>
        <v>0.58901108584833817</v>
      </c>
      <c r="G961" s="49">
        <f t="shared" si="190"/>
        <v>0.75600910496082585</v>
      </c>
      <c r="H961" s="49">
        <f t="shared" si="190"/>
        <v>0.8719295077906084</v>
      </c>
      <c r="I961" s="49">
        <f t="shared" si="190"/>
        <v>0.94017231863276984</v>
      </c>
      <c r="J961" s="49">
        <f t="shared" si="190"/>
        <v>0.9749505973517435</v>
      </c>
      <c r="K961" s="49">
        <f t="shared" si="190"/>
        <v>0.99053544714906272</v>
      </c>
      <c r="L961" s="49">
        <f t="shared" si="191"/>
        <v>0.99675249537991251</v>
      </c>
      <c r="M961" s="49">
        <f t="shared" si="191"/>
        <v>0.9989822921790199</v>
      </c>
      <c r="N961" s="49">
        <f t="shared" si="191"/>
        <v>0.99970722252272304</v>
      </c>
      <c r="O961" s="49">
        <f t="shared" si="191"/>
        <v>0.99992232669385728</v>
      </c>
      <c r="P961" s="49">
        <f t="shared" si="191"/>
        <v>0.99998091949834256</v>
      </c>
      <c r="Q961" s="49">
        <f t="shared" si="191"/>
        <v>0.99999564420722842</v>
      </c>
      <c r="R961" s="49">
        <f t="shared" si="191"/>
        <v>0.99999907292629708</v>
      </c>
      <c r="S961" s="49">
        <f t="shared" si="191"/>
        <v>0.99999981549990957</v>
      </c>
      <c r="T961" s="49">
        <f t="shared" si="191"/>
        <v>0.99999996557663562</v>
      </c>
      <c r="U961" s="49">
        <f t="shared" si="191"/>
        <v>0.99999999396450823</v>
      </c>
      <c r="V961" s="49">
        <f t="shared" si="191"/>
        <v>0.99999999900343595</v>
      </c>
      <c r="W961" s="47">
        <v>4.2000000000000003E-2</v>
      </c>
    </row>
    <row r="962" spans="2:23" x14ac:dyDescent="0.25">
      <c r="B962" s="49">
        <f t="shared" si="190"/>
        <v>1.5197918893480905E-2</v>
      </c>
      <c r="C962" s="49">
        <f t="shared" si="190"/>
        <v>8.0178970405495056E-2</v>
      </c>
      <c r="D962" s="49">
        <f t="shared" si="190"/>
        <v>0.21770513816248982</v>
      </c>
      <c r="E962" s="49">
        <f t="shared" si="190"/>
        <v>0.40978169638479578</v>
      </c>
      <c r="F962" s="49">
        <f t="shared" si="190"/>
        <v>0.60892288998925226</v>
      </c>
      <c r="G962" s="49">
        <f t="shared" si="190"/>
        <v>0.77238915031039845</v>
      </c>
      <c r="H962" s="49">
        <f t="shared" si="190"/>
        <v>0.88304059013189162</v>
      </c>
      <c r="I962" s="49">
        <f t="shared" si="190"/>
        <v>0.94656406762062339</v>
      </c>
      <c r="J962" s="49">
        <f t="shared" si="190"/>
        <v>0.97813340035029883</v>
      </c>
      <c r="K962" s="49">
        <f t="shared" si="190"/>
        <v>0.99192897166413074</v>
      </c>
      <c r="L962" s="49">
        <f t="shared" si="191"/>
        <v>0.99729559169119075</v>
      </c>
      <c r="M962" s="49">
        <f t="shared" si="191"/>
        <v>0.99917257853764707</v>
      </c>
      <c r="N962" s="49">
        <f t="shared" si="191"/>
        <v>0.99976765303885007</v>
      </c>
      <c r="O962" s="49">
        <f t="shared" si="191"/>
        <v>0.99993984100884614</v>
      </c>
      <c r="P962" s="49">
        <f t="shared" si="191"/>
        <v>0.99998557898681817</v>
      </c>
      <c r="Q962" s="49">
        <f t="shared" si="191"/>
        <v>0.99999678775492429</v>
      </c>
      <c r="R962" s="49">
        <f t="shared" si="191"/>
        <v>0.99999933295162358</v>
      </c>
      <c r="S962" s="49">
        <f t="shared" si="191"/>
        <v>0.99999987048697692</v>
      </c>
      <c r="T962" s="49">
        <f t="shared" si="191"/>
        <v>0.9999999764266746</v>
      </c>
      <c r="U962" s="49">
        <f t="shared" si="191"/>
        <v>0.99999999596808387</v>
      </c>
      <c r="V962" s="49">
        <f t="shared" si="191"/>
        <v>0.99999999935059003</v>
      </c>
      <c r="W962" s="47">
        <v>4.1000000000000002E-2</v>
      </c>
    </row>
    <row r="963" spans="2:23" x14ac:dyDescent="0.25">
      <c r="B963" s="49">
        <f t="shared" ref="B963:K972" si="192">_xlfn.HYPGEOM.DIST(B$2,comau,tongtheN*$W963,tongtheN,TRUE)</f>
        <v>1.6867419858274602E-2</v>
      </c>
      <c r="C963" s="49">
        <f t="shared" si="192"/>
        <v>8.7154376219731017E-2</v>
      </c>
      <c r="D963" s="49">
        <f t="shared" si="192"/>
        <v>0.23213053661400115</v>
      </c>
      <c r="E963" s="49">
        <f t="shared" si="192"/>
        <v>0.42946759339951468</v>
      </c>
      <c r="F963" s="49">
        <f t="shared" si="192"/>
        <v>0.62886439888630519</v>
      </c>
      <c r="G963" s="49">
        <f t="shared" si="192"/>
        <v>0.78838170479431491</v>
      </c>
      <c r="H963" s="49">
        <f t="shared" si="192"/>
        <v>0.89361644099388493</v>
      </c>
      <c r="I963" s="49">
        <f t="shared" si="192"/>
        <v>0.95249517455003452</v>
      </c>
      <c r="J963" s="49">
        <f t="shared" si="192"/>
        <v>0.98101267947871673</v>
      </c>
      <c r="K963" s="49">
        <f t="shared" si="192"/>
        <v>0.99315795917253447</v>
      </c>
      <c r="L963" s="49">
        <f t="shared" ref="L963:V972" si="193">_xlfn.HYPGEOM.DIST(L$2,comau,tongtheN*$W963,tongtheN,TRUE)</f>
        <v>0.99776254066922487</v>
      </c>
      <c r="M963" s="49">
        <f t="shared" si="193"/>
        <v>0.99933207858904649</v>
      </c>
      <c r="N963" s="49">
        <f t="shared" si="193"/>
        <v>0.99981703529695576</v>
      </c>
      <c r="O963" s="49">
        <f t="shared" si="193"/>
        <v>0.99995379409063367</v>
      </c>
      <c r="P963" s="49">
        <f t="shared" si="193"/>
        <v>0.99998919790229002</v>
      </c>
      <c r="Q963" s="49">
        <f t="shared" si="193"/>
        <v>0.99999765363662962</v>
      </c>
      <c r="R963" s="49">
        <f t="shared" si="193"/>
        <v>0.99999952490019417</v>
      </c>
      <c r="S963" s="49">
        <f t="shared" si="193"/>
        <v>0.99999991005967004</v>
      </c>
      <c r="T963" s="49">
        <f t="shared" si="193"/>
        <v>0.99999998403927481</v>
      </c>
      <c r="U963" s="49">
        <f t="shared" si="193"/>
        <v>0.99999999733857114</v>
      </c>
      <c r="V963" s="49">
        <f t="shared" si="193"/>
        <v>0.99999999958209485</v>
      </c>
      <c r="W963" s="47">
        <v>0.04</v>
      </c>
    </row>
    <row r="964" spans="2:23" x14ac:dyDescent="0.25">
      <c r="B964" s="49">
        <f t="shared" si="192"/>
        <v>1.8718285205988627E-2</v>
      </c>
      <c r="C964" s="49">
        <f t="shared" si="192"/>
        <v>9.4688711702910322E-2</v>
      </c>
      <c r="D964" s="49">
        <f t="shared" si="192"/>
        <v>0.24731122860658147</v>
      </c>
      <c r="E964" s="49">
        <f t="shared" si="192"/>
        <v>0.44965163748988263</v>
      </c>
      <c r="F964" s="49">
        <f t="shared" si="192"/>
        <v>0.64878494183789659</v>
      </c>
      <c r="G964" s="49">
        <f t="shared" si="192"/>
        <v>0.8039468121941753</v>
      </c>
      <c r="H964" s="49">
        <f t="shared" si="192"/>
        <v>0.90364507261943849</v>
      </c>
      <c r="I964" s="49">
        <f t="shared" si="192"/>
        <v>0.95797485386560166</v>
      </c>
      <c r="J964" s="49">
        <f t="shared" si="192"/>
        <v>0.98360445352237813</v>
      </c>
      <c r="K964" s="49">
        <f t="shared" si="192"/>
        <v>0.99423580280860924</v>
      </c>
      <c r="L964" s="49">
        <f t="shared" si="193"/>
        <v>0.99816154131275325</v>
      </c>
      <c r="M964" s="49">
        <f t="shared" si="193"/>
        <v>0.99946486750162999</v>
      </c>
      <c r="N964" s="49">
        <f t="shared" si="193"/>
        <v>0.99985709149241686</v>
      </c>
      <c r="O964" s="49">
        <f t="shared" si="193"/>
        <v>0.99996482135031006</v>
      </c>
      <c r="P964" s="49">
        <f t="shared" si="193"/>
        <v>0.99999198450819193</v>
      </c>
      <c r="Q964" s="49">
        <f t="shared" si="193"/>
        <v>0.9999983032519657</v>
      </c>
      <c r="R964" s="49">
        <f t="shared" si="193"/>
        <v>0.9999996652087384</v>
      </c>
      <c r="S964" s="49">
        <f t="shared" si="193"/>
        <v>0.99999993824332478</v>
      </c>
      <c r="T964" s="49">
        <f t="shared" si="193"/>
        <v>0.99999998932175815</v>
      </c>
      <c r="U964" s="49">
        <f t="shared" si="193"/>
        <v>0.99999999826515451</v>
      </c>
      <c r="V964" s="49">
        <f t="shared" si="193"/>
        <v>0.99999999973459663</v>
      </c>
      <c r="W964" s="47">
        <v>3.9E-2</v>
      </c>
    </row>
    <row r="965" spans="2:23" x14ac:dyDescent="0.25">
      <c r="B965" s="49">
        <f t="shared" si="192"/>
        <v>2.0769997060579557E-2</v>
      </c>
      <c r="C965" s="49">
        <f t="shared" si="192"/>
        <v>0.10282068106435563</v>
      </c>
      <c r="D965" s="49">
        <f t="shared" si="192"/>
        <v>0.26326460511929539</v>
      </c>
      <c r="E965" s="49">
        <f t="shared" si="192"/>
        <v>0.47030451312946947</v>
      </c>
      <c r="F965" s="49">
        <f t="shared" si="192"/>
        <v>0.66863152934386538</v>
      </c>
      <c r="G965" s="49">
        <f t="shared" si="192"/>
        <v>0.81904588059520922</v>
      </c>
      <c r="H965" s="49">
        <f t="shared" si="192"/>
        <v>0.9131173432755233</v>
      </c>
      <c r="I965" s="49">
        <f t="shared" si="192"/>
        <v>0.9630143020231835</v>
      </c>
      <c r="J965" s="49">
        <f t="shared" si="192"/>
        <v>0.98592527332990287</v>
      </c>
      <c r="K965" s="49">
        <f t="shared" si="192"/>
        <v>0.99517556403783736</v>
      </c>
      <c r="L965" s="49">
        <f t="shared" si="193"/>
        <v>0.99850027146769205</v>
      </c>
      <c r="M965" s="49">
        <f t="shared" si="193"/>
        <v>0.99957463192683071</v>
      </c>
      <c r="N965" s="49">
        <f t="shared" si="193"/>
        <v>0.99988933112199918</v>
      </c>
      <c r="O965" s="49">
        <f t="shared" si="193"/>
        <v>0.99997346325600578</v>
      </c>
      <c r="P965" s="49">
        <f t="shared" si="193"/>
        <v>0.99999411088423151</v>
      </c>
      <c r="Q965" s="49">
        <f t="shared" si="193"/>
        <v>0.99999878591540325</v>
      </c>
      <c r="R965" s="49">
        <f t="shared" si="193"/>
        <v>0.99999976671594648</v>
      </c>
      <c r="S965" s="49">
        <f t="shared" si="193"/>
        <v>0.99999995809676268</v>
      </c>
      <c r="T965" s="49">
        <f t="shared" si="193"/>
        <v>0.99999999294504904</v>
      </c>
      <c r="U965" s="49">
        <f t="shared" si="193"/>
        <v>0.99999999888399282</v>
      </c>
      <c r="V965" s="49">
        <f t="shared" si="193"/>
        <v>0.99999999983377019</v>
      </c>
      <c r="W965" s="47">
        <v>3.7999999999999999E-2</v>
      </c>
    </row>
    <row r="966" spans="2:23" x14ac:dyDescent="0.25">
      <c r="B966" s="49">
        <f t="shared" si="192"/>
        <v>2.3044106709740265E-2</v>
      </c>
      <c r="C966" s="49">
        <f t="shared" si="192"/>
        <v>0.11159083561023184</v>
      </c>
      <c r="D966" s="49">
        <f t="shared" si="192"/>
        <v>0.28000561785588718</v>
      </c>
      <c r="E966" s="49">
        <f t="shared" si="192"/>
        <v>0.49139217165106774</v>
      </c>
      <c r="F966" s="49">
        <f t="shared" si="192"/>
        <v>0.68834910481571521</v>
      </c>
      <c r="G966" s="49">
        <f t="shared" si="192"/>
        <v>0.83364204607666226</v>
      </c>
      <c r="H966" s="49">
        <f t="shared" si="192"/>
        <v>0.92202707856337895</v>
      </c>
      <c r="I966" s="49">
        <f t="shared" si="192"/>
        <v>0.96762659492017411</v>
      </c>
      <c r="J966" s="49">
        <f t="shared" si="192"/>
        <v>0.98799207893838625</v>
      </c>
      <c r="K966" s="49">
        <f t="shared" si="192"/>
        <v>0.99598989540054517</v>
      </c>
      <c r="L966" s="49">
        <f t="shared" si="193"/>
        <v>0.99878587530742824</v>
      </c>
      <c r="M966" s="49">
        <f t="shared" si="193"/>
        <v>0.99966468518823492</v>
      </c>
      <c r="N966" s="49">
        <f t="shared" si="193"/>
        <v>0.99991506804666486</v>
      </c>
      <c r="O966" s="49">
        <f t="shared" si="193"/>
        <v>0.99998017609159384</v>
      </c>
      <c r="P966" s="49">
        <f t="shared" si="193"/>
        <v>0.99999571807543042</v>
      </c>
      <c r="Q966" s="49">
        <f t="shared" si="193"/>
        <v>0.99999914089547359</v>
      </c>
      <c r="R966" s="49">
        <f t="shared" si="193"/>
        <v>0.99999983935825698</v>
      </c>
      <c r="S966" s="49">
        <f t="shared" si="193"/>
        <v>0.99999997192168777</v>
      </c>
      <c r="T966" s="49">
        <f t="shared" si="193"/>
        <v>0.99999999540012907</v>
      </c>
      <c r="U966" s="49">
        <f t="shared" si="193"/>
        <v>0.99999999929200778</v>
      </c>
      <c r="V966" s="49">
        <f t="shared" si="193"/>
        <v>0.99999999989739596</v>
      </c>
      <c r="W966" s="47">
        <v>3.6999999999999998E-2</v>
      </c>
    </row>
    <row r="967" spans="2:23" x14ac:dyDescent="0.25">
      <c r="B967" s="49">
        <f t="shared" si="192"/>
        <v>2.5564451866021728E-2</v>
      </c>
      <c r="C967" s="49">
        <f t="shared" si="192"/>
        <v>0.12104153026503243</v>
      </c>
      <c r="D967" s="49">
        <f t="shared" si="192"/>
        <v>0.29754633299993188</v>
      </c>
      <c r="E967" s="49">
        <f t="shared" si="192"/>
        <v>0.51287563185398377</v>
      </c>
      <c r="F967" s="49">
        <f t="shared" si="192"/>
        <v>0.70788084344918201</v>
      </c>
      <c r="G967" s="49">
        <f t="shared" si="192"/>
        <v>0.84770054363658554</v>
      </c>
      <c r="H967" s="49">
        <f t="shared" si="192"/>
        <v>0.93037116682742749</v>
      </c>
      <c r="I967" s="49">
        <f t="shared" si="192"/>
        <v>0.97182656446200466</v>
      </c>
      <c r="J967" s="49">
        <f t="shared" si="192"/>
        <v>0.98982205447253646</v>
      </c>
      <c r="K967" s="49">
        <f t="shared" si="192"/>
        <v>0.99669097029965259</v>
      </c>
      <c r="L967" s="49">
        <f t="shared" si="193"/>
        <v>0.99902495688725856</v>
      </c>
      <c r="M967" s="49">
        <f t="shared" si="193"/>
        <v>0.99973798477916953</v>
      </c>
      <c r="N967" s="49">
        <f t="shared" si="193"/>
        <v>0.99993543752918523</v>
      </c>
      <c r="O967" s="49">
        <f t="shared" si="193"/>
        <v>0.99998534206067669</v>
      </c>
      <c r="P967" s="49">
        <f t="shared" si="193"/>
        <v>0.99999692071915802</v>
      </c>
      <c r="Q967" s="49">
        <f t="shared" si="193"/>
        <v>0.99999939917993041</v>
      </c>
      <c r="R967" s="49">
        <f t="shared" si="193"/>
        <v>0.99999989075197138</v>
      </c>
      <c r="S967" s="49">
        <f t="shared" si="193"/>
        <v>0.99999998143234214</v>
      </c>
      <c r="T967" s="49">
        <f t="shared" si="193"/>
        <v>0.9999999970423884</v>
      </c>
      <c r="U967" s="49">
        <f t="shared" si="193"/>
        <v>0.99999999955739616</v>
      </c>
      <c r="V967" s="49">
        <f t="shared" si="193"/>
        <v>0.999999999937637</v>
      </c>
      <c r="W967" s="47">
        <v>3.5999999999999997E-2</v>
      </c>
    </row>
    <row r="968" spans="2:23" x14ac:dyDescent="0.25">
      <c r="B968" s="49">
        <f t="shared" si="192"/>
        <v>2.8357396478194616E-2</v>
      </c>
      <c r="C968" s="49">
        <f t="shared" si="192"/>
        <v>0.13121685096386951</v>
      </c>
      <c r="D968" s="49">
        <f t="shared" si="192"/>
        <v>0.31589544581276113</v>
      </c>
      <c r="E968" s="49">
        <f t="shared" si="192"/>
        <v>0.53471080984971642</v>
      </c>
      <c r="F968" s="49">
        <f t="shared" si="192"/>
        <v>0.72716850017111156</v>
      </c>
      <c r="G968" s="49">
        <f t="shared" si="192"/>
        <v>0.86118908106898895</v>
      </c>
      <c r="H968" s="49">
        <f t="shared" si="192"/>
        <v>0.93814962565070259</v>
      </c>
      <c r="I968" s="49">
        <f t="shared" si="192"/>
        <v>0.97563065506244828</v>
      </c>
      <c r="J968" s="49">
        <f t="shared" si="192"/>
        <v>0.99143248266145989</v>
      </c>
      <c r="K968" s="49">
        <f t="shared" si="192"/>
        <v>0.99729042061469841</v>
      </c>
      <c r="L968" s="49">
        <f t="shared" si="193"/>
        <v>0.99922357959994712</v>
      </c>
      <c r="M968" s="49">
        <f t="shared" si="193"/>
        <v>0.99979715179717865</v>
      </c>
      <c r="N968" s="49">
        <f t="shared" si="193"/>
        <v>0.99995141304112967</v>
      </c>
      <c r="O968" s="49">
        <f t="shared" si="193"/>
        <v>0.99998927869038035</v>
      </c>
      <c r="P968" s="49">
        <f t="shared" si="193"/>
        <v>0.99999781116813846</v>
      </c>
      <c r="Q968" s="49">
        <f t="shared" si="193"/>
        <v>0.99999958499071673</v>
      </c>
      <c r="R968" s="49">
        <f t="shared" si="193"/>
        <v>0.99999992667596094</v>
      </c>
      <c r="S968" s="49">
        <f t="shared" si="193"/>
        <v>0.99999998789168232</v>
      </c>
      <c r="T968" s="49">
        <f t="shared" si="193"/>
        <v>0.99999999812612561</v>
      </c>
      <c r="U968" s="49">
        <f t="shared" si="193"/>
        <v>0.99999999972756104</v>
      </c>
      <c r="V968" s="49">
        <f t="shared" si="193"/>
        <v>0.99999999996270761</v>
      </c>
      <c r="W968" s="47">
        <v>3.5000000000000003E-2</v>
      </c>
    </row>
    <row r="969" spans="2:23" x14ac:dyDescent="0.25">
      <c r="B969" s="49">
        <f t="shared" si="192"/>
        <v>3.1452095406271176E-2</v>
      </c>
      <c r="C969" s="49">
        <f t="shared" si="192"/>
        <v>0.14216250740452363</v>
      </c>
      <c r="D969" s="49">
        <f t="shared" si="192"/>
        <v>0.33505775554168227</v>
      </c>
      <c r="E969" s="49">
        <f t="shared" si="192"/>
        <v>0.55684838521623259</v>
      </c>
      <c r="F969" s="49">
        <f t="shared" si="192"/>
        <v>0.7461528080563673</v>
      </c>
      <c r="G969" s="49">
        <f t="shared" si="192"/>
        <v>0.87407821092873283</v>
      </c>
      <c r="H969" s="49">
        <f t="shared" si="192"/>
        <v>0.94536563660664386</v>
      </c>
      <c r="I969" s="49">
        <f t="shared" si="192"/>
        <v>0.97905676124604823</v>
      </c>
      <c r="J969" s="49">
        <f t="shared" si="192"/>
        <v>0.99284060088929282</v>
      </c>
      <c r="K969" s="49">
        <f t="shared" si="192"/>
        <v>0.99779928280971664</v>
      </c>
      <c r="L969" s="49">
        <f t="shared" si="193"/>
        <v>0.99938727127273197</v>
      </c>
      <c r="M969" s="49">
        <f t="shared" si="193"/>
        <v>0.99984449193161906</v>
      </c>
      <c r="N969" s="49">
        <f t="shared" si="193"/>
        <v>0.99996382265185468</v>
      </c>
      <c r="O969" s="49">
        <f t="shared" si="193"/>
        <v>0.99999224750408711</v>
      </c>
      <c r="P969" s="49">
        <f t="shared" si="193"/>
        <v>0.99999846313251273</v>
      </c>
      <c r="Q969" s="49">
        <f t="shared" si="193"/>
        <v>0.99999971707271151</v>
      </c>
      <c r="R969" s="49">
        <f t="shared" si="193"/>
        <v>0.99999995146824627</v>
      </c>
      <c r="S969" s="49">
        <f t="shared" si="193"/>
        <v>0.99999999221961899</v>
      </c>
      <c r="T969" s="49">
        <f t="shared" si="193"/>
        <v>0.99999999883110902</v>
      </c>
      <c r="U969" s="49">
        <f t="shared" si="193"/>
        <v>0.99999999983503129</v>
      </c>
      <c r="V969" s="49">
        <f t="shared" si="193"/>
        <v>0.9999999999780802</v>
      </c>
      <c r="W969" s="47">
        <v>3.4000000000000002E-2</v>
      </c>
    </row>
    <row r="970" spans="2:23" x14ac:dyDescent="0.25">
      <c r="B970" s="49">
        <f t="shared" si="192"/>
        <v>3.4880786508163071E-2</v>
      </c>
      <c r="C970" s="49">
        <f t="shared" si="192"/>
        <v>0.1539256848339646</v>
      </c>
      <c r="D970" s="49">
        <f t="shared" si="192"/>
        <v>0.35503360068325962</v>
      </c>
      <c r="E970" s="49">
        <f t="shared" si="192"/>
        <v>0.57923371125105605</v>
      </c>
      <c r="F970" s="49">
        <f t="shared" si="192"/>
        <v>0.7647739279703053</v>
      </c>
      <c r="G970" s="49">
        <f t="shared" si="192"/>
        <v>0.88634169514129491</v>
      </c>
      <c r="H970" s="49">
        <f t="shared" si="192"/>
        <v>0.95202554569563969</v>
      </c>
      <c r="I970" s="49">
        <f t="shared" si="192"/>
        <v>0.98212404790383356</v>
      </c>
      <c r="J970" s="49">
        <f t="shared" si="192"/>
        <v>0.99406346073725793</v>
      </c>
      <c r="K970" s="49">
        <f t="shared" si="192"/>
        <v>0.99822795307190382</v>
      </c>
      <c r="L970" s="49">
        <f t="shared" si="193"/>
        <v>0.99952103456373864</v>
      </c>
      <c r="M970" s="49">
        <f t="shared" si="193"/>
        <v>0.99988201761550477</v>
      </c>
      <c r="N970" s="49">
        <f t="shared" si="193"/>
        <v>0.99997336483254906</v>
      </c>
      <c r="O970" s="49">
        <f t="shared" si="193"/>
        <v>0.99999446194628505</v>
      </c>
      <c r="P970" s="49">
        <f t="shared" si="193"/>
        <v>0.99999893486823355</v>
      </c>
      <c r="Q970" s="49">
        <f t="shared" si="193"/>
        <v>0.99999980977993652</v>
      </c>
      <c r="R970" s="49">
        <f t="shared" si="193"/>
        <v>0.99999996834866256</v>
      </c>
      <c r="S970" s="49">
        <f t="shared" si="193"/>
        <v>0.99999999507816806</v>
      </c>
      <c r="T970" s="49">
        <f t="shared" si="193"/>
        <v>0.99999999928280203</v>
      </c>
      <c r="U970" s="49">
        <f t="shared" si="193"/>
        <v>0.99999999990182786</v>
      </c>
      <c r="V970" s="49">
        <f t="shared" si="193"/>
        <v>0.9999999999873489</v>
      </c>
      <c r="W970" s="47">
        <v>3.3000000000000002E-2</v>
      </c>
    </row>
    <row r="971" spans="2:23" x14ac:dyDescent="0.25">
      <c r="B971" s="49">
        <f t="shared" si="192"/>
        <v>3.8679112944005389E-2</v>
      </c>
      <c r="C971" s="49">
        <f t="shared" si="192"/>
        <v>0.16655484762265035</v>
      </c>
      <c r="D971" s="49">
        <f t="shared" si="192"/>
        <v>0.37581825537253144</v>
      </c>
      <c r="E971" s="49">
        <f t="shared" si="192"/>
        <v>0.60180677783478687</v>
      </c>
      <c r="F971" s="49">
        <f t="shared" si="192"/>
        <v>0.78297194941563542</v>
      </c>
      <c r="G971" s="49">
        <f t="shared" si="192"/>
        <v>0.89795685625456556</v>
      </c>
      <c r="H971" s="49">
        <f t="shared" si="192"/>
        <v>0.9581388272355833</v>
      </c>
      <c r="I971" s="49">
        <f t="shared" si="192"/>
        <v>0.98485275514149095</v>
      </c>
      <c r="J971" s="49">
        <f t="shared" si="192"/>
        <v>0.99511779298136271</v>
      </c>
      <c r="K971" s="49">
        <f t="shared" si="192"/>
        <v>0.99858615187319599</v>
      </c>
      <c r="L971" s="49">
        <f t="shared" si="193"/>
        <v>0.99962936223950272</v>
      </c>
      <c r="M971" s="49">
        <f t="shared" si="193"/>
        <v>0.99991147095483723</v>
      </c>
      <c r="N971" s="49">
        <f t="shared" si="193"/>
        <v>0.99998062353075379</v>
      </c>
      <c r="O971" s="49">
        <f t="shared" si="193"/>
        <v>0.99999609455594096</v>
      </c>
      <c r="P971" s="49">
        <f t="shared" si="193"/>
        <v>0.99999927194235305</v>
      </c>
      <c r="Q971" s="49">
        <f t="shared" si="193"/>
        <v>0.99999987398223567</v>
      </c>
      <c r="R971" s="49">
        <f t="shared" si="193"/>
        <v>0.99999997967872289</v>
      </c>
      <c r="S971" s="49">
        <f t="shared" si="193"/>
        <v>0.9999999969377209</v>
      </c>
      <c r="T971" s="49">
        <f t="shared" si="193"/>
        <v>0.99999999956759</v>
      </c>
      <c r="U971" s="49">
        <f t="shared" si="193"/>
        <v>0.99999999994264566</v>
      </c>
      <c r="V971" s="49">
        <f t="shared" si="193"/>
        <v>0.99999999999283828</v>
      </c>
      <c r="W971" s="47">
        <v>3.2000000000000001E-2</v>
      </c>
    </row>
    <row r="972" spans="2:23" x14ac:dyDescent="0.25">
      <c r="B972" s="49">
        <f t="shared" si="192"/>
        <v>4.2886478788058048E-2</v>
      </c>
      <c r="C972" s="49">
        <f t="shared" si="192"/>
        <v>0.1800994863382161</v>
      </c>
      <c r="D972" s="49">
        <f t="shared" si="192"/>
        <v>0.39740128857041879</v>
      </c>
      <c r="E972" s="49">
        <f t="shared" si="192"/>
        <v>0.62450223612236822</v>
      </c>
      <c r="F972" s="49">
        <f t="shared" si="192"/>
        <v>0.80068744163699501</v>
      </c>
      <c r="G972" s="49">
        <f t="shared" si="192"/>
        <v>0.90890490880449082</v>
      </c>
      <c r="H972" s="49">
        <f t="shared" si="192"/>
        <v>0.96371800940387242</v>
      </c>
      <c r="I972" s="49">
        <f t="shared" si="192"/>
        <v>0.98726399004426946</v>
      </c>
      <c r="J972" s="49">
        <f t="shared" si="192"/>
        <v>0.99601987997859964</v>
      </c>
      <c r="K972" s="49">
        <f t="shared" si="192"/>
        <v>0.99888289819021281</v>
      </c>
      <c r="L972" s="49">
        <f t="shared" si="193"/>
        <v>0.99971625684697485</v>
      </c>
      <c r="M972" s="49">
        <f t="shared" si="193"/>
        <v>0.99993434705793627</v>
      </c>
      <c r="N972" s="49">
        <f t="shared" si="193"/>
        <v>0.9999860823945268</v>
      </c>
      <c r="O972" s="49">
        <f t="shared" si="193"/>
        <v>0.99999728339699312</v>
      </c>
      <c r="P972" s="49">
        <f t="shared" si="193"/>
        <v>0.99999950960813411</v>
      </c>
      <c r="Q972" s="49">
        <f t="shared" si="193"/>
        <v>0.99999991781446285</v>
      </c>
      <c r="R972" s="49">
        <f t="shared" si="193"/>
        <v>0.99999998716867045</v>
      </c>
      <c r="S972" s="49">
        <f t="shared" si="193"/>
        <v>0.9999999981280322</v>
      </c>
      <c r="T972" s="49">
        <f t="shared" si="193"/>
        <v>0.99999999974410481</v>
      </c>
      <c r="U972" s="49">
        <f t="shared" si="193"/>
        <v>0.99999999996714295</v>
      </c>
      <c r="V972" s="49">
        <f t="shared" si="193"/>
        <v>0.99999999999602851</v>
      </c>
      <c r="W972" s="47">
        <v>3.1E-2</v>
      </c>
    </row>
    <row r="973" spans="2:23" x14ac:dyDescent="0.25">
      <c r="B973" s="49">
        <f t="shared" ref="B973:K982" si="194">_xlfn.HYPGEOM.DIST(B$2,comau,tongtheN*$W973,tongtheN,TRUE)</f>
        <v>4.7546441350356898E-2</v>
      </c>
      <c r="C973" s="49">
        <f t="shared" si="194"/>
        <v>0.19460979885351662</v>
      </c>
      <c r="D973" s="49">
        <f t="shared" si="194"/>
        <v>0.41976588882881921</v>
      </c>
      <c r="E973" s="49">
        <f t="shared" si="194"/>
        <v>0.64724949494812367</v>
      </c>
      <c r="F973" s="49">
        <f t="shared" si="194"/>
        <v>0.81786205295102354</v>
      </c>
      <c r="G973" s="49">
        <f t="shared" si="194"/>
        <v>0.91917126379482073</v>
      </c>
      <c r="H973" s="49">
        <f t="shared" si="194"/>
        <v>0.96877856014730923</v>
      </c>
      <c r="I973" s="49">
        <f t="shared" si="194"/>
        <v>0.98937950805584696</v>
      </c>
      <c r="J973" s="49">
        <f t="shared" si="194"/>
        <v>0.99678543730247737</v>
      </c>
      <c r="K973" s="49">
        <f t="shared" si="194"/>
        <v>0.99912649345233429</v>
      </c>
      <c r="L973" s="49">
        <f t="shared" ref="L973:V982" si="195">_xlfn.HYPGEOM.DIST(L$2,comau,tongtheN*$W973,tongtheN,TRUE)</f>
        <v>0.99978525423469244</v>
      </c>
      <c r="M973" s="49">
        <f t="shared" si="195"/>
        <v>0.99995191740349731</v>
      </c>
      <c r="N973" s="49">
        <f t="shared" si="195"/>
        <v>0.9999901380500188</v>
      </c>
      <c r="O973" s="49">
        <f t="shared" si="195"/>
        <v>0.99999813776551283</v>
      </c>
      <c r="P973" s="49">
        <f t="shared" si="195"/>
        <v>0.99999967482441487</v>
      </c>
      <c r="Q973" s="49">
        <f t="shared" si="195"/>
        <v>0.99999994728897013</v>
      </c>
      <c r="R973" s="49">
        <f t="shared" si="195"/>
        <v>0.99999999204059664</v>
      </c>
      <c r="S973" s="49">
        <f t="shared" si="195"/>
        <v>0.99999999887698332</v>
      </c>
      <c r="T973" s="49">
        <f t="shared" si="195"/>
        <v>0.9999999998515402</v>
      </c>
      <c r="U973" s="49">
        <f t="shared" si="195"/>
        <v>0.99999999998156608</v>
      </c>
      <c r="V973" s="49">
        <f t="shared" si="195"/>
        <v>0.99999999999784539</v>
      </c>
      <c r="W973" s="47">
        <v>0.03</v>
      </c>
    </row>
    <row r="974" spans="2:23" x14ac:dyDescent="0.25">
      <c r="B974" s="49">
        <f t="shared" si="194"/>
        <v>5.2707143953732757E-2</v>
      </c>
      <c r="C974" s="49">
        <f t="shared" si="194"/>
        <v>0.21013629469602033</v>
      </c>
      <c r="D974" s="49">
        <f t="shared" si="194"/>
        <v>0.44288815876088611</v>
      </c>
      <c r="E974" s="49">
        <f t="shared" si="194"/>
        <v>0.66997289943516036</v>
      </c>
      <c r="F974" s="49">
        <f t="shared" si="194"/>
        <v>0.83443915501417965</v>
      </c>
      <c r="G974" s="49">
        <f t="shared" si="194"/>
        <v>0.92874579889541631</v>
      </c>
      <c r="H974" s="49">
        <f t="shared" si="194"/>
        <v>0.9733387327880586</v>
      </c>
      <c r="I974" s="49">
        <f t="shared" si="194"/>
        <v>0.99122148701883461</v>
      </c>
      <c r="J974" s="49">
        <f t="shared" si="194"/>
        <v>0.99742950637406591</v>
      </c>
      <c r="K974" s="49">
        <f t="shared" si="194"/>
        <v>0.99932451511625831</v>
      </c>
      <c r="L974" s="49">
        <f t="shared" si="195"/>
        <v>0.99983945033032517</v>
      </c>
      <c r="M974" s="49">
        <f t="shared" si="195"/>
        <v>0.99996525290885163</v>
      </c>
      <c r="N974" s="49">
        <f t="shared" si="195"/>
        <v>0.99999311236109656</v>
      </c>
      <c r="O974" s="49">
        <f t="shared" si="195"/>
        <v>0.99999874320264603</v>
      </c>
      <c r="P974" s="49">
        <f t="shared" si="195"/>
        <v>0.99999978795433031</v>
      </c>
      <c r="Q974" s="49">
        <f t="shared" si="195"/>
        <v>0.99999996679075187</v>
      </c>
      <c r="R974" s="49">
        <f t="shared" si="195"/>
        <v>0.99999999515542315</v>
      </c>
      <c r="S974" s="49">
        <f t="shared" si="195"/>
        <v>0.99999999933967776</v>
      </c>
      <c r="T974" s="49">
        <f t="shared" si="195"/>
        <v>0.99999999991567556</v>
      </c>
      <c r="U974" s="49">
        <f t="shared" si="195"/>
        <v>0.99999999998988609</v>
      </c>
      <c r="V974" s="49">
        <f t="shared" si="195"/>
        <v>0.99999999999885814</v>
      </c>
      <c r="W974" s="47">
        <v>2.9000000000000001E-2</v>
      </c>
    </row>
    <row r="975" spans="2:23" x14ac:dyDescent="0.25">
      <c r="B975" s="49">
        <f t="shared" si="194"/>
        <v>5.8421793289521178E-2</v>
      </c>
      <c r="C975" s="49">
        <f t="shared" si="194"/>
        <v>0.22672931034797472</v>
      </c>
      <c r="D975" s="49">
        <f t="shared" si="194"/>
        <v>0.46673638497317921</v>
      </c>
      <c r="E975" s="49">
        <f t="shared" si="194"/>
        <v>0.69259200280697941</v>
      </c>
      <c r="F975" s="49">
        <f t="shared" si="194"/>
        <v>0.85036452730726741</v>
      </c>
      <c r="G975" s="49">
        <f t="shared" si="194"/>
        <v>0.93762308666844985</v>
      </c>
      <c r="H975" s="49">
        <f t="shared" si="194"/>
        <v>0.97741937135777357</v>
      </c>
      <c r="I975" s="49">
        <f t="shared" si="194"/>
        <v>0.99281229724119335</v>
      </c>
      <c r="J975" s="49">
        <f t="shared" si="194"/>
        <v>0.99796635967643343</v>
      </c>
      <c r="K975" s="49">
        <f t="shared" si="194"/>
        <v>0.99948381959198862</v>
      </c>
      <c r="L975" s="49">
        <f t="shared" si="195"/>
        <v>0.99988153054689177</v>
      </c>
      <c r="M975" s="49">
        <f t="shared" si="195"/>
        <v>0.99997524638860957</v>
      </c>
      <c r="N975" s="49">
        <f t="shared" si="195"/>
        <v>0.99999526362422519</v>
      </c>
      <c r="O975" s="49">
        <f t="shared" si="195"/>
        <v>0.99999916585050241</v>
      </c>
      <c r="P975" s="49">
        <f t="shared" si="195"/>
        <v>0.99999986417839903</v>
      </c>
      <c r="Q975" s="49">
        <f t="shared" si="195"/>
        <v>0.99999997947300956</v>
      </c>
      <c r="R975" s="49">
        <f t="shared" si="195"/>
        <v>0.99999999711051124</v>
      </c>
      <c r="S975" s="49">
        <f t="shared" si="195"/>
        <v>0.99999999961998842</v>
      </c>
      <c r="T975" s="49">
        <f t="shared" si="195"/>
        <v>0.9999999999531779</v>
      </c>
      <c r="U975" s="49">
        <f t="shared" si="195"/>
        <v>0.99999999999458178</v>
      </c>
      <c r="V975" s="49">
        <f t="shared" si="195"/>
        <v>0.99999999999940981</v>
      </c>
      <c r="W975" s="47">
        <v>2.8000000000000001E-2</v>
      </c>
    </row>
    <row r="976" spans="2:23" x14ac:dyDescent="0.25">
      <c r="B976" s="49">
        <f t="shared" si="194"/>
        <v>6.4749185890631195E-2</v>
      </c>
      <c r="C976" s="49">
        <f t="shared" si="194"/>
        <v>0.24443842151924769</v>
      </c>
      <c r="D976" s="49">
        <f t="shared" si="194"/>
        <v>0.49127029117258592</v>
      </c>
      <c r="E976" s="49">
        <f t="shared" si="194"/>
        <v>0.71502194276772069</v>
      </c>
      <c r="F976" s="49">
        <f t="shared" si="194"/>
        <v>0.86558707550015179</v>
      </c>
      <c r="G976" s="49">
        <f t="shared" si="194"/>
        <v>0.94580257296525638</v>
      </c>
      <c r="H976" s="49">
        <f t="shared" si="194"/>
        <v>0.98104367648510926</v>
      </c>
      <c r="I976" s="49">
        <f t="shared" si="194"/>
        <v>0.99417427122338231</v>
      </c>
      <c r="J976" s="49">
        <f t="shared" si="194"/>
        <v>0.99840941993844357</v>
      </c>
      <c r="K976" s="49">
        <f t="shared" si="194"/>
        <v>0.99961055407392152</v>
      </c>
      <c r="L976" s="49">
        <f t="shared" si="195"/>
        <v>0.99991380116869477</v>
      </c>
      <c r="M976" s="49">
        <f t="shared" si="195"/>
        <v>0.99998263412779032</v>
      </c>
      <c r="N976" s="49">
        <f t="shared" si="195"/>
        <v>0.99999679667554009</v>
      </c>
      <c r="O976" s="49">
        <f t="shared" si="195"/>
        <v>0.99999945619463315</v>
      </c>
      <c r="P976" s="49">
        <f t="shared" si="195"/>
        <v>0.99999991465622051</v>
      </c>
      <c r="Q976" s="49">
        <f t="shared" si="195"/>
        <v>0.99999998756922404</v>
      </c>
      <c r="R976" s="49">
        <f t="shared" si="195"/>
        <v>0.99999999831369391</v>
      </c>
      <c r="S976" s="49">
        <f t="shared" si="195"/>
        <v>0.99999999978628651</v>
      </c>
      <c r="T976" s="49">
        <f t="shared" si="195"/>
        <v>0.99999999997462619</v>
      </c>
      <c r="U976" s="49">
        <f t="shared" si="195"/>
        <v>0.99999999999717071</v>
      </c>
      <c r="V976" s="49">
        <f t="shared" si="195"/>
        <v>0.99999999999970302</v>
      </c>
      <c r="W976" s="47">
        <v>2.7E-2</v>
      </c>
    </row>
    <row r="977" spans="2:23" x14ac:dyDescent="0.25">
      <c r="B977" s="49">
        <f t="shared" si="194"/>
        <v>7.175428871732599E-2</v>
      </c>
      <c r="C977" s="49">
        <f t="shared" si="194"/>
        <v>0.26331173651454487</v>
      </c>
      <c r="D977" s="49">
        <f t="shared" si="194"/>
        <v>0.51644028449714308</v>
      </c>
      <c r="E977" s="49">
        <f t="shared" si="194"/>
        <v>0.73717393399753939</v>
      </c>
      <c r="F977" s="49">
        <f t="shared" si="194"/>
        <v>0.88005957556204106</v>
      </c>
      <c r="G977" s="49">
        <f t="shared" si="194"/>
        <v>0.95328869762922397</v>
      </c>
      <c r="H977" s="49">
        <f t="shared" si="194"/>
        <v>0.98423693353773412</v>
      </c>
      <c r="I977" s="49">
        <f t="shared" si="194"/>
        <v>0.99532947689271978</v>
      </c>
      <c r="J977" s="49">
        <f t="shared" si="194"/>
        <v>0.99877119442963902</v>
      </c>
      <c r="K977" s="49">
        <f t="shared" si="194"/>
        <v>0.99971017666596085</v>
      </c>
      <c r="L977" s="49">
        <f t="shared" si="195"/>
        <v>0.9999382220612183</v>
      </c>
      <c r="M977" s="49">
        <f t="shared" si="195"/>
        <v>0.99998801633176915</v>
      </c>
      <c r="N977" s="49">
        <f t="shared" si="195"/>
        <v>0.99999787190938183</v>
      </c>
      <c r="O977" s="49">
        <f t="shared" si="195"/>
        <v>0.99999965224160692</v>
      </c>
      <c r="P977" s="49">
        <f t="shared" si="195"/>
        <v>0.9999999474696607</v>
      </c>
      <c r="Q977" s="49">
        <f t="shared" si="195"/>
        <v>0.99999999263610184</v>
      </c>
      <c r="R977" s="49">
        <f t="shared" si="195"/>
        <v>0.99999999903863113</v>
      </c>
      <c r="S977" s="49">
        <f t="shared" si="195"/>
        <v>0.99999999988275157</v>
      </c>
      <c r="T977" s="49">
        <f t="shared" si="195"/>
        <v>0.99999999998660438</v>
      </c>
      <c r="U977" s="49">
        <f t="shared" si="195"/>
        <v>0.99999999999856271</v>
      </c>
      <c r="V977" s="49">
        <f t="shared" si="195"/>
        <v>0.99999999999985489</v>
      </c>
      <c r="W977" s="47">
        <v>2.5999999999999999E-2</v>
      </c>
    </row>
    <row r="978" spans="2:23" x14ac:dyDescent="0.25">
      <c r="B978" s="49">
        <f t="shared" si="194"/>
        <v>7.9508879353166445E-2</v>
      </c>
      <c r="C978" s="49">
        <f t="shared" si="194"/>
        <v>0.28339505267851534</v>
      </c>
      <c r="D978" s="49">
        <f t="shared" si="194"/>
        <v>0.54218670789627221</v>
      </c>
      <c r="E978" s="49">
        <f t="shared" si="194"/>
        <v>0.75895588824022175</v>
      </c>
      <c r="F978" s="49">
        <f t="shared" si="194"/>
        <v>0.89373943350748564</v>
      </c>
      <c r="G978" s="49">
        <f t="shared" si="194"/>
        <v>0.96009094982519294</v>
      </c>
      <c r="H978" s="49">
        <f t="shared" si="194"/>
        <v>0.98702620566842814</v>
      </c>
      <c r="I978" s="49">
        <f t="shared" si="194"/>
        <v>0.99629949833108389</v>
      </c>
      <c r="J978" s="49">
        <f t="shared" si="194"/>
        <v>0.99906322522406243</v>
      </c>
      <c r="K978" s="49">
        <f t="shared" si="194"/>
        <v>0.99978748403598983</v>
      </c>
      <c r="L978" s="49">
        <f t="shared" si="195"/>
        <v>0.99995644005727302</v>
      </c>
      <c r="M978" s="49">
        <f t="shared" si="195"/>
        <v>0.99999187625689112</v>
      </c>
      <c r="N978" s="49">
        <f t="shared" si="195"/>
        <v>0.99999861322805794</v>
      </c>
      <c r="O978" s="49">
        <f t="shared" si="195"/>
        <v>0.99999978218346408</v>
      </c>
      <c r="P978" s="49">
        <f t="shared" si="195"/>
        <v>0.99999996837856175</v>
      </c>
      <c r="Q978" s="49">
        <f t="shared" si="195"/>
        <v>0.99999999574004661</v>
      </c>
      <c r="R978" s="49">
        <f t="shared" si="195"/>
        <v>0.99999999946557594</v>
      </c>
      <c r="S978" s="49">
        <f t="shared" si="195"/>
        <v>0.99999999993737043</v>
      </c>
      <c r="T978" s="49">
        <f t="shared" si="195"/>
        <v>0.99999999999312461</v>
      </c>
      <c r="U978" s="49">
        <f t="shared" si="195"/>
        <v>0.99999999999929123</v>
      </c>
      <c r="V978" s="49">
        <f t="shared" si="195"/>
        <v>0.99999999999993128</v>
      </c>
      <c r="W978" s="47">
        <v>2.5000000000000001E-2</v>
      </c>
    </row>
    <row r="979" spans="2:23" x14ac:dyDescent="0.25">
      <c r="B979" s="49">
        <f t="shared" si="194"/>
        <v>8.8092251860536194E-2</v>
      </c>
      <c r="C979" s="49">
        <f t="shared" si="194"/>
        <v>0.30473085549792001</v>
      </c>
      <c r="D979" s="49">
        <f t="shared" si="194"/>
        <v>0.5684391146713953</v>
      </c>
      <c r="E979" s="49">
        <f t="shared" si="194"/>
        <v>0.78027317306831279</v>
      </c>
      <c r="F979" s="49">
        <f t="shared" si="194"/>
        <v>0.9065894485286129</v>
      </c>
      <c r="G979" s="49">
        <f t="shared" si="194"/>
        <v>0.96622385072873318</v>
      </c>
      <c r="H979" s="49">
        <f t="shared" si="194"/>
        <v>0.98943999542136907</v>
      </c>
      <c r="I979" s="49">
        <f t="shared" si="194"/>
        <v>0.99710522803660251</v>
      </c>
      <c r="J979" s="49">
        <f t="shared" si="194"/>
        <v>0.99929605597158044</v>
      </c>
      <c r="K979" s="49">
        <f t="shared" si="194"/>
        <v>0.99984664569723147</v>
      </c>
      <c r="L979" s="49">
        <f t="shared" si="195"/>
        <v>0.9999698223945529</v>
      </c>
      <c r="M979" s="49">
        <f t="shared" si="195"/>
        <v>0.99999459786925016</v>
      </c>
      <c r="N979" s="49">
        <f t="shared" si="195"/>
        <v>0.99999911496080884</v>
      </c>
      <c r="O979" s="49">
        <f t="shared" si="195"/>
        <v>0.99999986660257689</v>
      </c>
      <c r="P979" s="49">
        <f t="shared" si="195"/>
        <v>0.99999998141776925</v>
      </c>
      <c r="Q979" s="49">
        <f t="shared" si="195"/>
        <v>0.99999999759813474</v>
      </c>
      <c r="R979" s="49">
        <f t="shared" si="195"/>
        <v>0.99999999971091136</v>
      </c>
      <c r="S979" s="49">
        <f t="shared" si="195"/>
        <v>0.99999999996749844</v>
      </c>
      <c r="T979" s="49">
        <f t="shared" si="195"/>
        <v>0.99999999999657718</v>
      </c>
      <c r="U979" s="49">
        <f t="shared" si="195"/>
        <v>0.99999999999966149</v>
      </c>
      <c r="V979" s="49">
        <f t="shared" si="195"/>
        <v>0.99999999999996847</v>
      </c>
      <c r="W979" s="47">
        <v>2.4E-2</v>
      </c>
    </row>
    <row r="980" spans="2:23" x14ac:dyDescent="0.25">
      <c r="B980" s="49">
        <f t="shared" si="194"/>
        <v>9.759199495189852E-2</v>
      </c>
      <c r="C980" s="49">
        <f t="shared" si="194"/>
        <v>0.32735713723808585</v>
      </c>
      <c r="D980" s="49">
        <f t="shared" si="194"/>
        <v>0.59511558516093033</v>
      </c>
      <c r="E980" s="49">
        <f t="shared" si="194"/>
        <v>0.80102951960902535</v>
      </c>
      <c r="F980" s="49">
        <f t="shared" si="194"/>
        <v>0.91857856498239188</v>
      </c>
      <c r="G980" s="49">
        <f t="shared" si="194"/>
        <v>0.97170685698623871</v>
      </c>
      <c r="H980" s="49">
        <f t="shared" si="194"/>
        <v>0.99150787959970099</v>
      </c>
      <c r="I980" s="49">
        <f t="shared" si="194"/>
        <v>0.99776667471682745</v>
      </c>
      <c r="J980" s="49">
        <f t="shared" si="194"/>
        <v>0.99947921536644968</v>
      </c>
      <c r="K980" s="49">
        <f t="shared" si="194"/>
        <v>0.99989124389662232</v>
      </c>
      <c r="L980" s="49">
        <f t="shared" si="195"/>
        <v>0.99997948961703886</v>
      </c>
      <c r="M980" s="49">
        <f t="shared" si="195"/>
        <v>0.99999648192371626</v>
      </c>
      <c r="N980" s="49">
        <f t="shared" si="195"/>
        <v>0.99999944780557004</v>
      </c>
      <c r="O980" s="49">
        <f t="shared" si="195"/>
        <v>0.99999992027074558</v>
      </c>
      <c r="P980" s="49">
        <f t="shared" si="195"/>
        <v>0.99999998936175594</v>
      </c>
      <c r="Q980" s="49">
        <f t="shared" si="195"/>
        <v>0.99999999868298428</v>
      </c>
      <c r="R980" s="49">
        <f t="shared" si="195"/>
        <v>0.999999999848184</v>
      </c>
      <c r="S980" s="49">
        <f t="shared" si="195"/>
        <v>0.99999999998365396</v>
      </c>
      <c r="T980" s="49">
        <f t="shared" si="195"/>
        <v>0.99999999999835154</v>
      </c>
      <c r="U980" s="49">
        <f t="shared" si="195"/>
        <v>0.9999999999998439</v>
      </c>
      <c r="V980" s="49">
        <f t="shared" si="195"/>
        <v>0.99999999999998612</v>
      </c>
      <c r="W980" s="47">
        <v>2.3E-2</v>
      </c>
    </row>
    <row r="981" spans="2:23" x14ac:dyDescent="0.25">
      <c r="B981" s="49">
        <f t="shared" si="194"/>
        <v>0.10810484979980522</v>
      </c>
      <c r="C981" s="49">
        <f t="shared" si="194"/>
        <v>0.35130600895645331</v>
      </c>
      <c r="D981" s="49">
        <f t="shared" si="194"/>
        <v>0.62212211010372842</v>
      </c>
      <c r="E981" s="49">
        <f t="shared" si="194"/>
        <v>0.82112808819735161</v>
      </c>
      <c r="F981" s="49">
        <f t="shared" si="194"/>
        <v>0.92968259631205052</v>
      </c>
      <c r="G981" s="49">
        <f t="shared" si="194"/>
        <v>0.97656417933637119</v>
      </c>
      <c r="H981" s="49">
        <f t="shared" si="194"/>
        <v>0.99326012315388035</v>
      </c>
      <c r="I981" s="49">
        <f t="shared" si="194"/>
        <v>0.99830279045858783</v>
      </c>
      <c r="J981" s="49">
        <f t="shared" si="194"/>
        <v>0.9996212171320854</v>
      </c>
      <c r="K981" s="49">
        <f t="shared" si="194"/>
        <v>0.99992431799762438</v>
      </c>
      <c r="L981" s="49">
        <f t="shared" si="195"/>
        <v>0.99998634740340375</v>
      </c>
      <c r="M981" s="49">
        <f t="shared" si="195"/>
        <v>0.99999776039954535</v>
      </c>
      <c r="N981" s="49">
        <f t="shared" si="195"/>
        <v>0.99999966385987149</v>
      </c>
      <c r="O981" s="49">
        <f t="shared" si="195"/>
        <v>0.99999995359537741</v>
      </c>
      <c r="P981" s="49">
        <f t="shared" si="195"/>
        <v>0.99999999408042728</v>
      </c>
      <c r="Q981" s="49">
        <f t="shared" si="195"/>
        <v>0.99999999929942107</v>
      </c>
      <c r="R981" s="49">
        <f t="shared" si="195"/>
        <v>0.99999999992280242</v>
      </c>
      <c r="S981" s="49">
        <f t="shared" si="195"/>
        <v>0.99999999999205491</v>
      </c>
      <c r="T981" s="49">
        <f t="shared" si="195"/>
        <v>0.99999999999923417</v>
      </c>
      <c r="U981" s="49">
        <f t="shared" si="195"/>
        <v>0.99999999999993072</v>
      </c>
      <c r="V981" s="49">
        <f t="shared" si="195"/>
        <v>0.99999999999999412</v>
      </c>
      <c r="W981" s="47">
        <v>2.1999999999999999E-2</v>
      </c>
    </row>
    <row r="982" spans="2:23" x14ac:dyDescent="0.25">
      <c r="B982" s="49">
        <f t="shared" si="194"/>
        <v>0.11973765554156469</v>
      </c>
      <c r="C982" s="49">
        <f t="shared" si="194"/>
        <v>0.37660207633012543</v>
      </c>
      <c r="D982" s="49">
        <f t="shared" si="194"/>
        <v>0.64935207054382549</v>
      </c>
      <c r="E982" s="49">
        <f t="shared" si="194"/>
        <v>0.84047269896686427</v>
      </c>
      <c r="F982" s="49">
        <f t="shared" si="194"/>
        <v>0.93988490153329929</v>
      </c>
      <c r="G982" s="49">
        <f t="shared" si="194"/>
        <v>0.98082451210155819</v>
      </c>
      <c r="H982" s="49">
        <f t="shared" si="194"/>
        <v>0.99472727889106294</v>
      </c>
      <c r="I982" s="49">
        <f t="shared" si="194"/>
        <v>0.99873132084857841</v>
      </c>
      <c r="J982" s="49">
        <f t="shared" si="194"/>
        <v>0.99972957595754153</v>
      </c>
      <c r="K982" s="49">
        <f t="shared" si="194"/>
        <v>0.99994841218079722</v>
      </c>
      <c r="L982" s="49">
        <f t="shared" si="195"/>
        <v>0.99999111684835795</v>
      </c>
      <c r="M982" s="49">
        <f t="shared" si="195"/>
        <v>0.99999860927158746</v>
      </c>
      <c r="N982" s="49">
        <f t="shared" si="195"/>
        <v>0.99999980081695738</v>
      </c>
      <c r="O982" s="49">
        <f t="shared" si="195"/>
        <v>0.99999997376347161</v>
      </c>
      <c r="P982" s="49">
        <f t="shared" si="195"/>
        <v>0.99999999680691243</v>
      </c>
      <c r="Q982" s="49">
        <f t="shared" si="195"/>
        <v>0.99999999963948605</v>
      </c>
      <c r="R982" s="49">
        <f t="shared" si="195"/>
        <v>0.99999999996210454</v>
      </c>
      <c r="S982" s="49">
        <f t="shared" si="195"/>
        <v>0.99999999999627964</v>
      </c>
      <c r="T982" s="49">
        <f t="shared" si="195"/>
        <v>0.99999999999965794</v>
      </c>
      <c r="U982" s="49">
        <f t="shared" si="195"/>
        <v>0.99999999999997047</v>
      </c>
      <c r="V982" s="49">
        <f t="shared" si="195"/>
        <v>0.99999999999999756</v>
      </c>
      <c r="W982" s="47">
        <v>2.1000000000000001E-2</v>
      </c>
    </row>
    <row r="983" spans="2:23" x14ac:dyDescent="0.25">
      <c r="B983" s="49">
        <f t="shared" ref="B983:K992" si="196">_xlfn.HYPGEOM.DIST(B$2,comau,tongtheN*$W983,tongtheN,TRUE)</f>
        <v>0.13260839133985369</v>
      </c>
      <c r="C983" s="49">
        <f t="shared" si="196"/>
        <v>0.40326054591379257</v>
      </c>
      <c r="D983" s="49">
        <f t="shared" si="196"/>
        <v>0.67668585036279161</v>
      </c>
      <c r="E983" s="49">
        <f t="shared" si="196"/>
        <v>0.85896923164633154</v>
      </c>
      <c r="F983" s="49">
        <f t="shared" si="196"/>
        <v>0.94917699247632459</v>
      </c>
      <c r="G983" s="49">
        <f t="shared" si="196"/>
        <v>0.98452067094901485</v>
      </c>
      <c r="H983" s="49">
        <f t="shared" si="196"/>
        <v>0.9959397807914766</v>
      </c>
      <c r="I983" s="49">
        <f t="shared" si="196"/>
        <v>0.99906868122160575</v>
      </c>
      <c r="J983" s="49">
        <f t="shared" si="196"/>
        <v>0.99981083843605911</v>
      </c>
      <c r="K983" s="49">
        <f t="shared" si="196"/>
        <v>0.99996562525316102</v>
      </c>
      <c r="L983" s="49">
        <f t="shared" ref="L983:V992" si="197">_xlfn.HYPGEOM.DIST(L$2,comau,tongtheN*$W983,tongtheN,TRUE)</f>
        <v>0.99999436279584264</v>
      </c>
      <c r="M983" s="49">
        <f t="shared" si="197"/>
        <v>0.99999915963601815</v>
      </c>
      <c r="N983" s="49">
        <f t="shared" si="197"/>
        <v>0.99999988540989326</v>
      </c>
      <c r="O983" s="49">
        <f t="shared" si="197"/>
        <v>0.99999998563107051</v>
      </c>
      <c r="P983" s="49">
        <f t="shared" si="197"/>
        <v>0.99999999833538078</v>
      </c>
      <c r="Q983" s="49">
        <f t="shared" si="197"/>
        <v>0.99999999982111176</v>
      </c>
      <c r="R983" s="49">
        <f t="shared" si="197"/>
        <v>0.99999999998210309</v>
      </c>
      <c r="S983" s="49">
        <f t="shared" si="197"/>
        <v>0.99999999999832778</v>
      </c>
      <c r="T983" s="49">
        <f t="shared" si="197"/>
        <v>0.99999999999985367</v>
      </c>
      <c r="U983" s="49">
        <f t="shared" si="197"/>
        <v>0.99999999999998801</v>
      </c>
      <c r="V983" s="49">
        <f t="shared" si="197"/>
        <v>0.99999999999999911</v>
      </c>
      <c r="W983" s="47">
        <v>0.02</v>
      </c>
    </row>
    <row r="984" spans="2:23" x14ac:dyDescent="0.25">
      <c r="B984" s="49">
        <f t="shared" si="196"/>
        <v>0.14684732474548992</v>
      </c>
      <c r="C984" s="49">
        <f t="shared" si="196"/>
        <v>0.43128502416101788</v>
      </c>
      <c r="D984" s="49">
        <f t="shared" si="196"/>
        <v>0.70399062477527452</v>
      </c>
      <c r="E984" s="49">
        <f t="shared" si="196"/>
        <v>0.87652719512773458</v>
      </c>
      <c r="F984" s="49">
        <f t="shared" si="196"/>
        <v>0.95755904763387023</v>
      </c>
      <c r="G984" s="49">
        <f t="shared" si="196"/>
        <v>0.98768913841320882</v>
      </c>
      <c r="H984" s="49">
        <f t="shared" si="196"/>
        <v>0.99692753960434022</v>
      </c>
      <c r="I984" s="49">
        <f t="shared" si="196"/>
        <v>0.99932986168654936</v>
      </c>
      <c r="J984" s="49">
        <f t="shared" si="196"/>
        <v>0.99987062768162382</v>
      </c>
      <c r="K984" s="49">
        <f t="shared" si="196"/>
        <v>0.99997766135928434</v>
      </c>
      <c r="L984" s="49">
        <f t="shared" si="197"/>
        <v>0.99999651990384075</v>
      </c>
      <c r="M984" s="49">
        <f t="shared" si="197"/>
        <v>0.99999950724555664</v>
      </c>
      <c r="N984" s="49">
        <f t="shared" si="197"/>
        <v>0.99999993619009797</v>
      </c>
      <c r="O984" s="49">
        <f t="shared" si="197"/>
        <v>0.99999999240203097</v>
      </c>
      <c r="P984" s="49">
        <f t="shared" si="197"/>
        <v>0.99999999916423643</v>
      </c>
      <c r="Q984" s="49">
        <f t="shared" si="197"/>
        <v>0.99999999991472621</v>
      </c>
      <c r="R984" s="49">
        <f t="shared" si="197"/>
        <v>0.99999999999190059</v>
      </c>
      <c r="S984" s="49">
        <f t="shared" si="197"/>
        <v>0.99999999999928157</v>
      </c>
      <c r="T984" s="49">
        <f t="shared" si="197"/>
        <v>0.99999999999994027</v>
      </c>
      <c r="U984" s="49">
        <f t="shared" si="197"/>
        <v>0.99999999999999534</v>
      </c>
      <c r="V984" s="49">
        <f t="shared" si="197"/>
        <v>0.99999999999999967</v>
      </c>
      <c r="W984" s="47">
        <v>1.9E-2</v>
      </c>
    </row>
    <row r="985" spans="2:23" x14ac:dyDescent="0.25">
      <c r="B985" s="49">
        <f t="shared" si="196"/>
        <v>0.1625982770808567</v>
      </c>
      <c r="C985" s="49">
        <f t="shared" si="196"/>
        <v>0.4606649667422002</v>
      </c>
      <c r="D985" s="49">
        <f t="shared" si="196"/>
        <v>0.73112037654780893</v>
      </c>
      <c r="E985" s="49">
        <f t="shared" si="196"/>
        <v>0.89306146250396612</v>
      </c>
      <c r="F985" s="49">
        <f t="shared" si="196"/>
        <v>0.96504030634208604</v>
      </c>
      <c r="G985" s="49">
        <f t="shared" si="196"/>
        <v>0.99036951918709493</v>
      </c>
      <c r="H985" s="49">
        <f t="shared" si="196"/>
        <v>0.99771955013291269</v>
      </c>
      <c r="I985" s="49">
        <f t="shared" si="196"/>
        <v>0.99952836292411418</v>
      </c>
      <c r="J985" s="49">
        <f t="shared" si="196"/>
        <v>0.99991369994951818</v>
      </c>
      <c r="K985" s="49">
        <f t="shared" si="196"/>
        <v>0.99998588042442216</v>
      </c>
      <c r="L985" s="49">
        <f t="shared" si="197"/>
        <v>0.9999979162066579</v>
      </c>
      <c r="M985" s="49">
        <f t="shared" si="197"/>
        <v>0.99999972054033881</v>
      </c>
      <c r="N985" s="49">
        <f t="shared" si="197"/>
        <v>0.999999965727566</v>
      </c>
      <c r="O985" s="49">
        <f t="shared" si="197"/>
        <v>0.99999999613563928</v>
      </c>
      <c r="P985" s="49">
        <f t="shared" si="197"/>
        <v>0.99999999959751418</v>
      </c>
      <c r="Q985" s="49">
        <f t="shared" si="197"/>
        <v>0.99999999996111877</v>
      </c>
      <c r="R985" s="49">
        <f t="shared" si="197"/>
        <v>0.99999999999650369</v>
      </c>
      <c r="S985" s="49">
        <f t="shared" si="197"/>
        <v>0.99999999999970646</v>
      </c>
      <c r="T985" s="49">
        <f t="shared" si="197"/>
        <v>0.99999999999997691</v>
      </c>
      <c r="U985" s="49">
        <f t="shared" si="197"/>
        <v>0.99999999999999833</v>
      </c>
      <c r="V985" s="49">
        <f t="shared" si="197"/>
        <v>0.99999999999999989</v>
      </c>
      <c r="W985" s="47">
        <v>1.7999999999999999E-2</v>
      </c>
    </row>
    <row r="986" spans="2:23" x14ac:dyDescent="0.25">
      <c r="B986" s="49">
        <f t="shared" si="196"/>
        <v>0.18002001763058378</v>
      </c>
      <c r="C986" s="49">
        <f t="shared" si="196"/>
        <v>0.49137273031704243</v>
      </c>
      <c r="D986" s="49">
        <f t="shared" si="196"/>
        <v>0.75791620146970518</v>
      </c>
      <c r="E986" s="49">
        <f t="shared" si="196"/>
        <v>0.90849416100239466</v>
      </c>
      <c r="F986" s="49">
        <f t="shared" si="196"/>
        <v>0.97163931526576786</v>
      </c>
      <c r="G986" s="49">
        <f t="shared" si="196"/>
        <v>0.99260391013737115</v>
      </c>
      <c r="H986" s="49">
        <f t="shared" si="196"/>
        <v>0.99834352014904881</v>
      </c>
      <c r="I986" s="49">
        <f t="shared" si="196"/>
        <v>0.99967616397134629</v>
      </c>
      <c r="J986" s="49">
        <f t="shared" si="196"/>
        <v>0.999944011275957</v>
      </c>
      <c r="K986" s="49">
        <f t="shared" si="196"/>
        <v>0.99999134723295058</v>
      </c>
      <c r="L986" s="49">
        <f t="shared" si="197"/>
        <v>0.9999987940288585</v>
      </c>
      <c r="M986" s="49">
        <f t="shared" si="197"/>
        <v>0.99999984728622693</v>
      </c>
      <c r="N986" s="49">
        <f t="shared" si="197"/>
        <v>0.99999998231826692</v>
      </c>
      <c r="O986" s="49">
        <f t="shared" si="197"/>
        <v>0.99999999811793783</v>
      </c>
      <c r="P986" s="49">
        <f t="shared" si="197"/>
        <v>0.99999999981496768</v>
      </c>
      <c r="Q986" s="49">
        <f t="shared" si="197"/>
        <v>0.99999999998312872</v>
      </c>
      <c r="R986" s="49">
        <f t="shared" si="197"/>
        <v>0.99999999999856815</v>
      </c>
      <c r="S986" s="49">
        <f t="shared" si="197"/>
        <v>0.99999999999988654</v>
      </c>
      <c r="T986" s="49">
        <f t="shared" si="197"/>
        <v>0.99999999999999156</v>
      </c>
      <c r="U986" s="49">
        <f t="shared" si="197"/>
        <v>0.99999999999999944</v>
      </c>
      <c r="V986" s="49">
        <f t="shared" si="197"/>
        <v>1</v>
      </c>
      <c r="W986" s="47">
        <v>1.7000000000000001E-2</v>
      </c>
    </row>
    <row r="987" spans="2:23" x14ac:dyDescent="0.25">
      <c r="B987" s="49">
        <f t="shared" si="196"/>
        <v>0.1992877995993923</v>
      </c>
      <c r="C987" s="49">
        <f t="shared" si="196"/>
        <v>0.52336017290206038</v>
      </c>
      <c r="D987" s="49">
        <f t="shared" si="196"/>
        <v>0.78420697590940347</v>
      </c>
      <c r="E987" s="49">
        <f t="shared" si="196"/>
        <v>0.92275669828249529</v>
      </c>
      <c r="F987" s="49">
        <f t="shared" si="196"/>
        <v>0.97738399796523445</v>
      </c>
      <c r="G987" s="49">
        <f t="shared" si="196"/>
        <v>0.99443619337257949</v>
      </c>
      <c r="H987" s="49">
        <f t="shared" si="196"/>
        <v>0.99882553114029071</v>
      </c>
      <c r="I987" s="49">
        <f t="shared" si="196"/>
        <v>0.99978372231807822</v>
      </c>
      <c r="J987" s="49">
        <f t="shared" si="196"/>
        <v>0.99996479189503973</v>
      </c>
      <c r="K987" s="49">
        <f t="shared" si="196"/>
        <v>0.9999948781523964</v>
      </c>
      <c r="L987" s="49">
        <f t="shared" si="197"/>
        <v>0.99999932819247472</v>
      </c>
      <c r="M987" s="49">
        <f t="shared" si="197"/>
        <v>0.99999991995180215</v>
      </c>
      <c r="N987" s="49">
        <f t="shared" si="197"/>
        <v>0.99999999128016215</v>
      </c>
      <c r="O987" s="49">
        <f t="shared" si="197"/>
        <v>0.99999999912685988</v>
      </c>
      <c r="P987" s="49">
        <f t="shared" si="197"/>
        <v>0.99999999991925259</v>
      </c>
      <c r="Q987" s="49">
        <f t="shared" si="197"/>
        <v>0.99999999999307476</v>
      </c>
      <c r="R987" s="49">
        <f t="shared" si="197"/>
        <v>0.99999999999944722</v>
      </c>
      <c r="S987" s="49">
        <f t="shared" si="197"/>
        <v>0.99999999999995881</v>
      </c>
      <c r="T987" s="49">
        <f t="shared" si="197"/>
        <v>0.99999999999999711</v>
      </c>
      <c r="U987" s="49">
        <f t="shared" si="197"/>
        <v>0.99999999999999978</v>
      </c>
      <c r="V987" s="49">
        <f t="shared" si="197"/>
        <v>1</v>
      </c>
      <c r="W987" s="47">
        <v>1.6E-2</v>
      </c>
    </row>
    <row r="988" spans="2:23" x14ac:dyDescent="0.25">
      <c r="B988" s="49">
        <f t="shared" si="196"/>
        <v>0.22059505208572519</v>
      </c>
      <c r="C988" s="49">
        <f t="shared" si="196"/>
        <v>0.55655474224108126</v>
      </c>
      <c r="D988" s="49">
        <f t="shared" si="196"/>
        <v>0.8098104723470958</v>
      </c>
      <c r="E988" s="49">
        <f t="shared" si="196"/>
        <v>0.93579189659367368</v>
      </c>
      <c r="F988" s="49">
        <f t="shared" si="196"/>
        <v>0.98231151792926219</v>
      </c>
      <c r="G988" s="49">
        <f t="shared" si="196"/>
        <v>0.99591126446274902</v>
      </c>
      <c r="H988" s="49">
        <f t="shared" si="196"/>
        <v>0.99918974102132752</v>
      </c>
      <c r="I988" s="49">
        <f t="shared" si="196"/>
        <v>0.99986000565978717</v>
      </c>
      <c r="J988" s="49">
        <f t="shared" si="196"/>
        <v>0.99997862600317489</v>
      </c>
      <c r="K988" s="49">
        <f t="shared" si="196"/>
        <v>0.99999708465157788</v>
      </c>
      <c r="L988" s="49">
        <f t="shared" si="197"/>
        <v>0.99999964154241139</v>
      </c>
      <c r="M988" s="49">
        <f t="shared" si="197"/>
        <v>0.99999995996832181</v>
      </c>
      <c r="N988" s="49">
        <f t="shared" si="197"/>
        <v>0.99999999591336752</v>
      </c>
      <c r="O988" s="49">
        <f t="shared" si="197"/>
        <v>0.99999999961655528</v>
      </c>
      <c r="P988" s="49">
        <f t="shared" si="197"/>
        <v>0.99999999996677436</v>
      </c>
      <c r="Q988" s="49">
        <f t="shared" si="197"/>
        <v>0.99999999999733025</v>
      </c>
      <c r="R988" s="49">
        <f t="shared" si="197"/>
        <v>0.99999999999980038</v>
      </c>
      <c r="S988" s="49">
        <f t="shared" si="197"/>
        <v>0.99999999999998601</v>
      </c>
      <c r="T988" s="49">
        <f t="shared" si="197"/>
        <v>0.99999999999999911</v>
      </c>
      <c r="U988" s="49">
        <f t="shared" si="197"/>
        <v>0.99999999999999989</v>
      </c>
      <c r="V988" s="49">
        <f t="shared" si="197"/>
        <v>1</v>
      </c>
      <c r="W988" s="47">
        <v>1.4999999999999999E-2</v>
      </c>
    </row>
    <row r="989" spans="2:23" x14ac:dyDescent="0.25">
      <c r="B989" s="49">
        <f t="shared" si="196"/>
        <v>0.24415524373514538</v>
      </c>
      <c r="C989" s="49">
        <f t="shared" si="196"/>
        <v>0.59085498405743808</v>
      </c>
      <c r="D989" s="49">
        <f t="shared" si="196"/>
        <v>0.83453502382989353</v>
      </c>
      <c r="E989" s="49">
        <f t="shared" si="196"/>
        <v>0.94755619392062862</v>
      </c>
      <c r="F989" s="49">
        <f t="shared" si="196"/>
        <v>0.98646790616641711</v>
      </c>
      <c r="G989" s="49">
        <f t="shared" si="196"/>
        <v>0.9970742120162791</v>
      </c>
      <c r="H989" s="49">
        <f t="shared" si="196"/>
        <v>0.99945813846934717</v>
      </c>
      <c r="I989" s="49">
        <f t="shared" si="196"/>
        <v>0.99991255360800513</v>
      </c>
      <c r="J989" s="49">
        <f t="shared" si="196"/>
        <v>0.99998753433550258</v>
      </c>
      <c r="K989" s="49">
        <f t="shared" si="196"/>
        <v>0.99999841292615788</v>
      </c>
      <c r="L989" s="49">
        <f t="shared" si="197"/>
        <v>0.9999998178910241</v>
      </c>
      <c r="M989" s="49">
        <f t="shared" si="197"/>
        <v>0.99999998102352416</v>
      </c>
      <c r="N989" s="49">
        <f t="shared" si="197"/>
        <v>0.99999999819265162</v>
      </c>
      <c r="O989" s="49">
        <f t="shared" si="197"/>
        <v>0.99999999984180199</v>
      </c>
      <c r="P989" s="49">
        <f t="shared" si="197"/>
        <v>0.99999999998721323</v>
      </c>
      <c r="Q989" s="49">
        <f t="shared" si="197"/>
        <v>0.99999999999904166</v>
      </c>
      <c r="R989" s="49">
        <f t="shared" si="197"/>
        <v>0.99999999999993316</v>
      </c>
      <c r="S989" s="49">
        <f t="shared" si="197"/>
        <v>0.99999999999999567</v>
      </c>
      <c r="T989" s="49">
        <f t="shared" si="197"/>
        <v>0.99999999999999978</v>
      </c>
      <c r="U989" s="49">
        <f t="shared" si="197"/>
        <v>1</v>
      </c>
      <c r="V989" s="49">
        <f t="shared" si="197"/>
        <v>1</v>
      </c>
      <c r="W989" s="47">
        <v>1.4E-2</v>
      </c>
    </row>
    <row r="990" spans="2:23" x14ac:dyDescent="0.25">
      <c r="B990" s="49">
        <f t="shared" si="196"/>
        <v>0.27020393529176856</v>
      </c>
      <c r="C990" s="49">
        <f t="shared" si="196"/>
        <v>0.62612539365004005</v>
      </c>
      <c r="D990" s="49">
        <f t="shared" si="196"/>
        <v>0.85818185562685612</v>
      </c>
      <c r="E990" s="49">
        <f t="shared" si="196"/>
        <v>0.95802185603317402</v>
      </c>
      <c r="F990" s="49">
        <f t="shared" si="196"/>
        <v>0.98990742662457665</v>
      </c>
      <c r="G990" s="49">
        <f t="shared" si="196"/>
        <v>0.99796946916574258</v>
      </c>
      <c r="H990" s="49">
        <f t="shared" si="196"/>
        <v>0.99965035760389409</v>
      </c>
      <c r="I990" s="49">
        <f t="shared" si="196"/>
        <v>0.99994756659068385</v>
      </c>
      <c r="J990" s="49">
        <f t="shared" si="196"/>
        <v>0.9999930570073432</v>
      </c>
      <c r="K990" s="49">
        <f t="shared" si="196"/>
        <v>0.99999917913003655</v>
      </c>
      <c r="L990" s="49">
        <f t="shared" si="197"/>
        <v>0.99999991254876608</v>
      </c>
      <c r="M990" s="49">
        <f t="shared" si="197"/>
        <v>0.99999999154059571</v>
      </c>
      <c r="N990" s="49">
        <f t="shared" si="197"/>
        <v>0.9999999992521702</v>
      </c>
      <c r="O990" s="49">
        <f t="shared" si="197"/>
        <v>0.9999999999392486</v>
      </c>
      <c r="P990" s="49">
        <f t="shared" si="197"/>
        <v>0.99999999999544309</v>
      </c>
      <c r="Q990" s="49">
        <f t="shared" si="197"/>
        <v>0.99999999999968303</v>
      </c>
      <c r="R990" s="49">
        <f t="shared" si="197"/>
        <v>0.99999999999997946</v>
      </c>
      <c r="S990" s="49">
        <f t="shared" si="197"/>
        <v>0.99999999999999878</v>
      </c>
      <c r="T990" s="49">
        <f t="shared" si="197"/>
        <v>0.99999999999999989</v>
      </c>
      <c r="U990" s="49">
        <f t="shared" si="197"/>
        <v>1</v>
      </c>
      <c r="V990" s="49">
        <f t="shared" si="197"/>
        <v>1</v>
      </c>
      <c r="W990" s="47">
        <v>1.2999999999999999E-2</v>
      </c>
    </row>
    <row r="991" spans="2:23" x14ac:dyDescent="0.25">
      <c r="B991" s="49">
        <f t="shared" si="196"/>
        <v>0.29900103997268768</v>
      </c>
      <c r="C991" s="49">
        <f t="shared" si="196"/>
        <v>0.66219052489144392</v>
      </c>
      <c r="D991" s="49">
        <f t="shared" si="196"/>
        <v>0.88054822228089213</v>
      </c>
      <c r="E991" s="49">
        <f t="shared" si="196"/>
        <v>0.9671791247887449</v>
      </c>
      <c r="F991" s="49">
        <f t="shared" si="196"/>
        <v>0.99269165680684424</v>
      </c>
      <c r="G991" s="49">
        <f t="shared" si="196"/>
        <v>0.99863996195098548</v>
      </c>
      <c r="H991" s="49">
        <f t="shared" si="196"/>
        <v>0.99978356026712523</v>
      </c>
      <c r="I991" s="49">
        <f t="shared" si="196"/>
        <v>0.99997001812756281</v>
      </c>
      <c r="J991" s="49">
        <f t="shared" si="196"/>
        <v>0.9999963341649315</v>
      </c>
      <c r="K991" s="49">
        <f t="shared" si="196"/>
        <v>0.99999959990870368</v>
      </c>
      <c r="L991" s="49">
        <f t="shared" si="197"/>
        <v>0.99999996066112207</v>
      </c>
      <c r="M991" s="49">
        <f t="shared" si="197"/>
        <v>0.99999999648843862</v>
      </c>
      <c r="N991" s="49">
        <f t="shared" si="197"/>
        <v>0.99999999971357212</v>
      </c>
      <c r="O991" s="49">
        <f t="shared" si="197"/>
        <v>0.99999999997853262</v>
      </c>
      <c r="P991" s="49">
        <f t="shared" si="197"/>
        <v>0.99999999999851452</v>
      </c>
      <c r="Q991" s="49">
        <f t="shared" si="197"/>
        <v>0.99999999999990474</v>
      </c>
      <c r="R991" s="49">
        <f t="shared" si="197"/>
        <v>0.99999999999999434</v>
      </c>
      <c r="S991" s="49">
        <f t="shared" si="197"/>
        <v>0.99999999999999967</v>
      </c>
      <c r="T991" s="49">
        <f t="shared" si="197"/>
        <v>1</v>
      </c>
      <c r="U991" s="49">
        <f t="shared" si="197"/>
        <v>1</v>
      </c>
      <c r="V991" s="49">
        <f t="shared" si="197"/>
        <v>1</v>
      </c>
      <c r="W991" s="47">
        <v>1.2E-2</v>
      </c>
    </row>
    <row r="992" spans="2:23" x14ac:dyDescent="0.25">
      <c r="B992" s="49">
        <f t="shared" si="196"/>
        <v>0.3308333124642272</v>
      </c>
      <c r="C992" s="49">
        <f t="shared" si="196"/>
        <v>0.69882826018297062</v>
      </c>
      <c r="D992" s="49">
        <f t="shared" si="196"/>
        <v>0.90143151111666264</v>
      </c>
      <c r="E992" s="49">
        <f t="shared" si="196"/>
        <v>0.97503820551018872</v>
      </c>
      <c r="F992" s="49">
        <f t="shared" si="196"/>
        <v>0.99488826752089277</v>
      </c>
      <c r="G992" s="49">
        <f t="shared" si="196"/>
        <v>0.99912628390342284</v>
      </c>
      <c r="H992" s="49">
        <f t="shared" si="196"/>
        <v>0.99987239112317106</v>
      </c>
      <c r="I992" s="49">
        <f t="shared" si="196"/>
        <v>0.99998378569581037</v>
      </c>
      <c r="J992" s="49">
        <f t="shared" si="196"/>
        <v>0.99999818218798719</v>
      </c>
      <c r="K992" s="49">
        <f t="shared" si="196"/>
        <v>0.99999981813189975</v>
      </c>
      <c r="L992" s="49">
        <f t="shared" si="197"/>
        <v>0.99999998361091236</v>
      </c>
      <c r="M992" s="49">
        <f t="shared" si="197"/>
        <v>0.99999999865939015</v>
      </c>
      <c r="N992" s="49">
        <f t="shared" si="197"/>
        <v>0.99999999989980759</v>
      </c>
      <c r="O992" s="49">
        <f t="shared" si="197"/>
        <v>0.99999999999312028</v>
      </c>
      <c r="P992" s="49">
        <f t="shared" si="197"/>
        <v>0.9999999999995639</v>
      </c>
      <c r="Q992" s="49">
        <f t="shared" si="197"/>
        <v>0.99999999999997435</v>
      </c>
      <c r="R992" s="49">
        <f t="shared" si="197"/>
        <v>0.99999999999999856</v>
      </c>
      <c r="S992" s="49">
        <f t="shared" si="197"/>
        <v>0.99999999999999989</v>
      </c>
      <c r="T992" s="49">
        <f t="shared" si="197"/>
        <v>1</v>
      </c>
      <c r="U992" s="49">
        <f t="shared" si="197"/>
        <v>1</v>
      </c>
      <c r="V992" s="49">
        <f t="shared" si="197"/>
        <v>1</v>
      </c>
      <c r="W992" s="47">
        <v>1.0999999999999999E-2</v>
      </c>
    </row>
    <row r="993" spans="2:23" x14ac:dyDescent="0.25">
      <c r="B993" s="49">
        <f t="shared" ref="B993:K1002" si="198">_xlfn.HYPGEOM.DIST(B$2,comau,tongtheN*$W993,tongtheN,TRUE)</f>
        <v>0.36601708939607241</v>
      </c>
      <c r="C993" s="49">
        <f t="shared" si="198"/>
        <v>0.73576213319625983</v>
      </c>
      <c r="D993" s="49">
        <f t="shared" si="198"/>
        <v>0.92063449946691478</v>
      </c>
      <c r="E993" s="49">
        <f t="shared" si="198"/>
        <v>0.98163096908620784</v>
      </c>
      <c r="F993" s="49">
        <f t="shared" si="198"/>
        <v>0.99656949540319084</v>
      </c>
      <c r="G993" s="49">
        <f t="shared" si="198"/>
        <v>0.99946593003778861</v>
      </c>
      <c r="H993" s="49">
        <f t="shared" si="198"/>
        <v>0.9999290081597092</v>
      </c>
      <c r="I993" s="49">
        <f t="shared" si="198"/>
        <v>0.99999179457378107</v>
      </c>
      <c r="J993" s="49">
        <f t="shared" si="198"/>
        <v>0.99999916349083406</v>
      </c>
      <c r="K993" s="49">
        <f t="shared" si="198"/>
        <v>0.99999992391766657</v>
      </c>
      <c r="L993" s="49">
        <f t="shared" ref="L993:V1002" si="199">_xlfn.HYPGEOM.DIST(L$2,comau,tongtheN*$W993,tongtheN,TRUE)</f>
        <v>0.99999999376835491</v>
      </c>
      <c r="M993" s="49">
        <f t="shared" si="199"/>
        <v>0.99999999953676055</v>
      </c>
      <c r="N993" s="49">
        <f t="shared" si="199"/>
        <v>0.99999999996854128</v>
      </c>
      <c r="O993" s="49">
        <f t="shared" si="199"/>
        <v>0.99999999999803735</v>
      </c>
      <c r="P993" s="49">
        <f t="shared" si="199"/>
        <v>0.99999999999988698</v>
      </c>
      <c r="Q993" s="49">
        <f t="shared" si="199"/>
        <v>0.999999999999994</v>
      </c>
      <c r="R993" s="49">
        <f t="shared" si="199"/>
        <v>0.99999999999999967</v>
      </c>
      <c r="S993" s="49">
        <f t="shared" si="199"/>
        <v>1</v>
      </c>
      <c r="T993" s="49">
        <f t="shared" si="199"/>
        <v>1</v>
      </c>
      <c r="U993" s="49">
        <f t="shared" si="199"/>
        <v>1</v>
      </c>
      <c r="V993" s="49">
        <f t="shared" si="199"/>
        <v>1</v>
      </c>
      <c r="W993" s="47">
        <v>0.01</v>
      </c>
    </row>
    <row r="994" spans="2:23" x14ac:dyDescent="0.25">
      <c r="B994" s="49">
        <f t="shared" si="198"/>
        <v>0.40490130640763433</v>
      </c>
      <c r="C994" s="49">
        <f t="shared" si="198"/>
        <v>0.77265258314547602</v>
      </c>
      <c r="D994" s="49">
        <f t="shared" si="198"/>
        <v>0.93797198287388639</v>
      </c>
      <c r="E994" s="49">
        <f t="shared" si="198"/>
        <v>0.98701221181682419</v>
      </c>
      <c r="F994" s="49">
        <f t="shared" si="198"/>
        <v>0.99781031550119481</v>
      </c>
      <c r="G994" s="49">
        <f t="shared" si="198"/>
        <v>0.99969262655499413</v>
      </c>
      <c r="H994" s="49">
        <f t="shared" si="198"/>
        <v>0.99996318794641592</v>
      </c>
      <c r="I994" s="49">
        <f t="shared" si="198"/>
        <v>0.99999616843729167</v>
      </c>
      <c r="J994" s="49">
        <f t="shared" si="198"/>
        <v>0.99999964837085697</v>
      </c>
      <c r="K994" s="49">
        <f t="shared" si="198"/>
        <v>0.99999997121769812</v>
      </c>
      <c r="L994" s="49">
        <f t="shared" si="199"/>
        <v>0.99999999787876936</v>
      </c>
      <c r="M994" s="49">
        <f t="shared" si="199"/>
        <v>0.99999999985813692</v>
      </c>
      <c r="N994" s="49">
        <f t="shared" si="199"/>
        <v>0.99999999999133371</v>
      </c>
      <c r="O994" s="49">
        <f t="shared" si="199"/>
        <v>0.99999999999951372</v>
      </c>
      <c r="P994" s="49">
        <f t="shared" si="199"/>
        <v>0.9999999999999748</v>
      </c>
      <c r="Q994" s="49">
        <f t="shared" si="199"/>
        <v>0.99999999999999878</v>
      </c>
      <c r="R994" s="49">
        <f t="shared" si="199"/>
        <v>1</v>
      </c>
      <c r="S994" s="49">
        <f t="shared" si="199"/>
        <v>1</v>
      </c>
      <c r="T994" s="49">
        <f t="shared" si="199"/>
        <v>1</v>
      </c>
      <c r="U994" s="49">
        <f t="shared" si="199"/>
        <v>1</v>
      </c>
      <c r="V994" s="49">
        <f t="shared" si="199"/>
        <v>1</v>
      </c>
      <c r="W994" s="47">
        <v>8.9999999999999993E-3</v>
      </c>
    </row>
    <row r="995" spans="2:23" x14ac:dyDescent="0.25">
      <c r="B995" s="49">
        <f t="shared" si="198"/>
        <v>0.44787081939981344</v>
      </c>
      <c r="C995" s="49">
        <f t="shared" si="198"/>
        <v>0.80908700473765716</v>
      </c>
      <c r="D995" s="49">
        <f t="shared" si="198"/>
        <v>0.95327902581413115</v>
      </c>
      <c r="E995" s="49">
        <f t="shared" si="198"/>
        <v>0.99126027702849018</v>
      </c>
      <c r="F995" s="49">
        <f t="shared" si="198"/>
        <v>0.99868633973740906</v>
      </c>
      <c r="G995" s="49">
        <f t="shared" si="198"/>
        <v>0.99983579433676961</v>
      </c>
      <c r="H995" s="49">
        <f t="shared" si="198"/>
        <v>0.99998250123450327</v>
      </c>
      <c r="I995" s="49">
        <f t="shared" si="198"/>
        <v>0.99999838015863485</v>
      </c>
      <c r="J995" s="49">
        <f t="shared" si="198"/>
        <v>0.99999986783727401</v>
      </c>
      <c r="K995" s="49">
        <f t="shared" si="198"/>
        <v>0.99999999038461662</v>
      </c>
      <c r="L995" s="49">
        <f t="shared" si="199"/>
        <v>0.9999999993702583</v>
      </c>
      <c r="M995" s="49">
        <f t="shared" si="199"/>
        <v>0.99999999996257927</v>
      </c>
      <c r="N995" s="49">
        <f t="shared" si="199"/>
        <v>0.99999999999796907</v>
      </c>
      <c r="O995" s="49">
        <f t="shared" si="199"/>
        <v>0.99999999999989875</v>
      </c>
      <c r="P995" s="49">
        <f t="shared" si="199"/>
        <v>0.99999999999999534</v>
      </c>
      <c r="Q995" s="49">
        <f t="shared" si="199"/>
        <v>0.99999999999999978</v>
      </c>
      <c r="R995" s="49">
        <f t="shared" si="199"/>
        <v>1</v>
      </c>
      <c r="S995" s="49">
        <f t="shared" si="199"/>
        <v>1</v>
      </c>
      <c r="T995" s="49">
        <f t="shared" si="199"/>
        <v>1</v>
      </c>
      <c r="U995" s="49">
        <f t="shared" si="199"/>
        <v>1</v>
      </c>
      <c r="V995" s="49">
        <f t="shared" si="199"/>
        <v>1</v>
      </c>
      <c r="W995" s="47">
        <v>8.0000000000000002E-3</v>
      </c>
    </row>
    <row r="996" spans="2:23" x14ac:dyDescent="0.25">
      <c r="B996" s="49">
        <f t="shared" si="198"/>
        <v>0.49535006028590145</v>
      </c>
      <c r="C996" s="49">
        <f t="shared" si="198"/>
        <v>0.84456844167220069</v>
      </c>
      <c r="D996" s="49">
        <f t="shared" si="198"/>
        <v>0.96642112565472404</v>
      </c>
      <c r="E996" s="49">
        <f t="shared" si="198"/>
        <v>0.99447679604983363</v>
      </c>
      <c r="F996" s="49">
        <f t="shared" si="198"/>
        <v>0.99927149166937212</v>
      </c>
      <c r="G996" s="49">
        <f t="shared" si="198"/>
        <v>0.99992018410196415</v>
      </c>
      <c r="H996" s="49">
        <f t="shared" si="198"/>
        <v>0.9999925502828455</v>
      </c>
      <c r="I996" s="49">
        <f t="shared" si="198"/>
        <v>0.99999939629764589</v>
      </c>
      <c r="J996" s="49">
        <f t="shared" si="198"/>
        <v>0.99999995689501564</v>
      </c>
      <c r="K996" s="49">
        <f t="shared" si="198"/>
        <v>0.99999999725625766</v>
      </c>
      <c r="L996" s="49">
        <f t="shared" si="199"/>
        <v>0.99999999984281396</v>
      </c>
      <c r="M996" s="49">
        <f t="shared" si="199"/>
        <v>0.99999999999183087</v>
      </c>
      <c r="N996" s="49">
        <f t="shared" si="199"/>
        <v>0.99999999999961231</v>
      </c>
      <c r="O996" s="49">
        <f t="shared" si="199"/>
        <v>0.99999999999998312</v>
      </c>
      <c r="P996" s="49">
        <f t="shared" si="199"/>
        <v>0.99999999999999933</v>
      </c>
      <c r="Q996" s="49">
        <f t="shared" si="199"/>
        <v>1</v>
      </c>
      <c r="R996" s="49">
        <f t="shared" si="199"/>
        <v>1</v>
      </c>
      <c r="S996" s="49">
        <f t="shared" si="199"/>
        <v>1</v>
      </c>
      <c r="T996" s="49">
        <f t="shared" si="199"/>
        <v>1</v>
      </c>
      <c r="U996" s="49">
        <f t="shared" si="199"/>
        <v>1</v>
      </c>
      <c r="V996" s="49">
        <f t="shared" si="199"/>
        <v>1</v>
      </c>
      <c r="W996" s="47">
        <v>7.0000000000000001E-3</v>
      </c>
    </row>
    <row r="997" spans="2:23" x14ac:dyDescent="0.25">
      <c r="B997" s="49">
        <f t="shared" si="198"/>
        <v>0.54780706054101791</v>
      </c>
      <c r="C997" s="49">
        <f t="shared" si="198"/>
        <v>0.87850275341755035</v>
      </c>
      <c r="D997" s="49">
        <f t="shared" si="198"/>
        <v>0.97730662521821698</v>
      </c>
      <c r="E997" s="49">
        <f t="shared" si="198"/>
        <v>0.99678525104646232</v>
      </c>
      <c r="F997" s="49">
        <f t="shared" si="198"/>
        <v>0.99963553996943288</v>
      </c>
      <c r="G997" s="49">
        <f t="shared" si="198"/>
        <v>0.99996571804240331</v>
      </c>
      <c r="H997" s="49">
        <f t="shared" si="198"/>
        <v>0.9999972548680931</v>
      </c>
      <c r="I997" s="49">
        <f t="shared" si="198"/>
        <v>0.99999980924192589</v>
      </c>
      <c r="J997" s="49">
        <f t="shared" si="198"/>
        <v>0.99999998832450743</v>
      </c>
      <c r="K997" s="49">
        <f t="shared" si="198"/>
        <v>0.99999999936310369</v>
      </c>
      <c r="L997" s="49">
        <f t="shared" si="199"/>
        <v>0.99999999996873679</v>
      </c>
      <c r="M997" s="49">
        <f t="shared" si="199"/>
        <v>0.99999999999860811</v>
      </c>
      <c r="N997" s="49">
        <f t="shared" si="199"/>
        <v>0.99999999999994338</v>
      </c>
      <c r="O997" s="49">
        <f t="shared" si="199"/>
        <v>0.99999999999999789</v>
      </c>
      <c r="P997" s="49">
        <f t="shared" si="199"/>
        <v>0.99999999999999989</v>
      </c>
      <c r="Q997" s="49">
        <f t="shared" si="199"/>
        <v>1</v>
      </c>
      <c r="R997" s="49">
        <f t="shared" si="199"/>
        <v>1</v>
      </c>
      <c r="S997" s="49">
        <f t="shared" si="199"/>
        <v>1</v>
      </c>
      <c r="T997" s="49">
        <f t="shared" si="199"/>
        <v>1</v>
      </c>
      <c r="U997" s="49">
        <f t="shared" si="199"/>
        <v>1</v>
      </c>
      <c r="V997" s="49">
        <f t="shared" si="199"/>
        <v>1</v>
      </c>
      <c r="W997" s="47">
        <v>6.0000000000000001E-3</v>
      </c>
    </row>
    <row r="998" spans="2:23" x14ac:dyDescent="0.25">
      <c r="B998" s="49">
        <f t="shared" si="198"/>
        <v>0.60575787912573631</v>
      </c>
      <c r="C998" s="49">
        <f t="shared" si="198"/>
        <v>0.91018406477717784</v>
      </c>
      <c r="D998" s="49">
        <f t="shared" si="198"/>
        <v>0.98590176023483544</v>
      </c>
      <c r="E998" s="49">
        <f t="shared" si="198"/>
        <v>0.99832799705664121</v>
      </c>
      <c r="F998" s="49">
        <f t="shared" si="198"/>
        <v>0.99984161410528494</v>
      </c>
      <c r="G998" s="49">
        <f t="shared" si="198"/>
        <v>0.9999875657833619</v>
      </c>
      <c r="H998" s="49">
        <f t="shared" si="198"/>
        <v>0.99999916959045343</v>
      </c>
      <c r="I998" s="49">
        <f t="shared" si="198"/>
        <v>0.99999995189626023</v>
      </c>
      <c r="J998" s="49">
        <f t="shared" si="198"/>
        <v>0.99999999754648616</v>
      </c>
      <c r="K998" s="49">
        <f t="shared" si="198"/>
        <v>0.99999999988849664</v>
      </c>
      <c r="L998" s="49">
        <f t="shared" si="199"/>
        <v>0.99999999999544098</v>
      </c>
      <c r="M998" s="49">
        <f t="shared" si="199"/>
        <v>0.99999999999983091</v>
      </c>
      <c r="N998" s="49">
        <f t="shared" si="199"/>
        <v>0.99999999999999423</v>
      </c>
      <c r="O998" s="49">
        <f t="shared" si="199"/>
        <v>0.99999999999999978</v>
      </c>
      <c r="P998" s="49">
        <f t="shared" si="199"/>
        <v>1</v>
      </c>
      <c r="Q998" s="49">
        <f t="shared" si="199"/>
        <v>1</v>
      </c>
      <c r="R998" s="49">
        <f t="shared" si="199"/>
        <v>1</v>
      </c>
      <c r="S998" s="49">
        <f t="shared" si="199"/>
        <v>1</v>
      </c>
      <c r="T998" s="49">
        <f t="shared" si="199"/>
        <v>1</v>
      </c>
      <c r="U998" s="49">
        <f t="shared" si="199"/>
        <v>1</v>
      </c>
      <c r="V998" s="49">
        <f t="shared" si="199"/>
        <v>1</v>
      </c>
      <c r="W998" s="47">
        <v>5.0000000000000001E-3</v>
      </c>
    </row>
    <row r="999" spans="2:23" x14ac:dyDescent="0.25">
      <c r="B999" s="49">
        <f t="shared" si="198"/>
        <v>0.66977147495433442</v>
      </c>
      <c r="C999" s="49">
        <f t="shared" si="198"/>
        <v>0.9387782852390556</v>
      </c>
      <c r="D999" s="49">
        <f t="shared" si="198"/>
        <v>0.99224878590472321</v>
      </c>
      <c r="E999" s="49">
        <f t="shared" si="198"/>
        <v>0.99926130373651945</v>
      </c>
      <c r="F999" s="49">
        <f t="shared" si="198"/>
        <v>0.99994387773422078</v>
      </c>
      <c r="G999" s="49">
        <f t="shared" si="198"/>
        <v>0.99999647026621175</v>
      </c>
      <c r="H999" s="49">
        <f t="shared" si="198"/>
        <v>0.99999981128270388</v>
      </c>
      <c r="I999" s="49">
        <f t="shared" si="198"/>
        <v>0.99999999125251993</v>
      </c>
      <c r="J999" s="49">
        <f t="shared" si="198"/>
        <v>0.99999999964311781</v>
      </c>
      <c r="K999" s="49">
        <f t="shared" si="198"/>
        <v>0.99999999998702993</v>
      </c>
      <c r="L999" s="49">
        <f t="shared" si="199"/>
        <v>0.99999999999957601</v>
      </c>
      <c r="M999" s="49">
        <f t="shared" si="199"/>
        <v>0.99999999999998745</v>
      </c>
      <c r="N999" s="49">
        <f t="shared" si="199"/>
        <v>0.99999999999999967</v>
      </c>
      <c r="O999" s="49">
        <f t="shared" si="199"/>
        <v>1</v>
      </c>
      <c r="P999" s="49">
        <f t="shared" si="199"/>
        <v>1</v>
      </c>
      <c r="Q999" s="49">
        <f t="shared" si="199"/>
        <v>1</v>
      </c>
      <c r="R999" s="49">
        <f t="shared" si="199"/>
        <v>1</v>
      </c>
      <c r="S999" s="49">
        <f t="shared" si="199"/>
        <v>1</v>
      </c>
      <c r="T999" s="49">
        <f t="shared" si="199"/>
        <v>1</v>
      </c>
      <c r="U999" s="49">
        <f t="shared" si="199"/>
        <v>1</v>
      </c>
      <c r="V999" s="49">
        <f t="shared" si="199"/>
        <v>1</v>
      </c>
      <c r="W999" s="47">
        <v>4.0000000000000001E-3</v>
      </c>
    </row>
    <row r="1000" spans="2:23" x14ac:dyDescent="0.25">
      <c r="B1000" s="49">
        <f t="shared" si="198"/>
        <v>0.74047506802206275</v>
      </c>
      <c r="C1000" s="49">
        <f t="shared" si="198"/>
        <v>0.96330446002954417</v>
      </c>
      <c r="D1000" s="49">
        <f t="shared" si="198"/>
        <v>0.9964876926922237</v>
      </c>
      <c r="E1000" s="49">
        <f t="shared" si="198"/>
        <v>0.99974788696568995</v>
      </c>
      <c r="F1000" s="49">
        <f t="shared" si="198"/>
        <v>0.9999856006078246</v>
      </c>
      <c r="G1000" s="49">
        <f t="shared" si="198"/>
        <v>0.99999931994406133</v>
      </c>
      <c r="H1000" s="49">
        <f t="shared" si="198"/>
        <v>0.99999997271688978</v>
      </c>
      <c r="I1000" s="49">
        <f t="shared" si="198"/>
        <v>0.99999999905152526</v>
      </c>
      <c r="J1000" s="49">
        <f t="shared" si="198"/>
        <v>0.99999999997098876</v>
      </c>
      <c r="K1000" s="49">
        <f t="shared" si="198"/>
        <v>0.99999999999920974</v>
      </c>
      <c r="L1000" s="49">
        <f t="shared" si="199"/>
        <v>0.99999999999998068</v>
      </c>
      <c r="M1000" s="49">
        <f t="shared" si="199"/>
        <v>0.99999999999999956</v>
      </c>
      <c r="N1000" s="49">
        <f t="shared" si="199"/>
        <v>1</v>
      </c>
      <c r="O1000" s="49">
        <f t="shared" si="199"/>
        <v>1</v>
      </c>
      <c r="P1000" s="49">
        <f t="shared" si="199"/>
        <v>1</v>
      </c>
      <c r="Q1000" s="49">
        <f t="shared" si="199"/>
        <v>1</v>
      </c>
      <c r="R1000" s="49">
        <f t="shared" si="199"/>
        <v>1</v>
      </c>
      <c r="S1000" s="49">
        <f t="shared" si="199"/>
        <v>1</v>
      </c>
      <c r="T1000" s="49">
        <f t="shared" si="199"/>
        <v>1</v>
      </c>
      <c r="U1000" s="49">
        <f t="shared" si="199"/>
        <v>1</v>
      </c>
      <c r="V1000" s="49">
        <f t="shared" si="199"/>
        <v>1</v>
      </c>
      <c r="W1000" s="47">
        <v>3.0000000000000001E-3</v>
      </c>
    </row>
    <row r="1001" spans="2:23" x14ac:dyDescent="0.25">
      <c r="B1001" s="49">
        <f t="shared" si="198"/>
        <v>0.81856003763239482</v>
      </c>
      <c r="C1001" s="49">
        <f t="shared" si="198"/>
        <v>0.9826136868834392</v>
      </c>
      <c r="D1001" s="49">
        <f t="shared" si="198"/>
        <v>0.99888209635197123</v>
      </c>
      <c r="E1001" s="49">
        <f t="shared" si="198"/>
        <v>0.9999462944649733</v>
      </c>
      <c r="F1001" s="49">
        <f t="shared" si="198"/>
        <v>0.99999795100204036</v>
      </c>
      <c r="G1001" s="49">
        <f t="shared" si="198"/>
        <v>0.99999993543300814</v>
      </c>
      <c r="H1001" s="49">
        <f t="shared" si="198"/>
        <v>0.99999999827300723</v>
      </c>
      <c r="I1001" s="49">
        <f t="shared" si="198"/>
        <v>0.99999999995999556</v>
      </c>
      <c r="J1001" s="49">
        <f t="shared" si="198"/>
        <v>0.99999999999918499</v>
      </c>
      <c r="K1001" s="49">
        <f t="shared" si="198"/>
        <v>0.99999999999998523</v>
      </c>
      <c r="L1001" s="49">
        <f t="shared" si="199"/>
        <v>0.99999999999999978</v>
      </c>
      <c r="M1001" s="49">
        <f t="shared" si="199"/>
        <v>1</v>
      </c>
      <c r="N1001" s="49">
        <f t="shared" si="199"/>
        <v>1</v>
      </c>
      <c r="O1001" s="49">
        <f t="shared" si="199"/>
        <v>1</v>
      </c>
      <c r="P1001" s="49">
        <f t="shared" si="199"/>
        <v>1</v>
      </c>
      <c r="Q1001" s="49">
        <f t="shared" si="199"/>
        <v>1</v>
      </c>
      <c r="R1001" s="49">
        <f t="shared" si="199"/>
        <v>1</v>
      </c>
      <c r="S1001" s="49">
        <f t="shared" si="199"/>
        <v>1</v>
      </c>
      <c r="T1001" s="49">
        <f t="shared" si="199"/>
        <v>1</v>
      </c>
      <c r="U1001" s="49">
        <f t="shared" si="199"/>
        <v>1</v>
      </c>
      <c r="V1001" s="49">
        <f t="shared" si="199"/>
        <v>1</v>
      </c>
      <c r="W1001" s="47">
        <v>2E-3</v>
      </c>
    </row>
    <row r="1002" spans="2:23" x14ac:dyDescent="0.25">
      <c r="B1002" s="49">
        <f t="shared" si="198"/>
        <v>0.90478841091117834</v>
      </c>
      <c r="C1002" s="49">
        <f t="shared" si="198"/>
        <v>0.99536530148634395</v>
      </c>
      <c r="D1002" s="49">
        <f t="shared" si="198"/>
        <v>0.99984997219189153</v>
      </c>
      <c r="E1002" s="49">
        <f t="shared" si="198"/>
        <v>0.99999638551793757</v>
      </c>
      <c r="F1002" s="49">
        <f t="shared" si="198"/>
        <v>0.99999993099390039</v>
      </c>
      <c r="G1002" s="49">
        <f t="shared" si="198"/>
        <v>0.99999999891342484</v>
      </c>
      <c r="H1002" s="49">
        <f t="shared" si="198"/>
        <v>0.9999999999854926</v>
      </c>
      <c r="I1002" s="49">
        <f t="shared" si="198"/>
        <v>0.99999999999983236</v>
      </c>
      <c r="J1002" s="49">
        <f t="shared" si="198"/>
        <v>0.99999999999999833</v>
      </c>
      <c r="K1002" s="49">
        <f t="shared" si="198"/>
        <v>1</v>
      </c>
      <c r="L1002" s="49">
        <f t="shared" si="199"/>
        <v>1</v>
      </c>
      <c r="M1002" s="49">
        <f t="shared" si="199"/>
        <v>1</v>
      </c>
      <c r="N1002" s="49">
        <f t="shared" si="199"/>
        <v>1</v>
      </c>
      <c r="O1002" s="49">
        <f t="shared" si="199"/>
        <v>1</v>
      </c>
      <c r="P1002" s="49">
        <f t="shared" si="199"/>
        <v>1</v>
      </c>
      <c r="Q1002" s="49">
        <f t="shared" si="199"/>
        <v>1</v>
      </c>
      <c r="R1002" s="49">
        <f t="shared" si="199"/>
        <v>1</v>
      </c>
      <c r="S1002" s="49">
        <f t="shared" si="199"/>
        <v>1</v>
      </c>
      <c r="T1002" s="49">
        <f t="shared" si="199"/>
        <v>1</v>
      </c>
      <c r="U1002" s="49">
        <f t="shared" si="199"/>
        <v>1</v>
      </c>
      <c r="V1002" s="49">
        <f t="shared" si="199"/>
        <v>1</v>
      </c>
      <c r="W1002" s="47">
        <v>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Bieu tong hop</vt:lpstr>
      <vt:lpstr>Kiem toan chi tiet</vt:lpstr>
      <vt:lpstr>Bang tinh pU</vt:lpstr>
      <vt:lpstr>beta</vt:lpstr>
      <vt:lpstr>betabegin</vt:lpstr>
      <vt:lpstr>comau</vt:lpstr>
      <vt:lpstr>khoangcach</vt:lpstr>
      <vt:lpstr>'Bieu tong hop'!Print_Area</vt:lpstr>
      <vt:lpstr>'Kiem toan chi tiet'!Print_Area</vt:lpstr>
      <vt:lpstr>phamtramss</vt:lpstr>
      <vt:lpstr>tongtheL</vt:lpstr>
      <vt:lpstr>tongtheN</vt:lpstr>
      <vt:lpstr>xuatphat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Võ Mạnh Tài</cp:lastModifiedBy>
  <cp:lastPrinted>2013-05-26T15:38:01Z</cp:lastPrinted>
  <dcterms:created xsi:type="dcterms:W3CDTF">2006-09-16T00:00:00Z</dcterms:created>
  <dcterms:modified xsi:type="dcterms:W3CDTF">2013-05-26T16:40:37Z</dcterms:modified>
</cp:coreProperties>
</file>